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autoCompressPictures="0" defaultThemeVersion="124226"/>
  <mc:AlternateContent xmlns:mc="http://schemas.openxmlformats.org/markup-compatibility/2006">
    <mc:Choice Requires="x15">
      <x15ac:absPath xmlns:x15ac="http://schemas.microsoft.com/office/spreadsheetml/2010/11/ac" url="C:\Users\Alan's 2-in-1\Box Sync\POBb\Excel Templates\"/>
    </mc:Choice>
  </mc:AlternateContent>
  <xr:revisionPtr revIDLastSave="0" documentId="13_ncr:1_{1FB8A8CC-1308-42BE-970F-D05914F6410E}" xr6:coauthVersionLast="47" xr6:coauthVersionMax="47" xr10:uidLastSave="{00000000-0000-0000-0000-000000000000}"/>
  <bookViews>
    <workbookView xWindow="2190" yWindow="2730" windowWidth="23505" windowHeight="13155" tabRatio="909" activeTab="3" xr2:uid="{00000000-000D-0000-FFFF-FFFF00000000}"/>
  </bookViews>
  <sheets>
    <sheet name="Ball Trajectory" sheetId="24" r:id="rId1"/>
    <sheet name="3DTable" sheetId="23" r:id="rId2"/>
    <sheet name="Cd-Cl" sheetId="21" r:id="rId3"/>
    <sheet name="ReadMe" sheetId="17" r:id="rId4"/>
  </sheets>
  <definedNames>
    <definedName name="_Re100" localSheetId="0">#REF!</definedName>
    <definedName name="_Re100">#REF!</definedName>
    <definedName name="a">'Cd-Cl'!#REF!</definedName>
    <definedName name="A1_" localSheetId="0">'Ball Trajectory'!#REF!</definedName>
    <definedName name="A1_">#REF!</definedName>
    <definedName name="A2_" localSheetId="0">'Ball Trajectory'!#REF!</definedName>
    <definedName name="A2_">#REF!</definedName>
    <definedName name="AA" localSheetId="0">'Ball Trajectory'!$N$3</definedName>
    <definedName name="AA">#REF!</definedName>
    <definedName name="b">'Cd-Cl'!#REF!</definedName>
    <definedName name="backspin" localSheetId="0">'Ball Trajectory'!#REF!</definedName>
    <definedName name="backspin">#REF!</definedName>
    <definedName name="batterhand" localSheetId="0">'Ball Trajectory'!#REF!</definedName>
    <definedName name="batterhand">#REF!</definedName>
    <definedName name="beta" localSheetId="0">'Ball Trajectory'!$D$6</definedName>
    <definedName name="beta">#REF!</definedName>
    <definedName name="c0" localSheetId="0">'Ball Trajectory'!$D$5</definedName>
    <definedName name="c0">#REF!</definedName>
    <definedName name="cc" localSheetId="0">'Ball Trajectory'!$N$4</definedName>
    <definedName name="cc">#REF!</definedName>
    <definedName name="cd" localSheetId="0">#REF!</definedName>
    <definedName name="cd">#REF!</definedName>
    <definedName name="cd0" localSheetId="0">'Ball Trajectory'!#REF!</definedName>
    <definedName name="cd0">#REF!</definedName>
    <definedName name="Cd1_" localSheetId="0">'Ball Trajectory'!#REF!</definedName>
    <definedName name="Cd1_">#REF!</definedName>
    <definedName name="Cd2_" localSheetId="0">'Ball Trajectory'!#REF!</definedName>
    <definedName name="Cd2_">#REF!</definedName>
    <definedName name="Cd3_" localSheetId="0">'Ball Trajectory'!#REF!</definedName>
    <definedName name="Cd3_">#REF!</definedName>
    <definedName name="cda" localSheetId="0">'Ball Trajectory'!#REF!</definedName>
    <definedName name="cda">#REF!</definedName>
    <definedName name="cdb" localSheetId="0">'Ball Trajectory'!#REF!</definedName>
    <definedName name="cdb">#REF!</definedName>
    <definedName name="cddot" localSheetId="0">'Ball Trajectory'!#REF!</definedName>
    <definedName name="cddot">#REF!</definedName>
    <definedName name="cdfit" localSheetId="0">#REF!</definedName>
    <definedName name="cdfit">#REF!</definedName>
    <definedName name="CdH" localSheetId="0">'Ball Trajectory'!$G$4</definedName>
    <definedName name="CdH">#REF!</definedName>
    <definedName name="CdL" localSheetId="0">'Ball Trajectory'!$G$3</definedName>
    <definedName name="CdL">#REF!</definedName>
    <definedName name="cdno" localSheetId="0">#REF!</definedName>
    <definedName name="cdno">#REF!</definedName>
    <definedName name="CdS" localSheetId="0">'Ball Trajectory'!$G$2</definedName>
    <definedName name="CdS">#REF!</definedName>
    <definedName name="cdspin" localSheetId="0">'Ball Trajectory'!#REF!</definedName>
    <definedName name="cdspin">#REF!</definedName>
    <definedName name="circ" localSheetId="0">'Ball Trajectory'!$B$3</definedName>
    <definedName name="circ">#REF!</definedName>
    <definedName name="cl0" localSheetId="0">'Ball Trajectory'!#REF!</definedName>
    <definedName name="cl0">#REF!</definedName>
    <definedName name="cl1_" localSheetId="0">'Ball Trajectory'!#REF!</definedName>
    <definedName name="cl1_">#REF!</definedName>
    <definedName name="cl2_" localSheetId="0">'Ball Trajectory'!#REF!</definedName>
    <definedName name="cl2_">#REF!</definedName>
    <definedName name="Cl3_" localSheetId="0">'Ball Trajectory'!#REF!</definedName>
    <definedName name="Cl3_">#REF!</definedName>
    <definedName name="ClAmp">'Ball Trajectory'!$G$5</definedName>
    <definedName name="cm" localSheetId="0">#REF!</definedName>
    <definedName name="cm">#REF!</definedName>
    <definedName name="const" localSheetId="0">'Ball Trajectory'!$D$4</definedName>
    <definedName name="const">#REF!</definedName>
    <definedName name="const1" localSheetId="0">#REF!</definedName>
    <definedName name="const1">#REF!</definedName>
    <definedName name="distance" localSheetId="0">'Ball Trajectory'!$H$21</definedName>
    <definedName name="drag" localSheetId="0">'Ball Trajectory'!#REF!</definedName>
    <definedName name="drag">#REF!</definedName>
    <definedName name="dt" localSheetId="0">'Ball Trajectory'!$B$13</definedName>
    <definedName name="dt">#REF!</definedName>
    <definedName name="dv" localSheetId="0">'Ball Trajectory'!#REF!</definedName>
    <definedName name="dv">#REF!</definedName>
    <definedName name="elev" localSheetId="0">'Ball Trajectory'!$D$17</definedName>
    <definedName name="elev">#REF!</definedName>
    <definedName name="elevft" localSheetId="0">'Ball Trajectory'!$B$16</definedName>
    <definedName name="elevft">#REF!</definedName>
    <definedName name="flag" localSheetId="0">'Ball Trajectory'!$G$11</definedName>
    <definedName name="flag">#REF!</definedName>
    <definedName name="frac" localSheetId="0">#REF!</definedName>
    <definedName name="frac">#REF!</definedName>
    <definedName name="frac1" localSheetId="0">#REF!</definedName>
    <definedName name="frac1">#REF!</definedName>
    <definedName name="g" localSheetId="0">#REF!</definedName>
    <definedName name="g">#REF!</definedName>
    <definedName name="hand" localSheetId="0">'Ball Trajectory'!#REF!</definedName>
    <definedName name="hand">#REF!</definedName>
    <definedName name="height" localSheetId="0">'Ball Trajectory'!$H$22</definedName>
    <definedName name="hwind" localSheetId="0">'Ball Trajectory'!$B$19</definedName>
    <definedName name="hwind">#REF!</definedName>
    <definedName name="Magnus" localSheetId="0">'Ball Trajectory'!#REF!</definedName>
    <definedName name="Magnus">#REF!</definedName>
    <definedName name="Magnus_option" localSheetId="0">'Ball Trajectory'!$J$17</definedName>
    <definedName name="Magnus_option">#REF!</definedName>
    <definedName name="mass" localSheetId="0">'Ball Trajectory'!$B$2</definedName>
    <definedName name="mass">#REF!</definedName>
    <definedName name="n" localSheetId="0">'Ball Trajectory'!$N$5</definedName>
    <definedName name="n">#REF!</definedName>
    <definedName name="omega" localSheetId="0">'Ball Trajectory'!$D$14</definedName>
    <definedName name="omega">#REF!</definedName>
    <definedName name="phi" localSheetId="0">'Ball Trajectory'!$B$10</definedName>
    <definedName name="phi">#REF!</definedName>
    <definedName name="phiwind" localSheetId="0">'Ball Trajectory'!$B$18</definedName>
    <definedName name="phiwind">#REF!</definedName>
    <definedName name="pressure" localSheetId="0">'Ball Trajectory'!$D$22</definedName>
    <definedName name="pressure">#REF!</definedName>
    <definedName name="Re_100" localSheetId="0">'Ball Trajectory'!$D$23</definedName>
    <definedName name="Re_100">#REF!</definedName>
    <definedName name="ReHigh">'Ball Trajectory'!$J$4</definedName>
    <definedName name="ReLow">'Ball Trajectory'!$J$3</definedName>
    <definedName name="RH" localSheetId="0">'Ball Trajectory'!$B$20</definedName>
    <definedName name="RH">#REF!</definedName>
    <definedName name="rho" localSheetId="0">'Ball Trajectory'!$D$2</definedName>
    <definedName name="rho">#REF!</definedName>
    <definedName name="rms" localSheetId="0">'Ball Trajectory'!$H$24</definedName>
    <definedName name="rms">#REF!</definedName>
    <definedName name="romega" localSheetId="0">'Ball Trajectory'!$D$15</definedName>
    <definedName name="romega">#REF!</definedName>
    <definedName name="scale" localSheetId="0">'Ball Trajectory'!$F$9</definedName>
    <definedName name="scale">#REF!</definedName>
    <definedName name="Shi" localSheetId="0">'Ball Trajectory'!$J$4</definedName>
    <definedName name="Shi">#REF!</definedName>
    <definedName name="sidespin" localSheetId="0">'Ball Trajectory'!#REF!</definedName>
    <definedName name="sidespin">#REF!</definedName>
    <definedName name="sign" localSheetId="0">'Ball Trajectory'!$D$20</definedName>
    <definedName name="sign">#REF!</definedName>
    <definedName name="solver_adj" localSheetId="0" hidden="1">'Ball Trajectory'!$G$2:$G$5</definedName>
    <definedName name="solver_cvg" localSheetId="0" hidden="1">0.0001</definedName>
    <definedName name="solver_drv" localSheetId="0" hidden="1">2</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nwt" localSheetId="0" hidden="1">1</definedName>
    <definedName name="solver_opt" localSheetId="0" hidden="1">'Ball Trajectory'!$L$2</definedName>
    <definedName name="solver_pre" localSheetId="0" hidden="1">0.000001</definedName>
    <definedName name="solver_rbv" localSheetId="0" hidden="1">2</definedName>
    <definedName name="solver_rlx" localSheetId="0" hidden="1">2</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2</definedName>
    <definedName name="solver_val" localSheetId="0" hidden="1">0</definedName>
    <definedName name="solver_ver" localSheetId="0" hidden="1">3</definedName>
    <definedName name="spin" localSheetId="0">'Ball Trajectory'!#REF!</definedName>
    <definedName name="spin">#REF!</definedName>
    <definedName name="spin0" localSheetId="0">'Ball Trajectory'!$G$8</definedName>
    <definedName name="spin0">#REF!</definedName>
    <definedName name="SVP" localSheetId="0">'Ball Trajectory'!$D$21</definedName>
    <definedName name="SVP">#REF!</definedName>
    <definedName name="tau" localSheetId="0">'Ball Trajectory'!#REF!</definedName>
    <definedName name="tau">#REF!</definedName>
    <definedName name="tau0" localSheetId="0">'Ball Trajectory'!#REF!</definedName>
    <definedName name="tau0">#REF!</definedName>
    <definedName name="temp" localSheetId="0">'Ball Trajectory'!$D$16</definedName>
    <definedName name="temp">#REF!</definedName>
    <definedName name="theta" localSheetId="0">'Ball Trajectory'!$B$9</definedName>
    <definedName name="theta">#REF!</definedName>
    <definedName name="theta0" localSheetId="0">'Ball Trajectory'!#REF!</definedName>
    <definedName name="theta0">#REF!</definedName>
    <definedName name="TK" localSheetId="0">'Ball Trajectory'!$D$16</definedName>
    <definedName name="TK">#REF!</definedName>
    <definedName name="ttarget" localSheetId="0">#REF!</definedName>
    <definedName name="ttarget">#REF!</definedName>
    <definedName name="v0" localSheetId="0">'Ball Trajectory'!$B$8</definedName>
    <definedName name="v0">#REF!</definedName>
    <definedName name="v0x" localSheetId="0">'Ball Trajectory'!$D$8</definedName>
    <definedName name="v0x">#REF!</definedName>
    <definedName name="v0y" localSheetId="0">'Ball Trajectory'!$D$9</definedName>
    <definedName name="v0y">#REF!</definedName>
    <definedName name="v0z" localSheetId="0">'Ball Trajectory'!$D$10</definedName>
    <definedName name="v0z">#REF!</definedName>
    <definedName name="vel" localSheetId="0">'Ball Trajectory'!#REF!</definedName>
    <definedName name="vel">#REF!</definedName>
    <definedName name="vwind" localSheetId="0">'Ball Trajectory'!$B$17</definedName>
    <definedName name="vwind">#REF!</definedName>
    <definedName name="vx0" localSheetId="0">#REF!</definedName>
    <definedName name="vx0">#REF!</definedName>
    <definedName name="vxw" localSheetId="0">'Ball Trajectory'!$D$18</definedName>
    <definedName name="vxw">#REF!</definedName>
    <definedName name="vy0" localSheetId="0">#REF!</definedName>
    <definedName name="vy0">#REF!</definedName>
    <definedName name="vyw" localSheetId="0">'Ball Trajectory'!$D$19</definedName>
    <definedName name="vyw">#REF!</definedName>
    <definedName name="w0" localSheetId="0">'Ball Trajectory'!#REF!</definedName>
    <definedName name="w0">#REF!</definedName>
    <definedName name="wb" localSheetId="0">'Ball Trajectory'!$B$11</definedName>
    <definedName name="wb">#REF!</definedName>
    <definedName name="wg" localSheetId="0">'Ball Trajectory'!#REF!</definedName>
    <definedName name="ws" localSheetId="0">'Ball Trajectory'!$B$12</definedName>
    <definedName name="ws">#REF!</definedName>
    <definedName name="wx" localSheetId="0">'Ball Trajectory'!$D$11</definedName>
    <definedName name="wx">#REF!</definedName>
    <definedName name="wy" localSheetId="0">'Ball Trajectory'!$D$12</definedName>
    <definedName name="wy">#REF!</definedName>
    <definedName name="wz" localSheetId="0">'Ball Trajectory'!$D$13</definedName>
    <definedName name="wz">#REF!</definedName>
    <definedName name="x0" localSheetId="0">'Ball Trajectory'!$B$5</definedName>
    <definedName name="x0">#REF!</definedName>
    <definedName name="xf" localSheetId="0">#REF!</definedName>
    <definedName name="xf">#REF!</definedName>
    <definedName name="xtarget" localSheetId="0">#REF!</definedName>
    <definedName name="xtarget">#REF!</definedName>
    <definedName name="xxx" localSheetId="0">#REF!</definedName>
    <definedName name="xxx">#REF!</definedName>
    <definedName name="xxxx" localSheetId="0">#REF!</definedName>
    <definedName name="xxxx">#REF!</definedName>
    <definedName name="y0" localSheetId="0">'Ball Trajectory'!$B$6</definedName>
    <definedName name="y0">#REF!</definedName>
    <definedName name="yf" localSheetId="0">#REF!</definedName>
    <definedName name="yf">#REF!</definedName>
    <definedName name="ytarget" localSheetId="0">#REF!</definedName>
    <definedName name="ytarget">#REF!</definedName>
    <definedName name="z0" localSheetId="0">'Ball Trajectory'!$B$7</definedName>
    <definedName name="z0">#REF!</definedName>
    <definedName name="zf" localSheetId="0">#REF!</definedName>
    <definedName name="zf">#REF!</definedName>
    <definedName name="ztarget" localSheetId="0">#REF!</definedName>
    <definedName name="ztarget">#REF!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M28" i="23" l="1"/>
  <c r="M29" i="23" s="1"/>
  <c r="M30" i="23" s="1"/>
  <c r="M31" i="23" s="1"/>
  <c r="M32" i="23" s="1"/>
  <c r="M33" i="23" s="1"/>
  <c r="M34" i="23" s="1"/>
  <c r="M35" i="23" s="1"/>
  <c r="M36" i="23" s="1"/>
  <c r="M37" i="23" s="1"/>
  <c r="M38" i="23" s="1"/>
  <c r="G3" i="21"/>
  <c r="G4" i="21"/>
  <c r="G5" i="21"/>
  <c r="G6" i="21"/>
  <c r="G7" i="21"/>
  <c r="G8" i="21"/>
  <c r="G9" i="21"/>
  <c r="G10" i="21"/>
  <c r="G11" i="21"/>
  <c r="G12" i="21"/>
  <c r="G13" i="21"/>
  <c r="G2" i="21"/>
  <c r="B3" i="21" l="1"/>
  <c r="B4" i="21"/>
  <c r="B5" i="21"/>
  <c r="B6" i="21"/>
  <c r="B7" i="21"/>
  <c r="B8" i="21"/>
  <c r="B9" i="21"/>
  <c r="B10" i="21"/>
  <c r="B11" i="21"/>
  <c r="B12" i="21"/>
  <c r="B13" i="21"/>
  <c r="B14" i="21"/>
  <c r="B15" i="21"/>
  <c r="B16" i="21"/>
  <c r="B17" i="21"/>
  <c r="B18" i="21"/>
  <c r="B2" i="21"/>
  <c r="C24" i="21"/>
  <c r="C23" i="21"/>
  <c r="D24" i="21"/>
  <c r="D23" i="21"/>
  <c r="C3" i="21" s="1"/>
  <c r="E23" i="21"/>
  <c r="Z1158" i="24"/>
  <c r="Z1157" i="24"/>
  <c r="Z1156" i="24"/>
  <c r="Z1155" i="24"/>
  <c r="Z1154" i="24"/>
  <c r="Z1153" i="24"/>
  <c r="Z1152" i="24"/>
  <c r="Z1151" i="24"/>
  <c r="Z1150" i="24"/>
  <c r="Z1149" i="24"/>
  <c r="Z1148" i="24"/>
  <c r="Z1147" i="24"/>
  <c r="Z1146" i="24"/>
  <c r="Z1145" i="24"/>
  <c r="Z1144" i="24"/>
  <c r="Z1143" i="24"/>
  <c r="Z1142" i="24"/>
  <c r="Z1141" i="24"/>
  <c r="Z1140" i="24"/>
  <c r="Z1139" i="24"/>
  <c r="Z1138" i="24"/>
  <c r="Z1137" i="24"/>
  <c r="Z1136" i="24"/>
  <c r="Z1135" i="24"/>
  <c r="Z1134" i="24"/>
  <c r="Z1133" i="24"/>
  <c r="Z1132" i="24"/>
  <c r="Z1131" i="24"/>
  <c r="Z1130" i="24"/>
  <c r="Z1129" i="24"/>
  <c r="Z1128" i="24"/>
  <c r="Z1127" i="24"/>
  <c r="Z1126" i="24"/>
  <c r="Z1125" i="24"/>
  <c r="Z1124" i="24"/>
  <c r="Z1123" i="24"/>
  <c r="Z1122" i="24"/>
  <c r="Z1121" i="24"/>
  <c r="Z1120" i="24"/>
  <c r="Z1119" i="24"/>
  <c r="Z1118" i="24"/>
  <c r="Z1117" i="24"/>
  <c r="Z1116" i="24"/>
  <c r="Z1115" i="24"/>
  <c r="Z1114" i="24"/>
  <c r="Z1113" i="24"/>
  <c r="Z1112" i="24"/>
  <c r="Z1111" i="24"/>
  <c r="Z1110" i="24"/>
  <c r="Z1109" i="24"/>
  <c r="Z1108" i="24"/>
  <c r="Z1107" i="24"/>
  <c r="Z1106" i="24"/>
  <c r="Z1105" i="24"/>
  <c r="Z1104" i="24"/>
  <c r="Z1103" i="24"/>
  <c r="Z1102" i="24"/>
  <c r="Z1101" i="24"/>
  <c r="Z1100" i="24"/>
  <c r="Z1099" i="24"/>
  <c r="Z1098" i="24"/>
  <c r="Z1097" i="24"/>
  <c r="Z1096" i="24"/>
  <c r="Z1095" i="24"/>
  <c r="Z1094" i="24"/>
  <c r="Z1093" i="24"/>
  <c r="Z1092" i="24"/>
  <c r="Z1091" i="24"/>
  <c r="Z1090" i="24"/>
  <c r="Z1089" i="24"/>
  <c r="Z1088" i="24"/>
  <c r="Z1087" i="24"/>
  <c r="Z1086" i="24"/>
  <c r="Z1085" i="24"/>
  <c r="Z1084" i="24"/>
  <c r="Z1083" i="24"/>
  <c r="Z1082" i="24"/>
  <c r="Z1081" i="24"/>
  <c r="Z1080" i="24"/>
  <c r="Z1079" i="24"/>
  <c r="Z1078" i="24"/>
  <c r="Z1077" i="24"/>
  <c r="Z1076" i="24"/>
  <c r="Z1075" i="24"/>
  <c r="Z1074" i="24"/>
  <c r="Z1073" i="24"/>
  <c r="Z1072" i="24"/>
  <c r="Z1071" i="24"/>
  <c r="Z1070" i="24"/>
  <c r="Z1069" i="24"/>
  <c r="Z1068" i="24"/>
  <c r="Z1067" i="24"/>
  <c r="Z1066" i="24"/>
  <c r="Z1065" i="24"/>
  <c r="Z1064" i="24"/>
  <c r="Z1063" i="24"/>
  <c r="Z1062" i="24"/>
  <c r="Z1061" i="24"/>
  <c r="Z1060" i="24"/>
  <c r="Z1059" i="24"/>
  <c r="Z1058" i="24"/>
  <c r="Z1057" i="24"/>
  <c r="Z1056" i="24"/>
  <c r="Z1055" i="24"/>
  <c r="Z1054" i="24"/>
  <c r="Z1053" i="24"/>
  <c r="Z1052" i="24"/>
  <c r="Z1051" i="24"/>
  <c r="Z1050" i="24"/>
  <c r="Z1049" i="24"/>
  <c r="Z1048" i="24"/>
  <c r="Z1047" i="24"/>
  <c r="Z1046" i="24"/>
  <c r="Z1045" i="24"/>
  <c r="Z1044" i="24"/>
  <c r="Z1043" i="24"/>
  <c r="Z1042" i="24"/>
  <c r="Z1041" i="24"/>
  <c r="Z1040" i="24"/>
  <c r="Z1039" i="24"/>
  <c r="Z1038" i="24"/>
  <c r="Z1037" i="24"/>
  <c r="Z1036" i="24"/>
  <c r="Z1035" i="24"/>
  <c r="Z1034" i="24"/>
  <c r="Z1033" i="24"/>
  <c r="Z1032" i="24"/>
  <c r="Z1031" i="24"/>
  <c r="Z1030" i="24"/>
  <c r="Z1029" i="24"/>
  <c r="Z1028" i="24"/>
  <c r="Z1027" i="24"/>
  <c r="Z1026" i="24"/>
  <c r="Z1025" i="24"/>
  <c r="Z1024" i="24"/>
  <c r="Z1023" i="24"/>
  <c r="Z1022" i="24"/>
  <c r="Z1021" i="24"/>
  <c r="Z1020" i="24"/>
  <c r="Z1019" i="24"/>
  <c r="Z1018" i="24"/>
  <c r="Z1017" i="24"/>
  <c r="Z1016" i="24"/>
  <c r="Z1015" i="24"/>
  <c r="Z1014" i="24"/>
  <c r="Z1013" i="24"/>
  <c r="Z1012" i="24"/>
  <c r="Z1011" i="24"/>
  <c r="Z1010" i="24"/>
  <c r="Z1009" i="24"/>
  <c r="Z1008" i="24"/>
  <c r="Z1007" i="24"/>
  <c r="Z1006" i="24"/>
  <c r="Z1005" i="24"/>
  <c r="Z1004" i="24"/>
  <c r="Z1003" i="24"/>
  <c r="Z1002" i="24"/>
  <c r="Z1001" i="24"/>
  <c r="Z1000" i="24"/>
  <c r="Z999" i="24"/>
  <c r="Z998" i="24"/>
  <c r="Z997" i="24"/>
  <c r="Z996" i="24"/>
  <c r="Z995" i="24"/>
  <c r="Z994" i="24"/>
  <c r="Z993" i="24"/>
  <c r="Z992" i="24"/>
  <c r="Z991" i="24"/>
  <c r="Z990" i="24"/>
  <c r="Z989" i="24"/>
  <c r="Z988" i="24"/>
  <c r="Z987" i="24"/>
  <c r="Z986" i="24"/>
  <c r="Z985" i="24"/>
  <c r="Z984" i="24"/>
  <c r="Z983" i="24"/>
  <c r="Z982" i="24"/>
  <c r="Z981" i="24"/>
  <c r="Z980" i="24"/>
  <c r="Z979" i="24"/>
  <c r="Z978" i="24"/>
  <c r="Z977" i="24"/>
  <c r="Z976" i="24"/>
  <c r="Z975" i="24"/>
  <c r="Z974" i="24"/>
  <c r="Z973" i="24"/>
  <c r="Z972" i="24"/>
  <c r="Z971" i="24"/>
  <c r="Z970" i="24"/>
  <c r="Z969" i="24"/>
  <c r="Z968" i="24"/>
  <c r="Z967" i="24"/>
  <c r="Z966" i="24"/>
  <c r="Z965" i="24"/>
  <c r="Z964" i="24"/>
  <c r="Z963" i="24"/>
  <c r="Z962" i="24"/>
  <c r="Z961" i="24"/>
  <c r="Z960" i="24"/>
  <c r="Z959" i="24"/>
  <c r="Z958" i="24"/>
  <c r="Z957" i="24"/>
  <c r="Z956" i="24"/>
  <c r="Z955" i="24"/>
  <c r="Z954" i="24"/>
  <c r="Z953" i="24"/>
  <c r="Z952" i="24"/>
  <c r="Z951" i="24"/>
  <c r="Z950" i="24"/>
  <c r="Z949" i="24"/>
  <c r="Z948" i="24"/>
  <c r="Z947" i="24"/>
  <c r="Z946" i="24"/>
  <c r="Z945" i="24"/>
  <c r="Z944" i="24"/>
  <c r="Z943" i="24"/>
  <c r="Z942" i="24"/>
  <c r="Z941" i="24"/>
  <c r="Z940" i="24"/>
  <c r="Z939" i="24"/>
  <c r="Z938" i="24"/>
  <c r="Z937" i="24"/>
  <c r="Z936" i="24"/>
  <c r="Z935" i="24"/>
  <c r="Z934" i="24"/>
  <c r="Z933" i="24"/>
  <c r="Z932" i="24"/>
  <c r="Z931" i="24"/>
  <c r="Z930" i="24"/>
  <c r="Z929" i="24"/>
  <c r="Z928" i="24"/>
  <c r="Z927" i="24"/>
  <c r="Z926" i="24"/>
  <c r="Z925" i="24"/>
  <c r="Z924" i="24"/>
  <c r="Z923" i="24"/>
  <c r="Z922" i="24"/>
  <c r="Z921" i="24"/>
  <c r="Z920" i="24"/>
  <c r="Z919" i="24"/>
  <c r="Z918" i="24"/>
  <c r="Z917" i="24"/>
  <c r="Z916" i="24"/>
  <c r="Z915" i="24"/>
  <c r="Z914" i="24"/>
  <c r="Z913" i="24"/>
  <c r="Z912" i="24"/>
  <c r="Z911" i="24"/>
  <c r="Z910" i="24"/>
  <c r="Z909" i="24"/>
  <c r="Z908" i="24"/>
  <c r="Z907" i="24"/>
  <c r="Z906" i="24"/>
  <c r="Z905" i="24"/>
  <c r="Z904" i="24"/>
  <c r="Z903" i="24"/>
  <c r="Z902" i="24"/>
  <c r="Z901" i="24"/>
  <c r="Z900" i="24"/>
  <c r="Z899" i="24"/>
  <c r="Z898" i="24"/>
  <c r="Z897" i="24"/>
  <c r="Z896" i="24"/>
  <c r="Z895" i="24"/>
  <c r="Z894" i="24"/>
  <c r="Z893" i="24"/>
  <c r="Z892" i="24"/>
  <c r="Z891" i="24"/>
  <c r="Z890" i="24"/>
  <c r="Z889" i="24"/>
  <c r="Z888" i="24"/>
  <c r="Z887" i="24"/>
  <c r="Z886" i="24"/>
  <c r="Z885" i="24"/>
  <c r="Z884" i="24"/>
  <c r="Z883" i="24"/>
  <c r="Z882" i="24"/>
  <c r="Z881" i="24"/>
  <c r="Z880" i="24"/>
  <c r="Z879" i="24"/>
  <c r="Z878" i="24"/>
  <c r="Z877" i="24"/>
  <c r="Z876" i="24"/>
  <c r="Z875" i="24"/>
  <c r="Z874" i="24"/>
  <c r="Z873" i="24"/>
  <c r="Z872" i="24"/>
  <c r="Z871" i="24"/>
  <c r="Z870" i="24"/>
  <c r="Z869" i="24"/>
  <c r="Z868" i="24"/>
  <c r="Z867" i="24"/>
  <c r="Z866" i="24"/>
  <c r="Z865" i="24"/>
  <c r="Z864" i="24"/>
  <c r="Z863" i="24"/>
  <c r="Z862" i="24"/>
  <c r="Z861" i="24"/>
  <c r="Z860" i="24"/>
  <c r="Z859" i="24"/>
  <c r="Z858" i="24"/>
  <c r="Z857" i="24"/>
  <c r="Z856" i="24"/>
  <c r="Z855" i="24"/>
  <c r="Z854" i="24"/>
  <c r="Z853" i="24"/>
  <c r="Z852" i="24"/>
  <c r="Z851" i="24"/>
  <c r="Z850" i="24"/>
  <c r="Z849" i="24"/>
  <c r="Z848" i="24"/>
  <c r="Z847" i="24"/>
  <c r="Z846" i="24"/>
  <c r="Z845" i="24"/>
  <c r="Z844" i="24"/>
  <c r="Z843" i="24"/>
  <c r="Z842" i="24"/>
  <c r="Z841" i="24"/>
  <c r="Z840" i="24"/>
  <c r="Z839" i="24"/>
  <c r="Z838" i="24"/>
  <c r="Z837" i="24"/>
  <c r="Z836" i="24"/>
  <c r="Z835" i="24"/>
  <c r="Z834" i="24"/>
  <c r="Z833" i="24"/>
  <c r="Z832" i="24"/>
  <c r="Z831" i="24"/>
  <c r="Z830" i="24"/>
  <c r="Z829" i="24"/>
  <c r="Z828" i="24"/>
  <c r="Z827" i="24"/>
  <c r="Z826" i="24"/>
  <c r="Z825" i="24"/>
  <c r="Z824" i="24"/>
  <c r="Z823" i="24"/>
  <c r="Z822" i="24"/>
  <c r="Z821" i="24"/>
  <c r="Z820" i="24"/>
  <c r="Z819" i="24"/>
  <c r="Z818" i="24"/>
  <c r="Z817" i="24"/>
  <c r="Z816" i="24"/>
  <c r="Z815" i="24"/>
  <c r="Z814" i="24"/>
  <c r="Z813" i="24"/>
  <c r="Z812" i="24"/>
  <c r="Z811" i="24"/>
  <c r="Z810" i="24"/>
  <c r="Z809" i="24"/>
  <c r="Z808" i="24"/>
  <c r="Z807" i="24"/>
  <c r="Z806" i="24"/>
  <c r="Z805" i="24"/>
  <c r="Z804" i="24"/>
  <c r="Z803" i="24"/>
  <c r="Z802" i="24"/>
  <c r="Z801" i="24"/>
  <c r="Z800" i="24"/>
  <c r="Z799" i="24"/>
  <c r="Z798" i="24"/>
  <c r="Z797" i="24"/>
  <c r="Z796" i="24"/>
  <c r="Z795" i="24"/>
  <c r="Z794" i="24"/>
  <c r="Z793" i="24"/>
  <c r="Z792" i="24"/>
  <c r="Z791" i="24"/>
  <c r="Z790" i="24"/>
  <c r="Z789" i="24"/>
  <c r="Z788" i="24"/>
  <c r="Z787" i="24"/>
  <c r="Z786" i="24"/>
  <c r="Z785" i="24"/>
  <c r="Z784" i="24"/>
  <c r="Z783" i="24"/>
  <c r="Z782" i="24"/>
  <c r="Z781" i="24"/>
  <c r="Z780" i="24"/>
  <c r="Z779" i="24"/>
  <c r="Z778" i="24"/>
  <c r="Z777" i="24"/>
  <c r="Z776" i="24"/>
  <c r="Z775" i="24"/>
  <c r="Z774" i="24"/>
  <c r="Z773" i="24"/>
  <c r="Z772" i="24"/>
  <c r="Z771" i="24"/>
  <c r="Z770" i="24"/>
  <c r="Z769" i="24"/>
  <c r="Z768" i="24"/>
  <c r="Z767" i="24"/>
  <c r="Z766" i="24"/>
  <c r="Z765" i="24"/>
  <c r="Z764" i="24"/>
  <c r="Z763" i="24"/>
  <c r="Z762" i="24"/>
  <c r="Z761" i="24"/>
  <c r="Z760" i="24"/>
  <c r="Z759" i="24"/>
  <c r="Z758" i="24"/>
  <c r="Z757" i="24"/>
  <c r="Z756" i="24"/>
  <c r="Z755" i="24"/>
  <c r="Z754" i="24"/>
  <c r="Z753" i="24"/>
  <c r="Z752" i="24"/>
  <c r="Z751" i="24"/>
  <c r="Z750" i="24"/>
  <c r="Z749" i="24"/>
  <c r="Z748" i="24"/>
  <c r="Z747" i="24"/>
  <c r="Z746" i="24"/>
  <c r="Z745" i="24"/>
  <c r="Z744" i="24"/>
  <c r="Z743" i="24"/>
  <c r="Z742" i="24"/>
  <c r="Z741" i="24"/>
  <c r="Z740" i="24"/>
  <c r="Z739" i="24"/>
  <c r="Z738" i="24"/>
  <c r="Z737" i="24"/>
  <c r="Z736" i="24"/>
  <c r="Z735" i="24"/>
  <c r="Z734" i="24"/>
  <c r="Z733" i="24"/>
  <c r="Z732" i="24"/>
  <c r="Z731" i="24"/>
  <c r="Z730" i="24"/>
  <c r="Z729" i="24"/>
  <c r="Z728" i="24"/>
  <c r="Z727" i="24"/>
  <c r="Z726" i="24"/>
  <c r="Z725" i="24"/>
  <c r="Z724" i="24"/>
  <c r="Z723" i="24"/>
  <c r="Z722" i="24"/>
  <c r="Z721" i="24"/>
  <c r="Z720" i="24"/>
  <c r="Z719" i="24"/>
  <c r="Z718" i="24"/>
  <c r="Z717" i="24"/>
  <c r="Z716" i="24"/>
  <c r="Z715" i="24"/>
  <c r="Z714" i="24"/>
  <c r="Z713" i="24"/>
  <c r="Z712" i="24"/>
  <c r="Z711" i="24"/>
  <c r="Z710" i="24"/>
  <c r="Z709" i="24"/>
  <c r="Z708" i="24"/>
  <c r="Z707" i="24"/>
  <c r="Z706" i="24"/>
  <c r="Z705" i="24"/>
  <c r="Z704" i="24"/>
  <c r="Z703" i="24"/>
  <c r="Z702" i="24"/>
  <c r="Z701" i="24"/>
  <c r="Z700" i="24"/>
  <c r="Z699" i="24"/>
  <c r="Z698" i="24"/>
  <c r="Z697" i="24"/>
  <c r="Z696" i="24"/>
  <c r="Z695" i="24"/>
  <c r="Z694" i="24"/>
  <c r="Z693" i="24"/>
  <c r="Z692" i="24"/>
  <c r="Z691" i="24"/>
  <c r="Z690" i="24"/>
  <c r="Z689" i="24"/>
  <c r="Z688" i="24"/>
  <c r="Z687" i="24"/>
  <c r="Z686" i="24"/>
  <c r="Z685" i="24"/>
  <c r="Z684" i="24"/>
  <c r="Z683" i="24"/>
  <c r="Z682" i="24"/>
  <c r="Z681" i="24"/>
  <c r="Z680" i="24"/>
  <c r="Z679" i="24"/>
  <c r="Z678" i="24"/>
  <c r="Z677" i="24"/>
  <c r="Z676" i="24"/>
  <c r="Z675" i="24"/>
  <c r="Z674" i="24"/>
  <c r="Z673" i="24"/>
  <c r="Z672" i="24"/>
  <c r="Z671" i="24"/>
  <c r="Z670" i="24"/>
  <c r="Z669" i="24"/>
  <c r="Z668" i="24"/>
  <c r="Z667" i="24"/>
  <c r="Z666" i="24"/>
  <c r="Z665" i="24"/>
  <c r="Z664" i="24"/>
  <c r="Z663" i="24"/>
  <c r="Z662" i="24"/>
  <c r="Z661" i="24"/>
  <c r="Z660" i="24"/>
  <c r="Z659" i="24"/>
  <c r="Z658" i="24"/>
  <c r="Z657" i="24"/>
  <c r="Z656" i="24"/>
  <c r="Z655" i="24"/>
  <c r="Z654" i="24"/>
  <c r="Z653" i="24"/>
  <c r="Z652" i="24"/>
  <c r="Z651" i="24"/>
  <c r="Z650" i="24"/>
  <c r="Z649" i="24"/>
  <c r="Z648" i="24"/>
  <c r="Z647" i="24"/>
  <c r="Z646" i="24"/>
  <c r="Z645" i="24"/>
  <c r="Z644" i="24"/>
  <c r="Z643" i="24"/>
  <c r="Z642" i="24"/>
  <c r="Z641" i="24"/>
  <c r="Z640" i="24"/>
  <c r="Z639" i="24"/>
  <c r="Z638" i="24"/>
  <c r="Z637" i="24"/>
  <c r="Z636" i="24"/>
  <c r="Z635" i="24"/>
  <c r="Z634" i="24"/>
  <c r="Z633" i="24"/>
  <c r="Z632" i="24"/>
  <c r="Z631" i="24"/>
  <c r="Z630" i="24"/>
  <c r="Z629" i="24"/>
  <c r="Z628" i="24"/>
  <c r="Z627" i="24"/>
  <c r="Z626" i="24"/>
  <c r="Z625" i="24"/>
  <c r="Z624" i="24"/>
  <c r="Z623" i="24"/>
  <c r="Z622" i="24"/>
  <c r="Z621" i="24"/>
  <c r="Z620" i="24"/>
  <c r="Z619" i="24"/>
  <c r="Z618" i="24"/>
  <c r="Z617" i="24"/>
  <c r="Z616" i="24"/>
  <c r="Z615" i="24"/>
  <c r="Z614" i="24"/>
  <c r="Z613" i="24"/>
  <c r="Z612" i="24"/>
  <c r="Z611" i="24"/>
  <c r="Z610" i="24"/>
  <c r="Z609" i="24"/>
  <c r="Z608" i="24"/>
  <c r="Z607" i="24"/>
  <c r="Z606" i="24"/>
  <c r="Z605" i="24"/>
  <c r="Z604" i="24"/>
  <c r="Z603" i="24"/>
  <c r="Z602" i="24"/>
  <c r="Z601" i="24"/>
  <c r="Z600" i="24"/>
  <c r="Z599" i="24"/>
  <c r="Z598" i="24"/>
  <c r="Z597" i="24"/>
  <c r="Z596" i="24"/>
  <c r="Z595" i="24"/>
  <c r="Z594" i="24"/>
  <c r="Z593" i="24"/>
  <c r="Z592" i="24"/>
  <c r="Z591" i="24"/>
  <c r="Z590" i="24"/>
  <c r="Z589" i="24"/>
  <c r="Z588" i="24"/>
  <c r="Z587" i="24"/>
  <c r="Z586" i="24"/>
  <c r="Z585" i="24"/>
  <c r="Z584" i="24"/>
  <c r="Z583" i="24"/>
  <c r="Z582" i="24"/>
  <c r="Z581" i="24"/>
  <c r="Z580" i="24"/>
  <c r="Z579" i="24"/>
  <c r="Z578" i="24"/>
  <c r="Z577" i="24"/>
  <c r="Z576" i="24"/>
  <c r="Z575" i="24"/>
  <c r="Z574" i="24"/>
  <c r="Z573" i="24"/>
  <c r="Z572" i="24"/>
  <c r="Z571" i="24"/>
  <c r="Z570" i="24"/>
  <c r="Z569" i="24"/>
  <c r="Z568" i="24"/>
  <c r="Z567" i="24"/>
  <c r="Z566" i="24"/>
  <c r="Z565" i="24"/>
  <c r="Z564" i="24"/>
  <c r="Z563" i="24"/>
  <c r="Z562" i="24"/>
  <c r="Z561" i="24"/>
  <c r="Z560" i="24"/>
  <c r="Z559" i="24"/>
  <c r="Z558" i="24"/>
  <c r="Z557" i="24"/>
  <c r="Z556" i="24"/>
  <c r="Z555" i="24"/>
  <c r="Z554" i="24"/>
  <c r="Z553" i="24"/>
  <c r="Z552" i="24"/>
  <c r="Z551" i="24"/>
  <c r="Z550" i="24"/>
  <c r="Z549" i="24"/>
  <c r="Z548" i="24"/>
  <c r="Z547" i="24"/>
  <c r="Z546" i="24"/>
  <c r="Z545" i="24"/>
  <c r="Z544" i="24"/>
  <c r="Z543" i="24"/>
  <c r="Z542" i="24"/>
  <c r="Z541" i="24"/>
  <c r="Z540" i="24"/>
  <c r="Z539" i="24"/>
  <c r="Z538" i="24"/>
  <c r="Z537" i="24"/>
  <c r="Z536" i="24"/>
  <c r="Z535" i="24"/>
  <c r="Z534" i="24"/>
  <c r="Z533" i="24"/>
  <c r="Z532" i="24"/>
  <c r="Z531" i="24"/>
  <c r="Z530" i="24"/>
  <c r="Z529" i="24"/>
  <c r="Z528" i="24"/>
  <c r="Z527" i="24"/>
  <c r="Z526" i="24"/>
  <c r="Z525" i="24"/>
  <c r="Z524" i="24"/>
  <c r="Z523" i="24"/>
  <c r="Z522" i="24"/>
  <c r="Z521" i="24"/>
  <c r="Z520" i="24"/>
  <c r="Z519" i="24"/>
  <c r="Z518" i="24"/>
  <c r="Z517" i="24"/>
  <c r="Z516" i="24"/>
  <c r="Z515" i="24"/>
  <c r="Z514" i="24"/>
  <c r="Z513" i="24"/>
  <c r="Z512" i="24"/>
  <c r="Z511" i="24"/>
  <c r="Z510" i="24"/>
  <c r="Z509" i="24"/>
  <c r="Z508" i="24"/>
  <c r="Z507" i="24"/>
  <c r="Z506" i="24"/>
  <c r="Z505" i="24"/>
  <c r="Z504" i="24"/>
  <c r="Z503" i="24"/>
  <c r="Z502" i="24"/>
  <c r="Z501" i="24"/>
  <c r="Z500" i="24"/>
  <c r="Z499" i="24"/>
  <c r="Z498" i="24"/>
  <c r="Z497" i="24"/>
  <c r="Z496" i="24"/>
  <c r="Z495" i="24"/>
  <c r="Z494" i="24"/>
  <c r="Z493" i="24"/>
  <c r="Z492" i="24"/>
  <c r="Z491" i="24"/>
  <c r="Z490" i="24"/>
  <c r="Z489" i="24"/>
  <c r="Z488" i="24"/>
  <c r="Z487" i="24"/>
  <c r="Z486" i="24"/>
  <c r="Z485" i="24"/>
  <c r="Z484" i="24"/>
  <c r="Z483" i="24"/>
  <c r="Z482" i="24"/>
  <c r="Z481" i="24"/>
  <c r="Z480" i="24"/>
  <c r="Z479" i="24"/>
  <c r="Z478" i="24"/>
  <c r="Z477" i="24"/>
  <c r="Z476" i="24"/>
  <c r="Z475" i="24"/>
  <c r="Z474" i="24"/>
  <c r="Z473" i="24"/>
  <c r="Z472" i="24"/>
  <c r="Z471" i="24"/>
  <c r="Z470" i="24"/>
  <c r="Z469" i="24"/>
  <c r="Z468" i="24"/>
  <c r="Z467" i="24"/>
  <c r="Z466" i="24"/>
  <c r="Z465" i="24"/>
  <c r="Z464" i="24"/>
  <c r="Z463" i="24"/>
  <c r="Z462" i="24"/>
  <c r="Z461" i="24"/>
  <c r="Z460" i="24"/>
  <c r="Z459" i="24"/>
  <c r="Z458" i="24"/>
  <c r="Z457" i="24"/>
  <c r="Z456" i="24"/>
  <c r="Z455" i="24"/>
  <c r="Z454" i="24"/>
  <c r="Z453" i="24"/>
  <c r="Z452" i="24"/>
  <c r="Z451" i="24"/>
  <c r="Z450" i="24"/>
  <c r="Z449" i="24"/>
  <c r="Z448" i="24"/>
  <c r="Z447" i="24"/>
  <c r="Z446" i="24"/>
  <c r="Z445" i="24"/>
  <c r="Z444" i="24"/>
  <c r="Z443" i="24"/>
  <c r="Z442" i="24"/>
  <c r="Z441" i="24"/>
  <c r="Z440" i="24"/>
  <c r="Z439" i="24"/>
  <c r="Z438" i="24"/>
  <c r="Z437" i="24"/>
  <c r="Z436" i="24"/>
  <c r="Z435" i="24"/>
  <c r="Z434" i="24"/>
  <c r="Z433" i="24"/>
  <c r="Z432" i="24"/>
  <c r="Z431" i="24"/>
  <c r="Z430" i="24"/>
  <c r="Z429" i="24"/>
  <c r="Z428" i="24"/>
  <c r="Z427" i="24"/>
  <c r="Z426" i="24"/>
  <c r="Z425" i="24"/>
  <c r="Z424" i="24"/>
  <c r="Z423" i="24"/>
  <c r="Z422" i="24"/>
  <c r="Z421" i="24"/>
  <c r="Z420" i="24"/>
  <c r="Z419" i="24"/>
  <c r="Z418" i="24"/>
  <c r="Z417" i="24"/>
  <c r="Z416" i="24"/>
  <c r="Z415" i="24"/>
  <c r="Z414" i="24"/>
  <c r="Z413" i="24"/>
  <c r="Z412" i="24"/>
  <c r="Z411" i="24"/>
  <c r="Z410" i="24"/>
  <c r="Z409" i="24"/>
  <c r="Z408" i="24"/>
  <c r="Z407" i="24"/>
  <c r="Z406" i="24"/>
  <c r="Z405" i="24"/>
  <c r="Z404" i="24"/>
  <c r="Z403" i="24"/>
  <c r="Z402" i="24"/>
  <c r="Z401" i="24"/>
  <c r="Z400" i="24"/>
  <c r="Z399" i="24"/>
  <c r="Z398" i="24"/>
  <c r="Z397" i="24"/>
  <c r="Z396" i="24"/>
  <c r="Z395" i="24"/>
  <c r="Z394" i="24"/>
  <c r="Z393" i="24"/>
  <c r="Z392" i="24"/>
  <c r="Z391" i="24"/>
  <c r="Z390" i="24"/>
  <c r="Z389" i="24"/>
  <c r="Z388" i="24"/>
  <c r="Z387" i="24"/>
  <c r="Z386" i="24"/>
  <c r="Z385" i="24"/>
  <c r="Z384" i="24"/>
  <c r="Z383" i="24"/>
  <c r="Z382" i="24"/>
  <c r="Z381" i="24"/>
  <c r="Z380" i="24"/>
  <c r="Z379" i="24"/>
  <c r="Z378" i="24"/>
  <c r="Z377" i="24"/>
  <c r="Z376" i="24"/>
  <c r="Z375" i="24"/>
  <c r="Z374" i="24"/>
  <c r="Z373" i="24"/>
  <c r="Z372" i="24"/>
  <c r="Z371" i="24"/>
  <c r="Z370" i="24"/>
  <c r="Z369" i="24"/>
  <c r="Z368" i="24"/>
  <c r="Z367" i="24"/>
  <c r="Z366" i="24"/>
  <c r="Z365" i="24"/>
  <c r="Z364" i="24"/>
  <c r="Z363" i="24"/>
  <c r="Z362" i="24"/>
  <c r="Z361" i="24"/>
  <c r="Z360" i="24"/>
  <c r="Z359" i="24"/>
  <c r="Z358" i="24"/>
  <c r="Z357" i="24"/>
  <c r="Z356" i="24"/>
  <c r="Z355" i="24"/>
  <c r="Z354" i="24"/>
  <c r="Z353" i="24"/>
  <c r="Z352" i="24"/>
  <c r="Z351" i="24"/>
  <c r="Z350" i="24"/>
  <c r="Z349" i="24"/>
  <c r="Z348" i="24"/>
  <c r="Z347" i="24"/>
  <c r="Z346" i="24"/>
  <c r="Z345" i="24"/>
  <c r="Z344" i="24"/>
  <c r="Z343" i="24"/>
  <c r="Z342" i="24"/>
  <c r="Z341" i="24"/>
  <c r="Z340" i="24"/>
  <c r="Z339" i="24"/>
  <c r="Z338" i="24"/>
  <c r="Z337" i="24"/>
  <c r="Z336" i="24"/>
  <c r="Z335" i="24"/>
  <c r="Z334" i="24"/>
  <c r="Z333" i="24"/>
  <c r="Z332" i="24"/>
  <c r="Z331" i="24"/>
  <c r="Z330" i="24"/>
  <c r="Z329" i="24"/>
  <c r="Z328" i="24"/>
  <c r="Z327" i="24"/>
  <c r="Z326" i="24"/>
  <c r="Z325" i="24"/>
  <c r="Z324" i="24"/>
  <c r="Z323" i="24"/>
  <c r="Z322" i="24"/>
  <c r="Z321" i="24"/>
  <c r="Z320" i="24"/>
  <c r="Z319" i="24"/>
  <c r="Z318" i="24"/>
  <c r="Z317" i="24"/>
  <c r="Z316" i="24"/>
  <c r="Z315" i="24"/>
  <c r="Z314" i="24"/>
  <c r="Z313" i="24"/>
  <c r="Z312" i="24"/>
  <c r="Z311" i="24"/>
  <c r="Z310" i="24"/>
  <c r="Z309" i="24"/>
  <c r="Z308" i="24"/>
  <c r="Z307" i="24"/>
  <c r="Z306" i="24"/>
  <c r="Z305" i="24"/>
  <c r="Z304" i="24"/>
  <c r="Z303" i="24"/>
  <c r="Z302" i="24"/>
  <c r="Z301" i="24"/>
  <c r="Z300" i="24"/>
  <c r="Z299" i="24"/>
  <c r="Z298" i="24"/>
  <c r="Z297" i="24"/>
  <c r="Z296" i="24"/>
  <c r="Z295" i="24"/>
  <c r="Z294" i="24"/>
  <c r="Z293" i="24"/>
  <c r="Z292" i="24"/>
  <c r="Z291" i="24"/>
  <c r="Z290" i="24"/>
  <c r="Z289" i="24"/>
  <c r="Z288" i="24"/>
  <c r="Z287" i="24"/>
  <c r="Z286" i="24"/>
  <c r="Z285" i="24"/>
  <c r="Z284" i="24"/>
  <c r="Z283" i="24"/>
  <c r="Z282" i="24"/>
  <c r="Z281" i="24"/>
  <c r="Z280" i="24"/>
  <c r="Z279" i="24"/>
  <c r="Z278" i="24"/>
  <c r="Z277" i="24"/>
  <c r="Z276" i="24"/>
  <c r="Z275" i="24"/>
  <c r="Z274" i="24"/>
  <c r="Z273" i="24"/>
  <c r="Z272" i="24"/>
  <c r="Z271" i="24"/>
  <c r="Z270" i="24"/>
  <c r="Z269" i="24"/>
  <c r="Z268" i="24"/>
  <c r="Z267" i="24"/>
  <c r="Z266" i="24"/>
  <c r="Z265" i="24"/>
  <c r="Z264" i="24"/>
  <c r="Z263" i="24"/>
  <c r="Z262" i="24"/>
  <c r="Z261" i="24"/>
  <c r="Z260" i="24"/>
  <c r="Z259" i="24"/>
  <c r="Z258" i="24"/>
  <c r="Z257" i="24"/>
  <c r="Z256" i="24"/>
  <c r="Z255" i="24"/>
  <c r="Z254" i="24"/>
  <c r="Z253" i="24"/>
  <c r="Z252" i="24"/>
  <c r="Z251" i="24"/>
  <c r="Z250" i="24"/>
  <c r="Z249" i="24"/>
  <c r="Z248" i="24"/>
  <c r="Z247" i="24"/>
  <c r="Z246" i="24"/>
  <c r="Z245" i="24"/>
  <c r="Z244" i="24"/>
  <c r="Z243" i="24"/>
  <c r="Z242" i="24"/>
  <c r="Z241" i="24"/>
  <c r="Z240" i="24"/>
  <c r="Z239" i="24"/>
  <c r="Z238" i="24"/>
  <c r="Z237" i="24"/>
  <c r="Z236" i="24"/>
  <c r="Z235" i="24"/>
  <c r="Z234" i="24"/>
  <c r="Z233" i="24"/>
  <c r="Z232" i="24"/>
  <c r="Z231" i="24"/>
  <c r="Z230" i="24"/>
  <c r="Z229" i="24"/>
  <c r="Z228" i="24"/>
  <c r="Z227" i="24"/>
  <c r="Z226" i="24"/>
  <c r="Z225" i="24"/>
  <c r="Z224" i="24"/>
  <c r="Z223" i="24"/>
  <c r="Z222" i="24"/>
  <c r="Z221" i="24"/>
  <c r="Z220" i="24"/>
  <c r="Z219" i="24"/>
  <c r="Z218" i="24"/>
  <c r="Z217" i="24"/>
  <c r="Z216" i="24"/>
  <c r="Z215" i="24"/>
  <c r="Z214" i="24"/>
  <c r="Z213" i="24"/>
  <c r="Z212" i="24"/>
  <c r="Z211" i="24"/>
  <c r="Z210" i="24"/>
  <c r="Z209" i="24"/>
  <c r="Z208" i="24"/>
  <c r="Z207" i="24"/>
  <c r="Z206" i="24"/>
  <c r="Z205" i="24"/>
  <c r="Z204" i="24"/>
  <c r="Z203" i="24"/>
  <c r="Z202" i="24"/>
  <c r="Z201" i="24"/>
  <c r="Z200" i="24"/>
  <c r="Z199" i="24"/>
  <c r="Z198" i="24"/>
  <c r="Z197" i="24"/>
  <c r="Z196" i="24"/>
  <c r="Z195" i="24"/>
  <c r="Z194" i="24"/>
  <c r="Z193" i="24"/>
  <c r="Z192" i="24"/>
  <c r="Z191" i="24"/>
  <c r="Z190" i="24"/>
  <c r="Z189" i="24"/>
  <c r="Z188" i="24"/>
  <c r="Z187" i="24"/>
  <c r="Z186" i="24"/>
  <c r="Z185" i="24"/>
  <c r="Z184" i="24"/>
  <c r="Z183" i="24"/>
  <c r="Z182" i="24"/>
  <c r="Z181" i="24"/>
  <c r="Z180" i="24"/>
  <c r="Z179" i="24"/>
  <c r="Z178" i="24"/>
  <c r="Z177" i="24"/>
  <c r="Z176" i="24"/>
  <c r="Z175" i="24"/>
  <c r="Z174" i="24"/>
  <c r="Z173" i="24"/>
  <c r="Z172" i="24"/>
  <c r="Z171" i="24"/>
  <c r="Z170" i="24"/>
  <c r="Z169" i="24"/>
  <c r="Z168" i="24"/>
  <c r="Z167" i="24"/>
  <c r="Z166" i="24"/>
  <c r="Z165" i="24"/>
  <c r="Z164" i="24"/>
  <c r="Z163" i="24"/>
  <c r="Z162" i="24"/>
  <c r="Z161" i="24"/>
  <c r="Z160" i="24"/>
  <c r="Z159" i="24"/>
  <c r="Z158" i="24"/>
  <c r="Z157" i="24"/>
  <c r="Z156" i="24"/>
  <c r="Z155" i="24"/>
  <c r="Z154" i="24"/>
  <c r="Z153" i="24"/>
  <c r="Z152" i="24"/>
  <c r="Z151" i="24"/>
  <c r="Z150" i="24"/>
  <c r="Z149" i="24"/>
  <c r="Z148" i="24"/>
  <c r="Z147" i="24"/>
  <c r="Z146" i="24"/>
  <c r="Z145" i="24"/>
  <c r="Z144" i="24"/>
  <c r="Z143" i="24"/>
  <c r="Z142" i="24"/>
  <c r="Z141" i="24"/>
  <c r="Z140" i="24"/>
  <c r="Z139" i="24"/>
  <c r="Z138" i="24"/>
  <c r="Z137" i="24"/>
  <c r="Z136" i="24"/>
  <c r="Z135" i="24"/>
  <c r="Z134" i="24"/>
  <c r="Z133" i="24"/>
  <c r="Z132" i="24"/>
  <c r="Z131" i="24"/>
  <c r="Z130" i="24"/>
  <c r="Z129" i="24"/>
  <c r="Z128" i="24"/>
  <c r="Z127" i="24"/>
  <c r="Z126" i="24"/>
  <c r="Z125" i="24"/>
  <c r="Z124" i="24"/>
  <c r="Z123" i="24"/>
  <c r="Z122" i="24"/>
  <c r="Z121" i="24"/>
  <c r="Z120" i="24"/>
  <c r="Z119" i="24"/>
  <c r="Z118" i="24"/>
  <c r="Z117" i="24"/>
  <c r="Z116" i="24"/>
  <c r="Z115" i="24"/>
  <c r="Z114" i="24"/>
  <c r="Z113" i="24"/>
  <c r="Z112" i="24"/>
  <c r="Z111" i="24"/>
  <c r="Z110" i="24"/>
  <c r="Z109" i="24"/>
  <c r="Z108" i="24"/>
  <c r="Z107" i="24"/>
  <c r="Z106" i="24"/>
  <c r="Z105" i="24"/>
  <c r="Z104" i="24"/>
  <c r="Z103" i="24"/>
  <c r="Z102" i="24"/>
  <c r="Z101" i="24"/>
  <c r="Z100" i="24"/>
  <c r="Z99" i="24"/>
  <c r="Z98" i="24"/>
  <c r="Z97" i="24"/>
  <c r="Z96" i="24"/>
  <c r="Z95" i="24"/>
  <c r="Z94" i="24"/>
  <c r="Z93" i="24"/>
  <c r="Z92" i="24"/>
  <c r="Z91" i="24"/>
  <c r="Z90" i="24"/>
  <c r="Z89" i="24"/>
  <c r="Z88" i="24"/>
  <c r="Z87" i="24"/>
  <c r="Z86" i="24"/>
  <c r="Z85" i="24"/>
  <c r="Z84" i="24"/>
  <c r="Z83" i="24"/>
  <c r="Z82" i="24"/>
  <c r="Z81" i="24"/>
  <c r="Z80" i="24"/>
  <c r="Z79" i="24"/>
  <c r="Z78" i="24"/>
  <c r="Z77" i="24"/>
  <c r="Z76" i="24"/>
  <c r="Z75" i="24"/>
  <c r="Z74" i="24"/>
  <c r="Z73" i="24"/>
  <c r="Z72" i="24"/>
  <c r="Z71" i="24"/>
  <c r="Z70" i="24"/>
  <c r="Z69" i="24"/>
  <c r="Z68" i="24"/>
  <c r="Z67" i="24"/>
  <c r="Z66" i="24"/>
  <c r="Z65" i="24"/>
  <c r="Z64" i="24"/>
  <c r="Z63" i="24"/>
  <c r="Z62" i="24"/>
  <c r="Z61" i="24"/>
  <c r="Z60" i="24"/>
  <c r="Z59" i="24"/>
  <c r="Z58" i="24"/>
  <c r="Z57" i="24"/>
  <c r="Z56" i="24"/>
  <c r="Z55" i="24"/>
  <c r="Z54" i="24"/>
  <c r="Z53" i="24"/>
  <c r="Z52" i="24"/>
  <c r="Z51" i="24"/>
  <c r="Z50" i="24"/>
  <c r="Z49" i="24"/>
  <c r="Z48" i="24"/>
  <c r="Z47" i="24"/>
  <c r="Z46" i="24"/>
  <c r="Z45" i="24"/>
  <c r="Z44" i="24"/>
  <c r="Z43" i="24"/>
  <c r="Z42" i="24"/>
  <c r="Z41" i="24"/>
  <c r="Z40" i="24"/>
  <c r="Z39" i="24"/>
  <c r="Z38" i="24"/>
  <c r="Z37" i="24"/>
  <c r="Z36" i="24"/>
  <c r="Z35" i="24"/>
  <c r="Z34" i="24"/>
  <c r="Z33" i="24"/>
  <c r="A33" i="24"/>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A60" i="24" s="1"/>
  <c r="A61" i="24" s="1"/>
  <c r="A62" i="24" s="1"/>
  <c r="A63" i="24" s="1"/>
  <c r="A64" i="24" s="1"/>
  <c r="A65" i="24" s="1"/>
  <c r="A66" i="24" s="1"/>
  <c r="A67" i="24" s="1"/>
  <c r="A68" i="24" s="1"/>
  <c r="A69" i="24" s="1"/>
  <c r="A70" i="24" s="1"/>
  <c r="A71" i="24" s="1"/>
  <c r="A72" i="24" s="1"/>
  <c r="A73" i="24" s="1"/>
  <c r="A74" i="24" s="1"/>
  <c r="A75" i="24" s="1"/>
  <c r="A76" i="24" s="1"/>
  <c r="A77" i="24" s="1"/>
  <c r="A78" i="24" s="1"/>
  <c r="A79" i="24" s="1"/>
  <c r="A80" i="24" s="1"/>
  <c r="A81" i="24" s="1"/>
  <c r="A82" i="24" s="1"/>
  <c r="A83" i="24" s="1"/>
  <c r="A84" i="24" s="1"/>
  <c r="A85" i="24" s="1"/>
  <c r="A86" i="24" s="1"/>
  <c r="A87" i="24" s="1"/>
  <c r="A88" i="24" s="1"/>
  <c r="A89" i="24" s="1"/>
  <c r="A90" i="24" s="1"/>
  <c r="A91" i="24" s="1"/>
  <c r="A92" i="24" s="1"/>
  <c r="A93" i="24" s="1"/>
  <c r="A94" i="24" s="1"/>
  <c r="A95" i="24" s="1"/>
  <c r="A96" i="24" s="1"/>
  <c r="A97" i="24" s="1"/>
  <c r="A98" i="24" s="1"/>
  <c r="A99" i="24" s="1"/>
  <c r="A100" i="24" s="1"/>
  <c r="A101" i="24" s="1"/>
  <c r="A102" i="24" s="1"/>
  <c r="A103" i="24" s="1"/>
  <c r="A104" i="24" s="1"/>
  <c r="A105" i="24" s="1"/>
  <c r="A106" i="24" s="1"/>
  <c r="A107" i="24" s="1"/>
  <c r="A108" i="24" s="1"/>
  <c r="A109" i="24" s="1"/>
  <c r="A110" i="24" s="1"/>
  <c r="A111" i="24" s="1"/>
  <c r="A112" i="24" s="1"/>
  <c r="A113" i="24" s="1"/>
  <c r="A114" i="24" s="1"/>
  <c r="A115" i="24" s="1"/>
  <c r="A116" i="24" s="1"/>
  <c r="A117" i="24" s="1"/>
  <c r="A118" i="24" s="1"/>
  <c r="A119" i="24" s="1"/>
  <c r="A120" i="24" s="1"/>
  <c r="A121" i="24" s="1"/>
  <c r="A122" i="24" s="1"/>
  <c r="A123" i="24" s="1"/>
  <c r="A124" i="24" s="1"/>
  <c r="A125" i="24" s="1"/>
  <c r="A126" i="24" s="1"/>
  <c r="A127" i="24" s="1"/>
  <c r="A128" i="24" s="1"/>
  <c r="A129" i="24" s="1"/>
  <c r="A130" i="24" s="1"/>
  <c r="A131" i="24" s="1"/>
  <c r="A132" i="24" s="1"/>
  <c r="A133" i="24" s="1"/>
  <c r="A134" i="24" s="1"/>
  <c r="A135" i="24" s="1"/>
  <c r="A136" i="24" s="1"/>
  <c r="A137" i="24" s="1"/>
  <c r="A138" i="24" s="1"/>
  <c r="A139" i="24" s="1"/>
  <c r="A140" i="24" s="1"/>
  <c r="A141" i="24" s="1"/>
  <c r="A142" i="24" s="1"/>
  <c r="A143" i="24" s="1"/>
  <c r="A144" i="24" s="1"/>
  <c r="A145" i="24" s="1"/>
  <c r="A146" i="24" s="1"/>
  <c r="A147" i="24" s="1"/>
  <c r="A148" i="24" s="1"/>
  <c r="A149" i="24" s="1"/>
  <c r="A150" i="24" s="1"/>
  <c r="A151" i="24" s="1"/>
  <c r="A152" i="24" s="1"/>
  <c r="A153" i="24" s="1"/>
  <c r="A154" i="24" s="1"/>
  <c r="A155" i="24" s="1"/>
  <c r="A156" i="24" s="1"/>
  <c r="A157" i="24" s="1"/>
  <c r="A158" i="24" s="1"/>
  <c r="A159" i="24" s="1"/>
  <c r="A160" i="24" s="1"/>
  <c r="A161" i="24" s="1"/>
  <c r="A162" i="24" s="1"/>
  <c r="A163" i="24" s="1"/>
  <c r="A164" i="24" s="1"/>
  <c r="A165" i="24" s="1"/>
  <c r="A166" i="24" s="1"/>
  <c r="A167" i="24" s="1"/>
  <c r="A168" i="24" s="1"/>
  <c r="A169" i="24" s="1"/>
  <c r="A170" i="24" s="1"/>
  <c r="A171" i="24" s="1"/>
  <c r="A172" i="24" s="1"/>
  <c r="A173" i="24" s="1"/>
  <c r="A174" i="24" s="1"/>
  <c r="A175" i="24" s="1"/>
  <c r="A176" i="24" s="1"/>
  <c r="A177" i="24" s="1"/>
  <c r="A178" i="24" s="1"/>
  <c r="A179" i="24" s="1"/>
  <c r="A180" i="24" s="1"/>
  <c r="A181" i="24" s="1"/>
  <c r="A182" i="24" s="1"/>
  <c r="A183" i="24" s="1"/>
  <c r="A184" i="24" s="1"/>
  <c r="A185" i="24" s="1"/>
  <c r="A186" i="24" s="1"/>
  <c r="A187" i="24" s="1"/>
  <c r="A188" i="24" s="1"/>
  <c r="A189" i="24" s="1"/>
  <c r="A190" i="24" s="1"/>
  <c r="A191" i="24" s="1"/>
  <c r="A192" i="24" s="1"/>
  <c r="A193" i="24" s="1"/>
  <c r="A194" i="24" s="1"/>
  <c r="A195" i="24" s="1"/>
  <c r="A196" i="24" s="1"/>
  <c r="A197" i="24" s="1"/>
  <c r="A198" i="24" s="1"/>
  <c r="A199" i="24" s="1"/>
  <c r="A200" i="24" s="1"/>
  <c r="A201" i="24" s="1"/>
  <c r="A202" i="24" s="1"/>
  <c r="A203" i="24" s="1"/>
  <c r="A204" i="24" s="1"/>
  <c r="A205" i="24" s="1"/>
  <c r="A206" i="24" s="1"/>
  <c r="A207" i="24" s="1"/>
  <c r="A208" i="24" s="1"/>
  <c r="A209" i="24" s="1"/>
  <c r="A210" i="24" s="1"/>
  <c r="A211" i="24" s="1"/>
  <c r="A212" i="24" s="1"/>
  <c r="A213" i="24" s="1"/>
  <c r="A214" i="24" s="1"/>
  <c r="A215" i="24" s="1"/>
  <c r="A216" i="24" s="1"/>
  <c r="A217" i="24" s="1"/>
  <c r="A218" i="24" s="1"/>
  <c r="A219" i="24" s="1"/>
  <c r="A220" i="24" s="1"/>
  <c r="A221" i="24" s="1"/>
  <c r="A222" i="24" s="1"/>
  <c r="A223" i="24" s="1"/>
  <c r="A224" i="24" s="1"/>
  <c r="A225" i="24" s="1"/>
  <c r="A226" i="24" s="1"/>
  <c r="A227" i="24" s="1"/>
  <c r="A228" i="24" s="1"/>
  <c r="A229" i="24" s="1"/>
  <c r="A230" i="24" s="1"/>
  <c r="A231" i="24" s="1"/>
  <c r="A232" i="24" s="1"/>
  <c r="A233" i="24" s="1"/>
  <c r="A234" i="24" s="1"/>
  <c r="A235" i="24" s="1"/>
  <c r="A236" i="24" s="1"/>
  <c r="A237" i="24" s="1"/>
  <c r="A238" i="24" s="1"/>
  <c r="A239" i="24" s="1"/>
  <c r="A240" i="24" s="1"/>
  <c r="A241" i="24" s="1"/>
  <c r="A242" i="24" s="1"/>
  <c r="A243" i="24" s="1"/>
  <c r="A244" i="24" s="1"/>
  <c r="A245" i="24" s="1"/>
  <c r="A246" i="24" s="1"/>
  <c r="A247" i="24" s="1"/>
  <c r="A248" i="24" s="1"/>
  <c r="A249" i="24" s="1"/>
  <c r="A250" i="24" s="1"/>
  <c r="A251" i="24" s="1"/>
  <c r="A252" i="24" s="1"/>
  <c r="A253" i="24" s="1"/>
  <c r="A254" i="24" s="1"/>
  <c r="A255" i="24" s="1"/>
  <c r="A256" i="24" s="1"/>
  <c r="A257" i="24" s="1"/>
  <c r="A258" i="24" s="1"/>
  <c r="A259" i="24" s="1"/>
  <c r="A260" i="24" s="1"/>
  <c r="A261" i="24" s="1"/>
  <c r="A262" i="24" s="1"/>
  <c r="A263" i="24" s="1"/>
  <c r="A264" i="24" s="1"/>
  <c r="A265" i="24" s="1"/>
  <c r="A266" i="24" s="1"/>
  <c r="A267" i="24" s="1"/>
  <c r="A268" i="24" s="1"/>
  <c r="A269" i="24" s="1"/>
  <c r="A270" i="24" s="1"/>
  <c r="A271" i="24" s="1"/>
  <c r="A272" i="24" s="1"/>
  <c r="A273" i="24" s="1"/>
  <c r="A274" i="24" s="1"/>
  <c r="A275" i="24" s="1"/>
  <c r="A276" i="24" s="1"/>
  <c r="A277" i="24" s="1"/>
  <c r="A278" i="24" s="1"/>
  <c r="A279" i="24" s="1"/>
  <c r="A280" i="24" s="1"/>
  <c r="A281" i="24" s="1"/>
  <c r="A282" i="24" s="1"/>
  <c r="A283" i="24" s="1"/>
  <c r="A284" i="24" s="1"/>
  <c r="A285" i="24" s="1"/>
  <c r="A286" i="24" s="1"/>
  <c r="A287" i="24" s="1"/>
  <c r="A288" i="24" s="1"/>
  <c r="A289" i="24" s="1"/>
  <c r="A290" i="24" s="1"/>
  <c r="A291" i="24" s="1"/>
  <c r="A292" i="24" s="1"/>
  <c r="A293" i="24" s="1"/>
  <c r="A294" i="24" s="1"/>
  <c r="A295" i="24" s="1"/>
  <c r="A296" i="24" s="1"/>
  <c r="A297" i="24" s="1"/>
  <c r="A298" i="24" s="1"/>
  <c r="A299" i="24" s="1"/>
  <c r="A300" i="24" s="1"/>
  <c r="A301" i="24" s="1"/>
  <c r="A302" i="24" s="1"/>
  <c r="A303" i="24" s="1"/>
  <c r="A304" i="24" s="1"/>
  <c r="A305" i="24" s="1"/>
  <c r="A306" i="24" s="1"/>
  <c r="A307" i="24" s="1"/>
  <c r="A308" i="24" s="1"/>
  <c r="A309" i="24" s="1"/>
  <c r="A310" i="24" s="1"/>
  <c r="A311" i="24" s="1"/>
  <c r="A312" i="24" s="1"/>
  <c r="A313" i="24" s="1"/>
  <c r="A314" i="24" s="1"/>
  <c r="A315" i="24" s="1"/>
  <c r="A316" i="24" s="1"/>
  <c r="A317" i="24" s="1"/>
  <c r="A318" i="24" s="1"/>
  <c r="A319" i="24" s="1"/>
  <c r="A320" i="24" s="1"/>
  <c r="A321" i="24" s="1"/>
  <c r="A322" i="24" s="1"/>
  <c r="A323" i="24" s="1"/>
  <c r="A324" i="24" s="1"/>
  <c r="A325" i="24" s="1"/>
  <c r="A326" i="24" s="1"/>
  <c r="A327" i="24" s="1"/>
  <c r="A328" i="24" s="1"/>
  <c r="A329" i="24" s="1"/>
  <c r="A330" i="24" s="1"/>
  <c r="A331" i="24" s="1"/>
  <c r="A332" i="24" s="1"/>
  <c r="A333" i="24" s="1"/>
  <c r="A334" i="24" s="1"/>
  <c r="A335" i="24" s="1"/>
  <c r="A336" i="24" s="1"/>
  <c r="A337" i="24" s="1"/>
  <c r="A338" i="24" s="1"/>
  <c r="A339" i="24" s="1"/>
  <c r="A340" i="24" s="1"/>
  <c r="A341" i="24" s="1"/>
  <c r="A342" i="24" s="1"/>
  <c r="A343" i="24" s="1"/>
  <c r="A344" i="24" s="1"/>
  <c r="A345" i="24" s="1"/>
  <c r="A346" i="24" s="1"/>
  <c r="A347" i="24" s="1"/>
  <c r="A348" i="24" s="1"/>
  <c r="A349" i="24" s="1"/>
  <c r="A350" i="24" s="1"/>
  <c r="A351" i="24" s="1"/>
  <c r="A352" i="24" s="1"/>
  <c r="A353" i="24" s="1"/>
  <c r="A354" i="24" s="1"/>
  <c r="A355" i="24" s="1"/>
  <c r="A356" i="24" s="1"/>
  <c r="A357" i="24" s="1"/>
  <c r="A358" i="24" s="1"/>
  <c r="A359" i="24" s="1"/>
  <c r="A360" i="24" s="1"/>
  <c r="A361" i="24" s="1"/>
  <c r="A362" i="24" s="1"/>
  <c r="A363" i="24" s="1"/>
  <c r="A364" i="24" s="1"/>
  <c r="A365" i="24" s="1"/>
  <c r="A366" i="24" s="1"/>
  <c r="A367" i="24" s="1"/>
  <c r="A368" i="24" s="1"/>
  <c r="A369" i="24" s="1"/>
  <c r="A370" i="24" s="1"/>
  <c r="A371" i="24" s="1"/>
  <c r="A372" i="24" s="1"/>
  <c r="A373" i="24" s="1"/>
  <c r="A374" i="24" s="1"/>
  <c r="A375" i="24" s="1"/>
  <c r="A376" i="24" s="1"/>
  <c r="A377" i="24" s="1"/>
  <c r="A378" i="24" s="1"/>
  <c r="A379" i="24" s="1"/>
  <c r="A380" i="24" s="1"/>
  <c r="A381" i="24" s="1"/>
  <c r="A382" i="24" s="1"/>
  <c r="A383" i="24" s="1"/>
  <c r="A384" i="24" s="1"/>
  <c r="A385" i="24" s="1"/>
  <c r="A386" i="24" s="1"/>
  <c r="A387" i="24" s="1"/>
  <c r="A388" i="24" s="1"/>
  <c r="A389" i="24" s="1"/>
  <c r="A390" i="24" s="1"/>
  <c r="A391" i="24" s="1"/>
  <c r="A392" i="24" s="1"/>
  <c r="A393" i="24" s="1"/>
  <c r="A394" i="24" s="1"/>
  <c r="A395" i="24" s="1"/>
  <c r="A396" i="24" s="1"/>
  <c r="A397" i="24" s="1"/>
  <c r="A398" i="24" s="1"/>
  <c r="A399" i="24" s="1"/>
  <c r="A400" i="24" s="1"/>
  <c r="A401" i="24" s="1"/>
  <c r="A402" i="24" s="1"/>
  <c r="A403" i="24" s="1"/>
  <c r="A404" i="24" s="1"/>
  <c r="A405" i="24" s="1"/>
  <c r="A406" i="24" s="1"/>
  <c r="A407" i="24" s="1"/>
  <c r="A408" i="24" s="1"/>
  <c r="A409" i="24" s="1"/>
  <c r="A410" i="24" s="1"/>
  <c r="A411" i="24" s="1"/>
  <c r="A412" i="24" s="1"/>
  <c r="A413" i="24" s="1"/>
  <c r="A414" i="24" s="1"/>
  <c r="A415" i="24" s="1"/>
  <c r="A416" i="24" s="1"/>
  <c r="A417" i="24" s="1"/>
  <c r="A418" i="24" s="1"/>
  <c r="A419" i="24" s="1"/>
  <c r="A420" i="24" s="1"/>
  <c r="A421" i="24" s="1"/>
  <c r="A422" i="24" s="1"/>
  <c r="A423" i="24" s="1"/>
  <c r="A424" i="24" s="1"/>
  <c r="A425" i="24" s="1"/>
  <c r="A426" i="24" s="1"/>
  <c r="A427" i="24" s="1"/>
  <c r="A428" i="24" s="1"/>
  <c r="A429" i="24" s="1"/>
  <c r="A430" i="24" s="1"/>
  <c r="A431" i="24" s="1"/>
  <c r="A432" i="24" s="1"/>
  <c r="A433" i="24" s="1"/>
  <c r="A434" i="24" s="1"/>
  <c r="A435" i="24" s="1"/>
  <c r="A436" i="24" s="1"/>
  <c r="A437" i="24" s="1"/>
  <c r="A438" i="24" s="1"/>
  <c r="A439" i="24" s="1"/>
  <c r="A440" i="24" s="1"/>
  <c r="A441" i="24" s="1"/>
  <c r="A442" i="24" s="1"/>
  <c r="A443" i="24" s="1"/>
  <c r="A444" i="24" s="1"/>
  <c r="A445" i="24" s="1"/>
  <c r="A446" i="24" s="1"/>
  <c r="A447" i="24" s="1"/>
  <c r="A448" i="24" s="1"/>
  <c r="A449" i="24" s="1"/>
  <c r="A450" i="24" s="1"/>
  <c r="A451" i="24" s="1"/>
  <c r="A452" i="24" s="1"/>
  <c r="A453" i="24" s="1"/>
  <c r="A454" i="24" s="1"/>
  <c r="A455" i="24" s="1"/>
  <c r="A456" i="24" s="1"/>
  <c r="A457" i="24" s="1"/>
  <c r="A458" i="24" s="1"/>
  <c r="A459" i="24" s="1"/>
  <c r="A460" i="24" s="1"/>
  <c r="A461" i="24" s="1"/>
  <c r="A462" i="24" s="1"/>
  <c r="A463" i="24" s="1"/>
  <c r="A464" i="24" s="1"/>
  <c r="A465" i="24" s="1"/>
  <c r="A466" i="24" s="1"/>
  <c r="A467" i="24" s="1"/>
  <c r="A468" i="24" s="1"/>
  <c r="A469" i="24" s="1"/>
  <c r="A470" i="24" s="1"/>
  <c r="A471" i="24" s="1"/>
  <c r="A472" i="24" s="1"/>
  <c r="A473" i="24" s="1"/>
  <c r="A474" i="24" s="1"/>
  <c r="A475" i="24" s="1"/>
  <c r="A476" i="24" s="1"/>
  <c r="A477" i="24" s="1"/>
  <c r="A478" i="24" s="1"/>
  <c r="A479" i="24" s="1"/>
  <c r="A480" i="24" s="1"/>
  <c r="A481" i="24" s="1"/>
  <c r="A482" i="24" s="1"/>
  <c r="A483" i="24" s="1"/>
  <c r="A484" i="24" s="1"/>
  <c r="A485" i="24" s="1"/>
  <c r="A486" i="24" s="1"/>
  <c r="A487" i="24" s="1"/>
  <c r="A488" i="24" s="1"/>
  <c r="A489" i="24" s="1"/>
  <c r="A490" i="24" s="1"/>
  <c r="A491" i="24" s="1"/>
  <c r="A492" i="24" s="1"/>
  <c r="A493" i="24" s="1"/>
  <c r="A494" i="24" s="1"/>
  <c r="A495" i="24" s="1"/>
  <c r="A496" i="24" s="1"/>
  <c r="A497" i="24" s="1"/>
  <c r="A498" i="24" s="1"/>
  <c r="A499" i="24" s="1"/>
  <c r="A500" i="24" s="1"/>
  <c r="A501" i="24" s="1"/>
  <c r="A502" i="24" s="1"/>
  <c r="A503" i="24" s="1"/>
  <c r="A504" i="24" s="1"/>
  <c r="A505" i="24" s="1"/>
  <c r="A506" i="24" s="1"/>
  <c r="A507" i="24" s="1"/>
  <c r="A508" i="24" s="1"/>
  <c r="A509" i="24" s="1"/>
  <c r="A510" i="24" s="1"/>
  <c r="A511" i="24" s="1"/>
  <c r="A512" i="24" s="1"/>
  <c r="A513" i="24" s="1"/>
  <c r="A514" i="24" s="1"/>
  <c r="A515" i="24" s="1"/>
  <c r="A516" i="24" s="1"/>
  <c r="A517" i="24" s="1"/>
  <c r="A518" i="24" s="1"/>
  <c r="A519" i="24" s="1"/>
  <c r="A520" i="24" s="1"/>
  <c r="A521" i="24" s="1"/>
  <c r="A522" i="24" s="1"/>
  <c r="A523" i="24" s="1"/>
  <c r="A524" i="24" s="1"/>
  <c r="A525" i="24" s="1"/>
  <c r="A526" i="24" s="1"/>
  <c r="A527" i="24" s="1"/>
  <c r="A528" i="24" s="1"/>
  <c r="A529" i="24" s="1"/>
  <c r="A530" i="24" s="1"/>
  <c r="A531" i="24" s="1"/>
  <c r="A532" i="24" s="1"/>
  <c r="A533" i="24" s="1"/>
  <c r="A534" i="24" s="1"/>
  <c r="A535" i="24" s="1"/>
  <c r="A536" i="24" s="1"/>
  <c r="A537" i="24" s="1"/>
  <c r="A538" i="24" s="1"/>
  <c r="A539" i="24" s="1"/>
  <c r="A540" i="24" s="1"/>
  <c r="A541" i="24" s="1"/>
  <c r="A542" i="24" s="1"/>
  <c r="A543" i="24" s="1"/>
  <c r="A544" i="24" s="1"/>
  <c r="A545" i="24" s="1"/>
  <c r="A546" i="24" s="1"/>
  <c r="A547" i="24" s="1"/>
  <c r="A548" i="24" s="1"/>
  <c r="A549" i="24" s="1"/>
  <c r="A550" i="24" s="1"/>
  <c r="A551" i="24" s="1"/>
  <c r="A552" i="24" s="1"/>
  <c r="A553" i="24" s="1"/>
  <c r="A554" i="24" s="1"/>
  <c r="A555" i="24" s="1"/>
  <c r="A556" i="24" s="1"/>
  <c r="A557" i="24" s="1"/>
  <c r="A558" i="24" s="1"/>
  <c r="A559" i="24" s="1"/>
  <c r="A560" i="24" s="1"/>
  <c r="A561" i="24" s="1"/>
  <c r="A562" i="24" s="1"/>
  <c r="A563" i="24" s="1"/>
  <c r="A564" i="24" s="1"/>
  <c r="A565" i="24" s="1"/>
  <c r="A566" i="24" s="1"/>
  <c r="A567" i="24" s="1"/>
  <c r="A568" i="24" s="1"/>
  <c r="A569" i="24" s="1"/>
  <c r="A570" i="24" s="1"/>
  <c r="A571" i="24" s="1"/>
  <c r="A572" i="24" s="1"/>
  <c r="A573" i="24" s="1"/>
  <c r="A574" i="24" s="1"/>
  <c r="A575" i="24" s="1"/>
  <c r="A576" i="24" s="1"/>
  <c r="A577" i="24" s="1"/>
  <c r="A578" i="24" s="1"/>
  <c r="A579" i="24" s="1"/>
  <c r="A580" i="24" s="1"/>
  <c r="A581" i="24" s="1"/>
  <c r="A582" i="24" s="1"/>
  <c r="A583" i="24" s="1"/>
  <c r="A584" i="24" s="1"/>
  <c r="A585" i="24" s="1"/>
  <c r="A586" i="24" s="1"/>
  <c r="A587" i="24" s="1"/>
  <c r="A588" i="24" s="1"/>
  <c r="A589" i="24" s="1"/>
  <c r="A590" i="24" s="1"/>
  <c r="A591" i="24" s="1"/>
  <c r="A592" i="24" s="1"/>
  <c r="A593" i="24" s="1"/>
  <c r="A594" i="24" s="1"/>
  <c r="A595" i="24" s="1"/>
  <c r="A596" i="24" s="1"/>
  <c r="A597" i="24" s="1"/>
  <c r="A598" i="24" s="1"/>
  <c r="A599" i="24" s="1"/>
  <c r="A600" i="24" s="1"/>
  <c r="A601" i="24" s="1"/>
  <c r="A602" i="24" s="1"/>
  <c r="A603" i="24" s="1"/>
  <c r="A604" i="24" s="1"/>
  <c r="A605" i="24" s="1"/>
  <c r="A606" i="24" s="1"/>
  <c r="A607" i="24" s="1"/>
  <c r="A608" i="24" s="1"/>
  <c r="A609" i="24" s="1"/>
  <c r="A610" i="24" s="1"/>
  <c r="A611" i="24" s="1"/>
  <c r="A612" i="24" s="1"/>
  <c r="A613" i="24" s="1"/>
  <c r="A614" i="24" s="1"/>
  <c r="A615" i="24" s="1"/>
  <c r="A616" i="24" s="1"/>
  <c r="A617" i="24" s="1"/>
  <c r="A618" i="24" s="1"/>
  <c r="A619" i="24" s="1"/>
  <c r="A620" i="24" s="1"/>
  <c r="A621" i="24" s="1"/>
  <c r="A622" i="24" s="1"/>
  <c r="A623" i="24" s="1"/>
  <c r="A624" i="24" s="1"/>
  <c r="A625" i="24" s="1"/>
  <c r="A626" i="24" s="1"/>
  <c r="A627" i="24" s="1"/>
  <c r="A628" i="24" s="1"/>
  <c r="A629" i="24" s="1"/>
  <c r="A630" i="24" s="1"/>
  <c r="A631" i="24" s="1"/>
  <c r="A632" i="24" s="1"/>
  <c r="A633" i="24" s="1"/>
  <c r="A634" i="24" s="1"/>
  <c r="A635" i="24" s="1"/>
  <c r="A636" i="24" s="1"/>
  <c r="A637" i="24" s="1"/>
  <c r="A638" i="24" s="1"/>
  <c r="A639" i="24" s="1"/>
  <c r="A640" i="24" s="1"/>
  <c r="A641" i="24" s="1"/>
  <c r="A642" i="24" s="1"/>
  <c r="A643" i="24" s="1"/>
  <c r="A644" i="24" s="1"/>
  <c r="A645" i="24" s="1"/>
  <c r="A646" i="24" s="1"/>
  <c r="A647" i="24" s="1"/>
  <c r="A648" i="24" s="1"/>
  <c r="A649" i="24" s="1"/>
  <c r="A650" i="24" s="1"/>
  <c r="A651" i="24" s="1"/>
  <c r="A652" i="24" s="1"/>
  <c r="A653" i="24" s="1"/>
  <c r="A654" i="24" s="1"/>
  <c r="A655" i="24" s="1"/>
  <c r="A656" i="24" s="1"/>
  <c r="A657" i="24" s="1"/>
  <c r="A658" i="24" s="1"/>
  <c r="A659" i="24" s="1"/>
  <c r="A660" i="24" s="1"/>
  <c r="A661" i="24" s="1"/>
  <c r="A662" i="24" s="1"/>
  <c r="A663" i="24" s="1"/>
  <c r="A664" i="24" s="1"/>
  <c r="A665" i="24" s="1"/>
  <c r="A666" i="24" s="1"/>
  <c r="A667" i="24" s="1"/>
  <c r="A668" i="24" s="1"/>
  <c r="A669" i="24" s="1"/>
  <c r="A670" i="24" s="1"/>
  <c r="A671" i="24" s="1"/>
  <c r="A672" i="24" s="1"/>
  <c r="A673" i="24" s="1"/>
  <c r="A674" i="24" s="1"/>
  <c r="A675" i="24" s="1"/>
  <c r="A676" i="24" s="1"/>
  <c r="A677" i="24" s="1"/>
  <c r="A678" i="24" s="1"/>
  <c r="A679" i="24" s="1"/>
  <c r="A680" i="24" s="1"/>
  <c r="A681" i="24" s="1"/>
  <c r="A682" i="24" s="1"/>
  <c r="A683" i="24" s="1"/>
  <c r="A684" i="24" s="1"/>
  <c r="A685" i="24" s="1"/>
  <c r="A686" i="24" s="1"/>
  <c r="A687" i="24" s="1"/>
  <c r="A688" i="24" s="1"/>
  <c r="A689" i="24" s="1"/>
  <c r="A690" i="24" s="1"/>
  <c r="A691" i="24" s="1"/>
  <c r="A692" i="24" s="1"/>
  <c r="A693" i="24" s="1"/>
  <c r="A694" i="24" s="1"/>
  <c r="A695" i="24" s="1"/>
  <c r="A696" i="24" s="1"/>
  <c r="A697" i="24" s="1"/>
  <c r="A698" i="24" s="1"/>
  <c r="A699" i="24" s="1"/>
  <c r="A700" i="24" s="1"/>
  <c r="A701" i="24" s="1"/>
  <c r="A702" i="24" s="1"/>
  <c r="A703" i="24" s="1"/>
  <c r="A704" i="24" s="1"/>
  <c r="A705" i="24" s="1"/>
  <c r="A706" i="24" s="1"/>
  <c r="A707" i="24" s="1"/>
  <c r="A708" i="24" s="1"/>
  <c r="A709" i="24" s="1"/>
  <c r="A710" i="24" s="1"/>
  <c r="A711" i="24" s="1"/>
  <c r="A712" i="24" s="1"/>
  <c r="A713" i="24" s="1"/>
  <c r="A714" i="24" s="1"/>
  <c r="A715" i="24" s="1"/>
  <c r="A716" i="24" s="1"/>
  <c r="A717" i="24" s="1"/>
  <c r="A718" i="24" s="1"/>
  <c r="A719" i="24" s="1"/>
  <c r="A720" i="24" s="1"/>
  <c r="A721" i="24" s="1"/>
  <c r="A722" i="24" s="1"/>
  <c r="A723" i="24" s="1"/>
  <c r="A724" i="24" s="1"/>
  <c r="A725" i="24" s="1"/>
  <c r="A726" i="24" s="1"/>
  <c r="A727" i="24" s="1"/>
  <c r="A728" i="24" s="1"/>
  <c r="A729" i="24" s="1"/>
  <c r="A730" i="24" s="1"/>
  <c r="A731" i="24" s="1"/>
  <c r="A732" i="24" s="1"/>
  <c r="A733" i="24" s="1"/>
  <c r="A734" i="24" s="1"/>
  <c r="A735" i="24" s="1"/>
  <c r="A736" i="24" s="1"/>
  <c r="A737" i="24" s="1"/>
  <c r="A738" i="24" s="1"/>
  <c r="A739" i="24" s="1"/>
  <c r="A740" i="24" s="1"/>
  <c r="A741" i="24" s="1"/>
  <c r="A742" i="24" s="1"/>
  <c r="A743" i="24" s="1"/>
  <c r="A744" i="24" s="1"/>
  <c r="A745" i="24" s="1"/>
  <c r="A746" i="24" s="1"/>
  <c r="A747" i="24" s="1"/>
  <c r="A748" i="24" s="1"/>
  <c r="A749" i="24" s="1"/>
  <c r="A750" i="24" s="1"/>
  <c r="A751" i="24" s="1"/>
  <c r="A752" i="24" s="1"/>
  <c r="A753" i="24" s="1"/>
  <c r="A754" i="24" s="1"/>
  <c r="A755" i="24" s="1"/>
  <c r="A756" i="24" s="1"/>
  <c r="A757" i="24" s="1"/>
  <c r="A758" i="24" s="1"/>
  <c r="A759" i="24" s="1"/>
  <c r="A760" i="24" s="1"/>
  <c r="A761" i="24" s="1"/>
  <c r="A762" i="24" s="1"/>
  <c r="A763" i="24" s="1"/>
  <c r="A764" i="24" s="1"/>
  <c r="A765" i="24" s="1"/>
  <c r="A766" i="24" s="1"/>
  <c r="A767" i="24" s="1"/>
  <c r="A768" i="24" s="1"/>
  <c r="A769" i="24" s="1"/>
  <c r="A770" i="24" s="1"/>
  <c r="A771" i="24" s="1"/>
  <c r="A772" i="24" s="1"/>
  <c r="A773" i="24" s="1"/>
  <c r="A774" i="24" s="1"/>
  <c r="A775" i="24" s="1"/>
  <c r="A776" i="24" s="1"/>
  <c r="A777" i="24" s="1"/>
  <c r="A778" i="24" s="1"/>
  <c r="A779" i="24" s="1"/>
  <c r="A780" i="24" s="1"/>
  <c r="A781" i="24" s="1"/>
  <c r="A782" i="24" s="1"/>
  <c r="A783" i="24" s="1"/>
  <c r="A784" i="24" s="1"/>
  <c r="A785" i="24" s="1"/>
  <c r="A786" i="24" s="1"/>
  <c r="A787" i="24" s="1"/>
  <c r="A788" i="24" s="1"/>
  <c r="A789" i="24" s="1"/>
  <c r="A790" i="24" s="1"/>
  <c r="A791" i="24" s="1"/>
  <c r="A792" i="24" s="1"/>
  <c r="A793" i="24" s="1"/>
  <c r="A794" i="24" s="1"/>
  <c r="A795" i="24" s="1"/>
  <c r="A796" i="24" s="1"/>
  <c r="A797" i="24" s="1"/>
  <c r="A798" i="24" s="1"/>
  <c r="A799" i="24" s="1"/>
  <c r="A800" i="24" s="1"/>
  <c r="A801" i="24" s="1"/>
  <c r="A802" i="24" s="1"/>
  <c r="A803" i="24" s="1"/>
  <c r="A804" i="24" s="1"/>
  <c r="A805" i="24" s="1"/>
  <c r="A806" i="24" s="1"/>
  <c r="A807" i="24" s="1"/>
  <c r="A808" i="24" s="1"/>
  <c r="A809" i="24" s="1"/>
  <c r="A810" i="24" s="1"/>
  <c r="A811" i="24" s="1"/>
  <c r="A812" i="24" s="1"/>
  <c r="A813" i="24" s="1"/>
  <c r="A814" i="24" s="1"/>
  <c r="A815" i="24" s="1"/>
  <c r="A816" i="24" s="1"/>
  <c r="A817" i="24" s="1"/>
  <c r="A818" i="24" s="1"/>
  <c r="A819" i="24" s="1"/>
  <c r="A820" i="24" s="1"/>
  <c r="A821" i="24" s="1"/>
  <c r="A822" i="24" s="1"/>
  <c r="A823" i="24" s="1"/>
  <c r="A824" i="24" s="1"/>
  <c r="A825" i="24" s="1"/>
  <c r="A826" i="24" s="1"/>
  <c r="A827" i="24" s="1"/>
  <c r="A828" i="24" s="1"/>
  <c r="A829" i="24" s="1"/>
  <c r="A830" i="24" s="1"/>
  <c r="A831" i="24" s="1"/>
  <c r="A832" i="24" s="1"/>
  <c r="A833" i="24" s="1"/>
  <c r="A834" i="24" s="1"/>
  <c r="A835" i="24" s="1"/>
  <c r="A836" i="24" s="1"/>
  <c r="A837" i="24" s="1"/>
  <c r="A838" i="24" s="1"/>
  <c r="A839" i="24" s="1"/>
  <c r="A840" i="24" s="1"/>
  <c r="A841" i="24" s="1"/>
  <c r="A842" i="24" s="1"/>
  <c r="A843" i="24" s="1"/>
  <c r="A844" i="24" s="1"/>
  <c r="A845" i="24" s="1"/>
  <c r="A846" i="24" s="1"/>
  <c r="A847" i="24" s="1"/>
  <c r="A848" i="24" s="1"/>
  <c r="A849" i="24" s="1"/>
  <c r="A850" i="24" s="1"/>
  <c r="A851" i="24" s="1"/>
  <c r="A852" i="24" s="1"/>
  <c r="A853" i="24" s="1"/>
  <c r="A854" i="24" s="1"/>
  <c r="A855" i="24" s="1"/>
  <c r="A856" i="24" s="1"/>
  <c r="A857" i="24" s="1"/>
  <c r="A858" i="24" s="1"/>
  <c r="A859" i="24" s="1"/>
  <c r="A860" i="24" s="1"/>
  <c r="A861" i="24" s="1"/>
  <c r="A862" i="24" s="1"/>
  <c r="A863" i="24" s="1"/>
  <c r="A864" i="24" s="1"/>
  <c r="A865" i="24" s="1"/>
  <c r="A866" i="24" s="1"/>
  <c r="A867" i="24" s="1"/>
  <c r="A868" i="24" s="1"/>
  <c r="A869" i="24" s="1"/>
  <c r="A870" i="24" s="1"/>
  <c r="A871" i="24" s="1"/>
  <c r="A872" i="24" s="1"/>
  <c r="A873" i="24" s="1"/>
  <c r="A874" i="24" s="1"/>
  <c r="A875" i="24" s="1"/>
  <c r="A876" i="24" s="1"/>
  <c r="A877" i="24" s="1"/>
  <c r="A878" i="24" s="1"/>
  <c r="A879" i="24" s="1"/>
  <c r="A880" i="24" s="1"/>
  <c r="A881" i="24" s="1"/>
  <c r="A882" i="24" s="1"/>
  <c r="A883" i="24" s="1"/>
  <c r="A884" i="24" s="1"/>
  <c r="A885" i="24" s="1"/>
  <c r="A886" i="24" s="1"/>
  <c r="A887" i="24" s="1"/>
  <c r="A888" i="24" s="1"/>
  <c r="A889" i="24" s="1"/>
  <c r="A890" i="24" s="1"/>
  <c r="A891" i="24" s="1"/>
  <c r="A892" i="24" s="1"/>
  <c r="A893" i="24" s="1"/>
  <c r="A894" i="24" s="1"/>
  <c r="A895" i="24" s="1"/>
  <c r="A896" i="24" s="1"/>
  <c r="A897" i="24" s="1"/>
  <c r="A898" i="24" s="1"/>
  <c r="A899" i="24" s="1"/>
  <c r="A900" i="24" s="1"/>
  <c r="A901" i="24" s="1"/>
  <c r="A902" i="24" s="1"/>
  <c r="A903" i="24" s="1"/>
  <c r="A904" i="24" s="1"/>
  <c r="A905" i="24" s="1"/>
  <c r="A906" i="24" s="1"/>
  <c r="A907" i="24" s="1"/>
  <c r="A908" i="24" s="1"/>
  <c r="A909" i="24" s="1"/>
  <c r="A910" i="24" s="1"/>
  <c r="A911" i="24" s="1"/>
  <c r="A912" i="24" s="1"/>
  <c r="A913" i="24" s="1"/>
  <c r="A914" i="24" s="1"/>
  <c r="A915" i="24" s="1"/>
  <c r="A916" i="24" s="1"/>
  <c r="A917" i="24" s="1"/>
  <c r="A918" i="24" s="1"/>
  <c r="A919" i="24" s="1"/>
  <c r="A920" i="24" s="1"/>
  <c r="A921" i="24" s="1"/>
  <c r="A922" i="24" s="1"/>
  <c r="A923" i="24" s="1"/>
  <c r="A924" i="24" s="1"/>
  <c r="A925" i="24" s="1"/>
  <c r="A926" i="24" s="1"/>
  <c r="A927" i="24" s="1"/>
  <c r="A928" i="24" s="1"/>
  <c r="A929" i="24" s="1"/>
  <c r="A930" i="24" s="1"/>
  <c r="A931" i="24" s="1"/>
  <c r="A932" i="24" s="1"/>
  <c r="A933" i="24" s="1"/>
  <c r="A934" i="24" s="1"/>
  <c r="A935" i="24" s="1"/>
  <c r="A936" i="24" s="1"/>
  <c r="A937" i="24" s="1"/>
  <c r="A938" i="24" s="1"/>
  <c r="A939" i="24" s="1"/>
  <c r="A940" i="24" s="1"/>
  <c r="A941" i="24" s="1"/>
  <c r="A942" i="24" s="1"/>
  <c r="A943" i="24" s="1"/>
  <c r="A944" i="24" s="1"/>
  <c r="A945" i="24" s="1"/>
  <c r="A946" i="24" s="1"/>
  <c r="A947" i="24" s="1"/>
  <c r="A948" i="24" s="1"/>
  <c r="A949" i="24" s="1"/>
  <c r="A950" i="24" s="1"/>
  <c r="A951" i="24" s="1"/>
  <c r="A952" i="24" s="1"/>
  <c r="A953" i="24" s="1"/>
  <c r="A954" i="24" s="1"/>
  <c r="A955" i="24" s="1"/>
  <c r="A956" i="24" s="1"/>
  <c r="A957" i="24" s="1"/>
  <c r="A958" i="24" s="1"/>
  <c r="A959" i="24" s="1"/>
  <c r="A960" i="24" s="1"/>
  <c r="A961" i="24" s="1"/>
  <c r="A962" i="24" s="1"/>
  <c r="A963" i="24" s="1"/>
  <c r="A964" i="24" s="1"/>
  <c r="A965" i="24" s="1"/>
  <c r="A966" i="24" s="1"/>
  <c r="A967" i="24" s="1"/>
  <c r="A968" i="24" s="1"/>
  <c r="A969" i="24" s="1"/>
  <c r="A970" i="24" s="1"/>
  <c r="A971" i="24" s="1"/>
  <c r="A972" i="24" s="1"/>
  <c r="A973" i="24" s="1"/>
  <c r="A974" i="24" s="1"/>
  <c r="A975" i="24" s="1"/>
  <c r="A976" i="24" s="1"/>
  <c r="A977" i="24" s="1"/>
  <c r="A978" i="24" s="1"/>
  <c r="A979" i="24" s="1"/>
  <c r="A980" i="24" s="1"/>
  <c r="A981" i="24" s="1"/>
  <c r="A982" i="24" s="1"/>
  <c r="A983" i="24" s="1"/>
  <c r="A984" i="24" s="1"/>
  <c r="A985" i="24" s="1"/>
  <c r="A986" i="24" s="1"/>
  <c r="A987" i="24" s="1"/>
  <c r="A988" i="24" s="1"/>
  <c r="A989" i="24" s="1"/>
  <c r="A990" i="24" s="1"/>
  <c r="A991" i="24" s="1"/>
  <c r="A992" i="24" s="1"/>
  <c r="A993" i="24" s="1"/>
  <c r="A994" i="24" s="1"/>
  <c r="A995" i="24" s="1"/>
  <c r="A996" i="24" s="1"/>
  <c r="A997" i="24" s="1"/>
  <c r="A998" i="24" s="1"/>
  <c r="A999" i="24" s="1"/>
  <c r="A1000" i="24" s="1"/>
  <c r="A1001" i="24" s="1"/>
  <c r="A1002" i="24" s="1"/>
  <c r="A1003" i="24" s="1"/>
  <c r="A1004" i="24" s="1"/>
  <c r="A1005" i="24" s="1"/>
  <c r="A1006" i="24" s="1"/>
  <c r="A1007" i="24" s="1"/>
  <c r="A1008" i="24" s="1"/>
  <c r="A1009" i="24" s="1"/>
  <c r="A1010" i="24" s="1"/>
  <c r="A1011" i="24" s="1"/>
  <c r="A1012" i="24" s="1"/>
  <c r="A1013" i="24" s="1"/>
  <c r="A1014" i="24" s="1"/>
  <c r="A1015" i="24" s="1"/>
  <c r="A1016" i="24" s="1"/>
  <c r="A1017" i="24" s="1"/>
  <c r="A1018" i="24" s="1"/>
  <c r="A1019" i="24" s="1"/>
  <c r="A1020" i="24" s="1"/>
  <c r="A1021" i="24" s="1"/>
  <c r="A1022" i="24" s="1"/>
  <c r="A1023" i="24" s="1"/>
  <c r="A1024" i="24" s="1"/>
  <c r="A1025" i="24" s="1"/>
  <c r="A1026" i="24" s="1"/>
  <c r="A1027" i="24" s="1"/>
  <c r="A1028" i="24" s="1"/>
  <c r="A1029" i="24" s="1"/>
  <c r="A1030" i="24" s="1"/>
  <c r="A1031" i="24" s="1"/>
  <c r="A1032" i="24" s="1"/>
  <c r="A1033" i="24" s="1"/>
  <c r="A1034" i="24" s="1"/>
  <c r="A1035" i="24" s="1"/>
  <c r="A1036" i="24" s="1"/>
  <c r="A1037" i="24" s="1"/>
  <c r="A1038" i="24" s="1"/>
  <c r="A1039" i="24" s="1"/>
  <c r="A1040" i="24" s="1"/>
  <c r="A1041" i="24" s="1"/>
  <c r="A1042" i="24" s="1"/>
  <c r="A1043" i="24" s="1"/>
  <c r="A1044" i="24" s="1"/>
  <c r="A1045" i="24" s="1"/>
  <c r="A1046" i="24" s="1"/>
  <c r="A1047" i="24" s="1"/>
  <c r="A1048" i="24" s="1"/>
  <c r="A1049" i="24" s="1"/>
  <c r="A1050" i="24" s="1"/>
  <c r="A1051" i="24" s="1"/>
  <c r="A1052" i="24" s="1"/>
  <c r="A1053" i="24" s="1"/>
  <c r="A1054" i="24" s="1"/>
  <c r="A1055" i="24" s="1"/>
  <c r="A1056" i="24" s="1"/>
  <c r="A1057" i="24" s="1"/>
  <c r="A1058" i="24" s="1"/>
  <c r="A1059" i="24" s="1"/>
  <c r="A1060" i="24" s="1"/>
  <c r="A1061" i="24" s="1"/>
  <c r="A1062" i="24" s="1"/>
  <c r="A1063" i="24" s="1"/>
  <c r="A1064" i="24" s="1"/>
  <c r="A1065" i="24" s="1"/>
  <c r="A1066" i="24" s="1"/>
  <c r="A1067" i="24" s="1"/>
  <c r="A1068" i="24" s="1"/>
  <c r="A1069" i="24" s="1"/>
  <c r="A1070" i="24" s="1"/>
  <c r="A1071" i="24" s="1"/>
  <c r="A1072" i="24" s="1"/>
  <c r="A1073" i="24" s="1"/>
  <c r="A1074" i="24" s="1"/>
  <c r="A1075" i="24" s="1"/>
  <c r="A1076" i="24" s="1"/>
  <c r="A1077" i="24" s="1"/>
  <c r="A1078" i="24" s="1"/>
  <c r="A1079" i="24" s="1"/>
  <c r="A1080" i="24" s="1"/>
  <c r="A1081" i="24" s="1"/>
  <c r="A1082" i="24" s="1"/>
  <c r="A1083" i="24" s="1"/>
  <c r="A1084" i="24" s="1"/>
  <c r="A1085" i="24" s="1"/>
  <c r="A1086" i="24" s="1"/>
  <c r="A1087" i="24" s="1"/>
  <c r="A1088" i="24" s="1"/>
  <c r="A1089" i="24" s="1"/>
  <c r="A1090" i="24" s="1"/>
  <c r="A1091" i="24" s="1"/>
  <c r="A1092" i="24" s="1"/>
  <c r="A1093" i="24" s="1"/>
  <c r="A1094" i="24" s="1"/>
  <c r="A1095" i="24" s="1"/>
  <c r="A1096" i="24" s="1"/>
  <c r="A1097" i="24" s="1"/>
  <c r="A1098" i="24" s="1"/>
  <c r="A1099" i="24" s="1"/>
  <c r="A1100" i="24" s="1"/>
  <c r="A1101" i="24" s="1"/>
  <c r="A1102" i="24" s="1"/>
  <c r="A1103" i="24" s="1"/>
  <c r="A1104" i="24" s="1"/>
  <c r="A1105" i="24" s="1"/>
  <c r="A1106" i="24" s="1"/>
  <c r="A1107" i="24" s="1"/>
  <c r="A1108" i="24" s="1"/>
  <c r="A1109" i="24" s="1"/>
  <c r="A1110" i="24" s="1"/>
  <c r="A1111" i="24" s="1"/>
  <c r="A1112" i="24" s="1"/>
  <c r="A1113" i="24" s="1"/>
  <c r="A1114" i="24" s="1"/>
  <c r="A1115" i="24" s="1"/>
  <c r="A1116" i="24" s="1"/>
  <c r="A1117" i="24" s="1"/>
  <c r="A1118" i="24" s="1"/>
  <c r="A1119" i="24" s="1"/>
  <c r="A1120" i="24" s="1"/>
  <c r="A1121" i="24" s="1"/>
  <c r="A1122" i="24" s="1"/>
  <c r="A1123" i="24" s="1"/>
  <c r="A1124" i="24" s="1"/>
  <c r="A1125" i="24" s="1"/>
  <c r="A1126" i="24" s="1"/>
  <c r="A1127" i="24" s="1"/>
  <c r="A1128" i="24" s="1"/>
  <c r="A1129" i="24" s="1"/>
  <c r="A1130" i="24" s="1"/>
  <c r="A1131" i="24" s="1"/>
  <c r="A1132" i="24" s="1"/>
  <c r="A1133" i="24" s="1"/>
  <c r="A1134" i="24" s="1"/>
  <c r="A1135" i="24" s="1"/>
  <c r="A1136" i="24" s="1"/>
  <c r="A1137" i="24" s="1"/>
  <c r="A1138" i="24" s="1"/>
  <c r="A1139" i="24" s="1"/>
  <c r="A1140" i="24" s="1"/>
  <c r="A1141" i="24" s="1"/>
  <c r="A1142" i="24" s="1"/>
  <c r="A1143" i="24" s="1"/>
  <c r="A1144" i="24" s="1"/>
  <c r="A1145" i="24" s="1"/>
  <c r="A1146" i="24" s="1"/>
  <c r="A1147" i="24" s="1"/>
  <c r="A1148" i="24" s="1"/>
  <c r="A1149" i="24" s="1"/>
  <c r="A1150" i="24" s="1"/>
  <c r="A1151" i="24" s="1"/>
  <c r="A1152" i="24" s="1"/>
  <c r="A1153" i="24" s="1"/>
  <c r="A1154" i="24" s="1"/>
  <c r="A1155" i="24" s="1"/>
  <c r="A1156" i="24" s="1"/>
  <c r="A1157" i="24" s="1"/>
  <c r="A1158" i="24" s="1"/>
  <c r="Z32" i="24"/>
  <c r="D32" i="24"/>
  <c r="C32" i="24"/>
  <c r="B32" i="24"/>
  <c r="E32" i="24" s="1"/>
  <c r="D22" i="24"/>
  <c r="D19" i="24"/>
  <c r="D18" i="24"/>
  <c r="D17" i="24"/>
  <c r="D16" i="24"/>
  <c r="G24" i="23"/>
  <c r="H24" i="23" s="1"/>
  <c r="G23" i="23"/>
  <c r="H23" i="23" s="1"/>
  <c r="G22" i="23"/>
  <c r="H22" i="23" s="1"/>
  <c r="G21" i="23"/>
  <c r="H21" i="23" s="1"/>
  <c r="G20" i="23"/>
  <c r="H20" i="23" s="1"/>
  <c r="G19" i="23"/>
  <c r="H19" i="23" s="1"/>
  <c r="G18" i="23"/>
  <c r="H18" i="23" s="1"/>
  <c r="G17" i="23"/>
  <c r="H17" i="23" s="1"/>
  <c r="G16" i="23"/>
  <c r="H16" i="23" s="1"/>
  <c r="G15" i="23"/>
  <c r="H15" i="23" s="1"/>
  <c r="G14" i="23"/>
  <c r="H14" i="23" s="1"/>
  <c r="G13" i="23"/>
  <c r="H13" i="23" s="1"/>
  <c r="B5" i="23"/>
  <c r="D7" i="24" s="1"/>
  <c r="H27" i="23" l="1"/>
  <c r="L2" i="24" s="1"/>
  <c r="C5" i="21"/>
  <c r="C2" i="21"/>
  <c r="I21" i="23"/>
  <c r="I17" i="23"/>
  <c r="I24" i="23"/>
  <c r="I20" i="23"/>
  <c r="I16" i="23"/>
  <c r="I23" i="23"/>
  <c r="I19" i="23"/>
  <c r="I15" i="23"/>
  <c r="I22" i="23"/>
  <c r="I18" i="23"/>
  <c r="I14" i="23"/>
  <c r="I13" i="23"/>
  <c r="L4" i="24" s="1"/>
  <c r="C16" i="21"/>
  <c r="C12" i="21"/>
  <c r="C8" i="21"/>
  <c r="C4" i="21"/>
  <c r="C15" i="21"/>
  <c r="C11" i="21"/>
  <c r="C7" i="21"/>
  <c r="C18" i="21"/>
  <c r="C14" i="21"/>
  <c r="C10" i="21"/>
  <c r="C6" i="21"/>
  <c r="C17" i="21"/>
  <c r="C13" i="21"/>
  <c r="C9" i="21"/>
  <c r="D21" i="24"/>
  <c r="D3" i="24" s="1"/>
  <c r="U32" i="24"/>
  <c r="V32" i="24"/>
  <c r="D2" i="24" l="1"/>
  <c r="D5" i="24" s="1"/>
  <c r="D4" i="24" s="1"/>
  <c r="D23" i="24"/>
  <c r="B4" i="23" l="1"/>
  <c r="B3" i="23"/>
  <c r="M12" i="23"/>
  <c r="N12" i="23" s="1"/>
  <c r="O12" i="23" s="1"/>
  <c r="P12" i="23" s="1"/>
  <c r="Q12" i="23" s="1"/>
  <c r="R12" i="23" s="1"/>
  <c r="S12" i="23" s="1"/>
  <c r="T12" i="23" s="1"/>
  <c r="U12" i="23" s="1"/>
  <c r="V12" i="23" s="1"/>
  <c r="W12" i="23" s="1"/>
  <c r="B14" i="23"/>
  <c r="B15" i="23" s="1"/>
  <c r="B16" i="23" s="1"/>
  <c r="B17" i="23" s="1"/>
  <c r="B18" i="23" s="1"/>
  <c r="B19" i="23" s="1"/>
  <c r="B20" i="23" s="1"/>
  <c r="B21" i="23" s="1"/>
  <c r="B22" i="23" s="1"/>
  <c r="B23" i="23" s="1"/>
  <c r="B24" i="23" s="1"/>
  <c r="F2" i="21"/>
  <c r="D11" i="24" l="1"/>
  <c r="D12" i="24"/>
  <c r="D14" i="24"/>
  <c r="D15" i="24" s="1"/>
  <c r="D13" i="24"/>
  <c r="D8" i="24"/>
  <c r="G32" i="24" s="1"/>
  <c r="D9" i="24"/>
  <c r="H32" i="24" s="1"/>
  <c r="D10" i="24"/>
  <c r="I32" i="24" s="1"/>
  <c r="J32" i="24" l="1"/>
  <c r="O32" i="24"/>
  <c r="E3" i="21"/>
  <c r="F3" i="21" s="1"/>
  <c r="A3" i="21"/>
  <c r="L32" i="24" l="1"/>
  <c r="M32" i="24" s="1"/>
  <c r="P32" i="24"/>
  <c r="Q32" i="24" s="1"/>
  <c r="K32" i="24"/>
  <c r="E4" i="21"/>
  <c r="F4" i="21" s="1"/>
  <c r="A4" i="21"/>
  <c r="S32" i="24" l="1"/>
  <c r="T32" i="24" s="1"/>
  <c r="AB32" i="24" s="1"/>
  <c r="E5" i="21"/>
  <c r="F5" i="21" s="1"/>
  <c r="A5" i="21"/>
  <c r="AA32" i="24" l="1"/>
  <c r="AC32" i="24"/>
  <c r="R32" i="24"/>
  <c r="X32" i="24" s="1"/>
  <c r="AE32" i="24" s="1"/>
  <c r="E6" i="21"/>
  <c r="F6" i="21" s="1"/>
  <c r="E7" i="21"/>
  <c r="F7" i="21" s="1"/>
  <c r="A6" i="21"/>
  <c r="Y32" i="24" l="1"/>
  <c r="AF32" i="24" s="1"/>
  <c r="I33" i="24" s="1"/>
  <c r="W32" i="24"/>
  <c r="AD32" i="24" s="1"/>
  <c r="G33" i="24" s="1"/>
  <c r="C33" i="24"/>
  <c r="H33" i="24"/>
  <c r="E8" i="21"/>
  <c r="F8" i="21" s="1"/>
  <c r="A7" i="21"/>
  <c r="D33" i="24" l="1"/>
  <c r="B33" i="24"/>
  <c r="J33" i="24"/>
  <c r="E33" i="24"/>
  <c r="V33" i="24"/>
  <c r="U33" i="24"/>
  <c r="O33" i="24"/>
  <c r="F33" i="24"/>
  <c r="E9" i="21"/>
  <c r="F9" i="21" s="1"/>
  <c r="A8" i="21"/>
  <c r="P33" i="24" l="1"/>
  <c r="Q33" i="24" s="1"/>
  <c r="K33" i="24"/>
  <c r="L33" i="24"/>
  <c r="M33" i="24" s="1"/>
  <c r="E10" i="21"/>
  <c r="F10" i="21" s="1"/>
  <c r="A9" i="21"/>
  <c r="S33" i="24" l="1"/>
  <c r="T33" i="24" s="1"/>
  <c r="AA33" i="24" s="1"/>
  <c r="AC33" i="24"/>
  <c r="R33" i="24"/>
  <c r="E11" i="21"/>
  <c r="F11" i="21" s="1"/>
  <c r="A10" i="21"/>
  <c r="AB33" i="24" l="1"/>
  <c r="W33" i="24"/>
  <c r="AD33" i="24" s="1"/>
  <c r="Y33" i="24"/>
  <c r="AF33" i="24" s="1"/>
  <c r="X33" i="24"/>
  <c r="AE33" i="24" s="1"/>
  <c r="E12" i="21"/>
  <c r="F12" i="21" s="1"/>
  <c r="A11" i="21"/>
  <c r="C34" i="24" l="1"/>
  <c r="H34" i="24"/>
  <c r="I34" i="24"/>
  <c r="D34" i="24"/>
  <c r="G34" i="24"/>
  <c r="B34" i="24"/>
  <c r="E13" i="21"/>
  <c r="F13" i="21" s="1"/>
  <c r="A12" i="21"/>
  <c r="V34" i="24" l="1"/>
  <c r="U34" i="24"/>
  <c r="O34" i="24"/>
  <c r="AG33" i="24"/>
  <c r="E34" i="24"/>
  <c r="J34" i="24"/>
  <c r="F34" i="24"/>
  <c r="A13" i="21"/>
  <c r="K34" i="24" l="1"/>
  <c r="P34" i="24"/>
  <c r="Q34" i="24" s="1"/>
  <c r="L34" i="24"/>
  <c r="M34" i="24" s="1"/>
  <c r="A14" i="21"/>
  <c r="S34" i="24" l="1"/>
  <c r="T34" i="24" s="1"/>
  <c r="AC34" i="24" s="1"/>
  <c r="AA34" i="24"/>
  <c r="R34" i="24"/>
  <c r="A15" i="21"/>
  <c r="AB34" i="24" l="1"/>
  <c r="Y34" i="24"/>
  <c r="AF34" i="24" s="1"/>
  <c r="W34" i="24"/>
  <c r="AD34" i="24" s="1"/>
  <c r="X34" i="24"/>
  <c r="AE34" i="24" s="1"/>
  <c r="A16" i="21"/>
  <c r="C35" i="24" l="1"/>
  <c r="H35" i="24"/>
  <c r="B35" i="24"/>
  <c r="G35" i="24"/>
  <c r="D35" i="24"/>
  <c r="I35" i="24"/>
  <c r="A17" i="21"/>
  <c r="J35" i="24" l="1"/>
  <c r="E35" i="24"/>
  <c r="V35" i="24"/>
  <c r="O35" i="24"/>
  <c r="U35" i="24"/>
  <c r="AG34" i="24"/>
  <c r="F35" i="24"/>
  <c r="A18" i="21"/>
  <c r="P35" i="24" l="1"/>
  <c r="Q35" i="24" s="1"/>
  <c r="K35" i="24"/>
  <c r="L35" i="24"/>
  <c r="M35" i="24" s="1"/>
  <c r="S35" i="24" l="1"/>
  <c r="T35" i="24" s="1"/>
  <c r="AC35" i="24" s="1"/>
  <c r="AB35" i="24"/>
  <c r="R35" i="24"/>
  <c r="W35" i="24" s="1"/>
  <c r="AA35" i="24" l="1"/>
  <c r="Y35" i="24"/>
  <c r="AF35" i="24" s="1"/>
  <c r="X35" i="24"/>
  <c r="AE35" i="24" s="1"/>
  <c r="H36" i="24" s="1"/>
  <c r="AD35" i="24"/>
  <c r="C36" i="24" l="1"/>
  <c r="G36" i="24"/>
  <c r="B36" i="24"/>
  <c r="I36" i="24"/>
  <c r="D36" i="24"/>
  <c r="E36" i="24" l="1"/>
  <c r="J36" i="24"/>
  <c r="U36" i="24"/>
  <c r="V36" i="24"/>
  <c r="O36" i="24"/>
  <c r="AG35" i="24"/>
  <c r="F36" i="24"/>
  <c r="P36" i="24" l="1"/>
  <c r="Q36" i="24" s="1"/>
  <c r="K36" i="24"/>
  <c r="L36" i="24"/>
  <c r="M36" i="24" s="1"/>
  <c r="S36" i="24" l="1"/>
  <c r="T36" i="24" s="1"/>
  <c r="AA36" i="24" s="1"/>
  <c r="R36" i="24"/>
  <c r="AC36" i="24" l="1"/>
  <c r="AB36" i="24"/>
  <c r="W36" i="24"/>
  <c r="AD36" i="24" s="1"/>
  <c r="Y36" i="24"/>
  <c r="AF36" i="24" s="1"/>
  <c r="X36" i="24"/>
  <c r="AE36" i="24" l="1"/>
  <c r="C37" i="24"/>
  <c r="H37" i="24"/>
  <c r="D37" i="24"/>
  <c r="I37" i="24"/>
  <c r="B37" i="24"/>
  <c r="G37" i="24"/>
  <c r="O37" i="24" l="1"/>
  <c r="V37" i="24"/>
  <c r="U37" i="24"/>
  <c r="AG36" i="24"/>
  <c r="J37" i="24"/>
  <c r="E37" i="24"/>
  <c r="F37" i="24"/>
  <c r="L37" i="24" l="1"/>
  <c r="M37" i="24" s="1"/>
  <c r="P37" i="24"/>
  <c r="Q37" i="24" s="1"/>
  <c r="K37" i="24"/>
  <c r="S37" i="24" l="1"/>
  <c r="T37" i="24" s="1"/>
  <c r="AA37" i="24" s="1"/>
  <c r="AB37" i="24"/>
  <c r="AC37" i="24"/>
  <c r="R37" i="24"/>
  <c r="W37" i="24" s="1"/>
  <c r="X37" i="24" l="1"/>
  <c r="AE37" i="24" s="1"/>
  <c r="AD37" i="24"/>
  <c r="B38" i="24" s="1"/>
  <c r="Y37" i="24"/>
  <c r="AF37" i="24" s="1"/>
  <c r="G38" i="24" l="1"/>
  <c r="D38" i="24"/>
  <c r="I38" i="24"/>
  <c r="H38" i="24"/>
  <c r="C38" i="24"/>
  <c r="E38" i="24" s="1"/>
  <c r="F38" i="24" l="1"/>
  <c r="O38" i="24"/>
  <c r="V38" i="24"/>
  <c r="U38" i="24"/>
  <c r="AG37" i="24"/>
  <c r="J38" i="24"/>
  <c r="P38" i="24" l="1"/>
  <c r="Q38" i="24" s="1"/>
  <c r="K38" i="24"/>
  <c r="L38" i="24"/>
  <c r="M38" i="24" s="1"/>
  <c r="S38" i="24" l="1"/>
  <c r="T38" i="24" s="1"/>
  <c r="AB38" i="24"/>
  <c r="AC38" i="24"/>
  <c r="AA38" i="24"/>
  <c r="R38" i="24"/>
  <c r="W38" i="24" l="1"/>
  <c r="AD38" i="24" s="1"/>
  <c r="Y38" i="24"/>
  <c r="AF38" i="24" s="1"/>
  <c r="X38" i="24"/>
  <c r="AE38" i="24" s="1"/>
  <c r="B39" i="24" l="1"/>
  <c r="G39" i="24"/>
  <c r="C39" i="24"/>
  <c r="H39" i="24"/>
  <c r="D39" i="24"/>
  <c r="I39" i="24"/>
  <c r="U39" i="24" l="1"/>
  <c r="O39" i="24"/>
  <c r="V39" i="24"/>
  <c r="AG38" i="24"/>
  <c r="J39" i="24"/>
  <c r="E39" i="24"/>
  <c r="F39" i="24"/>
  <c r="L39" i="24" l="1"/>
  <c r="M39" i="24" s="1"/>
  <c r="P39" i="24"/>
  <c r="Q39" i="24" s="1"/>
  <c r="K39" i="24"/>
  <c r="S39" i="24" l="1"/>
  <c r="T39" i="24" s="1"/>
  <c r="AC39" i="24" s="1"/>
  <c r="R39" i="24"/>
  <c r="Y39" i="24" s="1"/>
  <c r="AB39" i="24" l="1"/>
  <c r="AA39" i="24"/>
  <c r="X39" i="24"/>
  <c r="W39" i="24"/>
  <c r="AF39" i="24"/>
  <c r="I40" i="24" s="1"/>
  <c r="AD39" i="24" l="1"/>
  <c r="AE39" i="24"/>
  <c r="D40" i="24"/>
  <c r="AG39" i="24" s="1"/>
  <c r="G40" i="24"/>
  <c r="B40" i="24"/>
  <c r="H40" i="24"/>
  <c r="C40" i="24"/>
  <c r="V40" i="24" l="1"/>
  <c r="U40" i="24"/>
  <c r="O40" i="24"/>
  <c r="F40" i="24"/>
  <c r="J40" i="24"/>
  <c r="E40" i="24"/>
  <c r="P40" i="24" l="1"/>
  <c r="Q40" i="24" s="1"/>
  <c r="L40" i="24"/>
  <c r="M40" i="24" s="1"/>
  <c r="K40" i="24"/>
  <c r="S40" i="24" l="1"/>
  <c r="T40" i="24" s="1"/>
  <c r="AA40" i="24"/>
  <c r="AB40" i="24"/>
  <c r="AC40" i="24"/>
  <c r="R40" i="24"/>
  <c r="X40" i="24" l="1"/>
  <c r="AE40" i="24" s="1"/>
  <c r="Y40" i="24"/>
  <c r="AF40" i="24" s="1"/>
  <c r="W40" i="24"/>
  <c r="AD40" i="24" s="1"/>
  <c r="B41" i="24" l="1"/>
  <c r="G41" i="24"/>
  <c r="I41" i="24"/>
  <c r="D41" i="24"/>
  <c r="C41" i="24"/>
  <c r="H41" i="24"/>
  <c r="F41" i="24" l="1"/>
  <c r="E41" i="24"/>
  <c r="V41" i="24"/>
  <c r="U41" i="24"/>
  <c r="O41" i="24"/>
  <c r="AG40" i="24"/>
  <c r="J41" i="24"/>
  <c r="L41" i="24" l="1"/>
  <c r="M41" i="24" s="1"/>
  <c r="K41" i="24"/>
  <c r="P41" i="24"/>
  <c r="Q41" i="24" s="1"/>
  <c r="S41" i="24" l="1"/>
  <c r="T41" i="24" s="1"/>
  <c r="AA41" i="24" s="1"/>
  <c r="AB41" i="24"/>
  <c r="AC41" i="24"/>
  <c r="R41" i="24"/>
  <c r="W41" i="24" l="1"/>
  <c r="AD41" i="24" s="1"/>
  <c r="Y41" i="24"/>
  <c r="AF41" i="24" s="1"/>
  <c r="X41" i="24"/>
  <c r="AE41" i="24" s="1"/>
  <c r="H42" i="24" l="1"/>
  <c r="C42" i="24"/>
  <c r="D42" i="24"/>
  <c r="I42" i="24"/>
  <c r="G42" i="24"/>
  <c r="B42" i="24"/>
  <c r="J42" i="24" l="1"/>
  <c r="U42" i="24"/>
  <c r="O42" i="24"/>
  <c r="V42" i="24"/>
  <c r="AG41" i="24"/>
  <c r="E42" i="24"/>
  <c r="F42" i="24"/>
  <c r="L42" i="24" l="1"/>
  <c r="M42" i="24" s="1"/>
  <c r="P42" i="24"/>
  <c r="Q42" i="24" s="1"/>
  <c r="K42" i="24"/>
  <c r="S42" i="24" l="1"/>
  <c r="T42" i="24" s="1"/>
  <c r="AB42" i="24" s="1"/>
  <c r="AC42" i="24"/>
  <c r="AA42" i="24"/>
  <c r="R42" i="24"/>
  <c r="X42" i="24" s="1"/>
  <c r="W42" i="24" l="1"/>
  <c r="AD42" i="24" s="1"/>
  <c r="Y42" i="24"/>
  <c r="AF42" i="24" s="1"/>
  <c r="I43" i="24" s="1"/>
  <c r="AE42" i="24"/>
  <c r="D43" i="24" l="1"/>
  <c r="U43" i="24" s="1"/>
  <c r="H43" i="24"/>
  <c r="C43" i="24"/>
  <c r="G43" i="24"/>
  <c r="B43" i="24"/>
  <c r="AG42" i="24" l="1"/>
  <c r="V43" i="24"/>
  <c r="E43" i="24"/>
  <c r="J43" i="24"/>
  <c r="O43" i="24"/>
  <c r="F43" i="24"/>
  <c r="P43" i="24" l="1"/>
  <c r="Q43" i="24" s="1"/>
  <c r="K43" i="24"/>
  <c r="L43" i="24"/>
  <c r="M43" i="24" s="1"/>
  <c r="S43" i="24" l="1"/>
  <c r="T43" i="24" s="1"/>
  <c r="AC43" i="24"/>
  <c r="AA43" i="24"/>
  <c r="AB43" i="24"/>
  <c r="R43" i="24"/>
  <c r="W43" i="24" l="1"/>
  <c r="AD43" i="24" s="1"/>
  <c r="Y43" i="24"/>
  <c r="AF43" i="24" s="1"/>
  <c r="X43" i="24"/>
  <c r="AE43" i="24" s="1"/>
  <c r="C44" i="24" l="1"/>
  <c r="H44" i="24"/>
  <c r="I44" i="24"/>
  <c r="D44" i="24"/>
  <c r="B44" i="24"/>
  <c r="G44" i="24"/>
  <c r="U44" i="24" l="1"/>
  <c r="O44" i="24"/>
  <c r="V44" i="24"/>
  <c r="AG43" i="24"/>
  <c r="J44" i="24"/>
  <c r="E44" i="24"/>
  <c r="F44" i="24"/>
  <c r="K44" i="24" l="1"/>
  <c r="L44" i="24"/>
  <c r="M44" i="24" s="1"/>
  <c r="P44" i="24"/>
  <c r="Q44" i="24" s="1"/>
  <c r="S44" i="24" l="1"/>
  <c r="T44" i="24" s="1"/>
  <c r="AA44" i="24"/>
  <c r="AB44" i="24"/>
  <c r="AC44" i="24"/>
  <c r="R44" i="24"/>
  <c r="Y44" i="24" s="1"/>
  <c r="W44" i="24" l="1"/>
  <c r="AD44" i="24" s="1"/>
  <c r="X44" i="24"/>
  <c r="AE44" i="24" s="1"/>
  <c r="AF44" i="24"/>
  <c r="H45" i="24" l="1"/>
  <c r="C45" i="24"/>
  <c r="D45" i="24"/>
  <c r="I45" i="24"/>
  <c r="G45" i="24"/>
  <c r="B45" i="24"/>
  <c r="U45" i="24" l="1"/>
  <c r="O45" i="24"/>
  <c r="V45" i="24"/>
  <c r="AG44" i="24"/>
  <c r="E45" i="24"/>
  <c r="F45" i="24"/>
  <c r="J45" i="24"/>
  <c r="P45" i="24" l="1"/>
  <c r="Q45" i="24" s="1"/>
  <c r="K45" i="24"/>
  <c r="L45" i="24"/>
  <c r="M45" i="24" s="1"/>
  <c r="S45" i="24" l="1"/>
  <c r="T45" i="24" s="1"/>
  <c r="AA45" i="24" s="1"/>
  <c r="AC45" i="24"/>
  <c r="R45" i="24"/>
  <c r="AB45" i="24" l="1"/>
  <c r="W45" i="24"/>
  <c r="AD45" i="24" s="1"/>
  <c r="Y45" i="24"/>
  <c r="AF45" i="24" s="1"/>
  <c r="X45" i="24"/>
  <c r="AE45" i="24" s="1"/>
  <c r="H46" i="24" l="1"/>
  <c r="C46" i="24"/>
  <c r="I46" i="24"/>
  <c r="D46" i="24"/>
  <c r="B46" i="24"/>
  <c r="G46" i="24"/>
  <c r="U46" i="24" l="1"/>
  <c r="O46" i="24"/>
  <c r="V46" i="24"/>
  <c r="AG45" i="24"/>
  <c r="J46" i="24"/>
  <c r="F46" i="24"/>
  <c r="E46" i="24"/>
  <c r="K46" i="24" l="1"/>
  <c r="L46" i="24"/>
  <c r="M46" i="24" s="1"/>
  <c r="P46" i="24"/>
  <c r="Q46" i="24" s="1"/>
  <c r="S46" i="24" l="1"/>
  <c r="T46" i="24" s="1"/>
  <c r="AB46" i="24"/>
  <c r="AC46" i="24"/>
  <c r="AA46" i="24"/>
  <c r="R46" i="24"/>
  <c r="Y46" i="24" s="1"/>
  <c r="X46" i="24" l="1"/>
  <c r="AE46" i="24" s="1"/>
  <c r="W46" i="24"/>
  <c r="AD46" i="24" s="1"/>
  <c r="AF46" i="24"/>
  <c r="D47" i="24" l="1"/>
  <c r="I47" i="24"/>
  <c r="G47" i="24"/>
  <c r="B47" i="24"/>
  <c r="H47" i="24"/>
  <c r="C47" i="24"/>
  <c r="E47" i="24" l="1"/>
  <c r="J47" i="24"/>
  <c r="F47" i="24"/>
  <c r="V47" i="24"/>
  <c r="U47" i="24"/>
  <c r="O47" i="24"/>
  <c r="AG46" i="24"/>
  <c r="L47" i="24" l="1"/>
  <c r="M47" i="24" s="1"/>
  <c r="P47" i="24"/>
  <c r="Q47" i="24" s="1"/>
  <c r="K47" i="24"/>
  <c r="S47" i="24" l="1"/>
  <c r="T47" i="24" s="1"/>
  <c r="AC47" i="24" s="1"/>
  <c r="AB47" i="24"/>
  <c r="R47" i="24"/>
  <c r="X47" i="24" s="1"/>
  <c r="AA47" i="24" l="1"/>
  <c r="Y47" i="24"/>
  <c r="AF47" i="24" s="1"/>
  <c r="W47" i="24"/>
  <c r="AD47" i="24" s="1"/>
  <c r="AE47" i="24"/>
  <c r="C48" i="24" l="1"/>
  <c r="H48" i="24"/>
  <c r="B48" i="24"/>
  <c r="G48" i="24"/>
  <c r="D48" i="24"/>
  <c r="I48" i="24"/>
  <c r="J48" i="24" l="1"/>
  <c r="E48" i="24"/>
  <c r="V48" i="24"/>
  <c r="U48" i="24"/>
  <c r="O48" i="24"/>
  <c r="AG47" i="24"/>
  <c r="F48" i="24"/>
  <c r="K48" i="24" l="1"/>
  <c r="L48" i="24"/>
  <c r="M48" i="24" s="1"/>
  <c r="P48" i="24"/>
  <c r="Q48" i="24" s="1"/>
  <c r="S48" i="24" l="1"/>
  <c r="T48" i="24" s="1"/>
  <c r="AA48" i="24" s="1"/>
  <c r="AB48" i="24"/>
  <c r="AC48" i="24"/>
  <c r="R48" i="24"/>
  <c r="W48" i="24" s="1"/>
  <c r="X48" i="24" l="1"/>
  <c r="AE48" i="24" s="1"/>
  <c r="H49" i="24" s="1"/>
  <c r="Y48" i="24"/>
  <c r="AF48" i="24" s="1"/>
  <c r="AD48" i="24"/>
  <c r="C49" i="24" l="1"/>
  <c r="G49" i="24"/>
  <c r="B49" i="24"/>
  <c r="I49" i="24"/>
  <c r="D49" i="24"/>
  <c r="F49" i="24" l="1"/>
  <c r="U49" i="24"/>
  <c r="O49" i="24"/>
  <c r="V49" i="24"/>
  <c r="AG48" i="24"/>
  <c r="E49" i="24"/>
  <c r="J49" i="24"/>
  <c r="K49" i="24" l="1"/>
  <c r="L49" i="24"/>
  <c r="M49" i="24" s="1"/>
  <c r="P49" i="24"/>
  <c r="Q49" i="24" s="1"/>
  <c r="S49" i="24" l="1"/>
  <c r="T49" i="24" s="1"/>
  <c r="AA49" i="24" s="1"/>
  <c r="R49" i="24"/>
  <c r="X49" i="24" s="1"/>
  <c r="AC49" i="24" l="1"/>
  <c r="AB49" i="24"/>
  <c r="AE49" i="24" s="1"/>
  <c r="Y49" i="24"/>
  <c r="AF49" i="24" s="1"/>
  <c r="W49" i="24"/>
  <c r="AD49" i="24" s="1"/>
  <c r="C50" i="24" l="1"/>
  <c r="H50" i="24"/>
  <c r="B50" i="24"/>
  <c r="G50" i="24"/>
  <c r="I50" i="24"/>
  <c r="D50" i="24"/>
  <c r="J50" i="24" l="1"/>
  <c r="E50" i="24"/>
  <c r="V50" i="24"/>
  <c r="U50" i="24"/>
  <c r="O50" i="24"/>
  <c r="AG49" i="24"/>
  <c r="F50" i="24"/>
  <c r="K50" i="24" l="1"/>
  <c r="L50" i="24"/>
  <c r="M50" i="24" s="1"/>
  <c r="P50" i="24"/>
  <c r="Q50" i="24" s="1"/>
  <c r="S50" i="24" l="1"/>
  <c r="T50" i="24" s="1"/>
  <c r="AB50" i="24" s="1"/>
  <c r="AA50" i="24"/>
  <c r="R50" i="24"/>
  <c r="W50" i="24" s="1"/>
  <c r="AC50" i="24" l="1"/>
  <c r="X50" i="24"/>
  <c r="AE50" i="24" s="1"/>
  <c r="Y50" i="24"/>
  <c r="AF50" i="24" s="1"/>
  <c r="AD50" i="24"/>
  <c r="G51" i="24" l="1"/>
  <c r="B51" i="24"/>
  <c r="D51" i="24"/>
  <c r="I51" i="24"/>
  <c r="C51" i="24"/>
  <c r="H51" i="24"/>
  <c r="V51" i="24" l="1"/>
  <c r="U51" i="24"/>
  <c r="O51" i="24"/>
  <c r="AG50" i="24"/>
  <c r="F51" i="24"/>
  <c r="E51" i="24"/>
  <c r="J51" i="24"/>
  <c r="K51" i="24" l="1"/>
  <c r="L51" i="24"/>
  <c r="M51" i="24" s="1"/>
  <c r="P51" i="24"/>
  <c r="Q51" i="24" s="1"/>
  <c r="S51" i="24" l="1"/>
  <c r="T51" i="24" s="1"/>
  <c r="AC51" i="24" s="1"/>
  <c r="R51" i="24"/>
  <c r="X51" i="24" s="1"/>
  <c r="AB51" i="24" l="1"/>
  <c r="AA51" i="24"/>
  <c r="Y51" i="24"/>
  <c r="AF51" i="24" s="1"/>
  <c r="I52" i="24" s="1"/>
  <c r="W51" i="24"/>
  <c r="AE51" i="24"/>
  <c r="AD51" i="24" l="1"/>
  <c r="D52" i="24"/>
  <c r="V52" i="24" s="1"/>
  <c r="H52" i="24"/>
  <c r="C52" i="24"/>
  <c r="G52" i="24"/>
  <c r="B52" i="24"/>
  <c r="O52" i="24" l="1"/>
  <c r="AG51" i="24"/>
  <c r="U52" i="24"/>
  <c r="E52" i="24"/>
  <c r="J52" i="24"/>
  <c r="F52" i="24"/>
  <c r="K52" i="24" l="1"/>
  <c r="L52" i="24"/>
  <c r="M52" i="24" s="1"/>
  <c r="P52" i="24"/>
  <c r="Q52" i="24" s="1"/>
  <c r="S52" i="24" l="1"/>
  <c r="T52" i="24" s="1"/>
  <c r="AA52" i="24" s="1"/>
  <c r="AC52" i="24"/>
  <c r="R52" i="24"/>
  <c r="X52" i="24" s="1"/>
  <c r="AB52" i="24" l="1"/>
  <c r="Y52" i="24"/>
  <c r="AF52" i="24" s="1"/>
  <c r="W52" i="24"/>
  <c r="AD52" i="24" s="1"/>
  <c r="AE52" i="24"/>
  <c r="C53" i="24" l="1"/>
  <c r="H53" i="24"/>
  <c r="B53" i="24"/>
  <c r="G53" i="24"/>
  <c r="I53" i="24"/>
  <c r="D53" i="24"/>
  <c r="J53" i="24" l="1"/>
  <c r="E53" i="24"/>
  <c r="O53" i="24"/>
  <c r="V53" i="24"/>
  <c r="U53" i="24"/>
  <c r="AG52" i="24"/>
  <c r="F53" i="24"/>
  <c r="K53" i="24" l="1"/>
  <c r="L53" i="24"/>
  <c r="M53" i="24" s="1"/>
  <c r="P53" i="24"/>
  <c r="Q53" i="24" s="1"/>
  <c r="S53" i="24" l="1"/>
  <c r="T53" i="24" s="1"/>
  <c r="AA53" i="24" s="1"/>
  <c r="AB53" i="24"/>
  <c r="AC53" i="24"/>
  <c r="R53" i="24"/>
  <c r="X53" i="24" l="1"/>
  <c r="AE53" i="24" s="1"/>
  <c r="W53" i="24"/>
  <c r="AD53" i="24" s="1"/>
  <c r="Y53" i="24"/>
  <c r="AF53" i="24" s="1"/>
  <c r="G54" i="24" l="1"/>
  <c r="B54" i="24"/>
  <c r="D54" i="24"/>
  <c r="I54" i="24"/>
  <c r="C54" i="24"/>
  <c r="H54" i="24"/>
  <c r="U54" i="24" l="1"/>
  <c r="O54" i="24"/>
  <c r="V54" i="24"/>
  <c r="AG53" i="24"/>
  <c r="E54" i="24"/>
  <c r="F54" i="24"/>
  <c r="J54" i="24"/>
  <c r="K54" i="24" l="1"/>
  <c r="L54" i="24"/>
  <c r="M54" i="24" s="1"/>
  <c r="P54" i="24"/>
  <c r="Q54" i="24" s="1"/>
  <c r="S54" i="24" l="1"/>
  <c r="T54" i="24" s="1"/>
  <c r="AB54" i="24" s="1"/>
  <c r="R54" i="24"/>
  <c r="AA54" i="24" l="1"/>
  <c r="AC54" i="24"/>
  <c r="X54" i="24"/>
  <c r="AE54" i="24" s="1"/>
  <c r="W54" i="24"/>
  <c r="AD54" i="24" s="1"/>
  <c r="Y54" i="24"/>
  <c r="AF54" i="24" l="1"/>
  <c r="I55" i="24"/>
  <c r="D55" i="24"/>
  <c r="B55" i="24"/>
  <c r="G55" i="24"/>
  <c r="H55" i="24"/>
  <c r="C55" i="24"/>
  <c r="J55" i="24" l="1"/>
  <c r="E55" i="24"/>
  <c r="F55" i="24"/>
  <c r="V55" i="24"/>
  <c r="U55" i="24"/>
  <c r="O55" i="24"/>
  <c r="AG54" i="24"/>
  <c r="L55" i="24" l="1"/>
  <c r="M55" i="24" s="1"/>
  <c r="P55" i="24"/>
  <c r="Q55" i="24" s="1"/>
  <c r="K55" i="24"/>
  <c r="S55" i="24" l="1"/>
  <c r="T55" i="24" s="1"/>
  <c r="AC55" i="24" s="1"/>
  <c r="AB55" i="24"/>
  <c r="R55" i="24"/>
  <c r="X55" i="24" s="1"/>
  <c r="AA55" i="24" l="1"/>
  <c r="Y55" i="24"/>
  <c r="AF55" i="24" s="1"/>
  <c r="W55" i="24"/>
  <c r="AD55" i="24" s="1"/>
  <c r="AE55" i="24"/>
  <c r="I56" i="24" l="1"/>
  <c r="D56" i="24"/>
  <c r="U56" i="24" s="1"/>
  <c r="H56" i="24"/>
  <c r="C56" i="24"/>
  <c r="G56" i="24"/>
  <c r="B56" i="24"/>
  <c r="AG55" i="24" l="1"/>
  <c r="V56" i="24"/>
  <c r="E56" i="24"/>
  <c r="J56" i="24"/>
  <c r="O56" i="24"/>
  <c r="F56" i="24"/>
  <c r="L56" i="24" l="1"/>
  <c r="M56" i="24" s="1"/>
  <c r="P56" i="24"/>
  <c r="Q56" i="24" s="1"/>
  <c r="K56" i="24"/>
  <c r="S56" i="24" l="1"/>
  <c r="T56" i="24" s="1"/>
  <c r="AA56" i="24" s="1"/>
  <c r="AB56" i="24"/>
  <c r="AC56" i="24"/>
  <c r="R56" i="24"/>
  <c r="Y56" i="24" s="1"/>
  <c r="W56" i="24" l="1"/>
  <c r="AD56" i="24" s="1"/>
  <c r="G57" i="24" s="1"/>
  <c r="X56" i="24"/>
  <c r="AE56" i="24" s="1"/>
  <c r="AF56" i="24"/>
  <c r="B57" i="24" l="1"/>
  <c r="I57" i="24"/>
  <c r="D57" i="24"/>
  <c r="C57" i="24"/>
  <c r="H57" i="24"/>
  <c r="E57" i="24" l="1"/>
  <c r="F57" i="24"/>
  <c r="O57" i="24"/>
  <c r="V57" i="24"/>
  <c r="U57" i="24"/>
  <c r="AG56" i="24"/>
  <c r="J57" i="24"/>
  <c r="K57" i="24" l="1"/>
  <c r="L57" i="24"/>
  <c r="M57" i="24" s="1"/>
  <c r="P57" i="24"/>
  <c r="Q57" i="24" s="1"/>
  <c r="S57" i="24" l="1"/>
  <c r="T57" i="24" s="1"/>
  <c r="AA57" i="24" s="1"/>
  <c r="AB57" i="24"/>
  <c r="AC57" i="24"/>
  <c r="R57" i="24"/>
  <c r="Y57" i="24" s="1"/>
  <c r="W57" i="24" l="1"/>
  <c r="AD57" i="24" s="1"/>
  <c r="X57" i="24"/>
  <c r="AE57" i="24" s="1"/>
  <c r="AF57" i="24"/>
  <c r="I58" i="24" l="1"/>
  <c r="D58" i="24"/>
  <c r="H58" i="24"/>
  <c r="C58" i="24"/>
  <c r="G58" i="24"/>
  <c r="B58" i="24"/>
  <c r="F58" i="24" l="1"/>
  <c r="E58" i="24"/>
  <c r="O58" i="24"/>
  <c r="V58" i="24"/>
  <c r="U58" i="24"/>
  <c r="AG57" i="24"/>
  <c r="J58" i="24"/>
  <c r="K58" i="24" l="1"/>
  <c r="L58" i="24"/>
  <c r="M58" i="24" s="1"/>
  <c r="P58" i="24"/>
  <c r="Q58" i="24" s="1"/>
  <c r="S58" i="24" l="1"/>
  <c r="T58" i="24" s="1"/>
  <c r="AB58" i="24" s="1"/>
  <c r="AC58" i="24"/>
  <c r="AA58" i="24"/>
  <c r="R58" i="24"/>
  <c r="Y58" i="24" s="1"/>
  <c r="W58" i="24" l="1"/>
  <c r="AD58" i="24" s="1"/>
  <c r="X58" i="24"/>
  <c r="AE58" i="24" s="1"/>
  <c r="AF58" i="24"/>
  <c r="D59" i="24" l="1"/>
  <c r="I59" i="24"/>
  <c r="C59" i="24"/>
  <c r="H59" i="24"/>
  <c r="B59" i="24"/>
  <c r="G59" i="24"/>
  <c r="F59" i="24" l="1"/>
  <c r="J59" i="24"/>
  <c r="E59" i="24"/>
  <c r="V59" i="24"/>
  <c r="U59" i="24"/>
  <c r="O59" i="24"/>
  <c r="AG58" i="24"/>
  <c r="K59" i="24" l="1"/>
  <c r="L59" i="24"/>
  <c r="M59" i="24" s="1"/>
  <c r="P59" i="24"/>
  <c r="Q59" i="24" s="1"/>
  <c r="S59" i="24" l="1"/>
  <c r="T59" i="24" s="1"/>
  <c r="AC59" i="24" s="1"/>
  <c r="AA59" i="24"/>
  <c r="AB59" i="24"/>
  <c r="R59" i="24"/>
  <c r="W59" i="24" s="1"/>
  <c r="Y59" i="24" l="1"/>
  <c r="AF59" i="24" s="1"/>
  <c r="X59" i="24"/>
  <c r="AE59" i="24" s="1"/>
  <c r="H60" i="24" s="1"/>
  <c r="AD59" i="24"/>
  <c r="C60" i="24" l="1"/>
  <c r="G60" i="24"/>
  <c r="B60" i="24"/>
  <c r="I60" i="24"/>
  <c r="D60" i="24"/>
  <c r="F60" i="24" l="1"/>
  <c r="O60" i="24"/>
  <c r="V60" i="24"/>
  <c r="U60" i="24"/>
  <c r="AG59" i="24"/>
  <c r="E60" i="24"/>
  <c r="J60" i="24"/>
  <c r="K60" i="24" l="1"/>
  <c r="P60" i="24"/>
  <c r="Q60" i="24" s="1"/>
  <c r="L60" i="24"/>
  <c r="M60" i="24" s="1"/>
  <c r="S60" i="24" l="1"/>
  <c r="T60" i="24" s="1"/>
  <c r="AA60" i="24"/>
  <c r="AB60" i="24"/>
  <c r="AC60" i="24"/>
  <c r="R60" i="24"/>
  <c r="Y60" i="24" l="1"/>
  <c r="AF60" i="24" s="1"/>
  <c r="X60" i="24"/>
  <c r="AE60" i="24" s="1"/>
  <c r="W60" i="24"/>
  <c r="AD60" i="24" s="1"/>
  <c r="B61" i="24" l="1"/>
  <c r="G61" i="24"/>
  <c r="H61" i="24"/>
  <c r="C61" i="24"/>
  <c r="D61" i="24"/>
  <c r="I61" i="24"/>
  <c r="F61" i="24" l="1"/>
  <c r="J61" i="24"/>
  <c r="U61" i="24"/>
  <c r="O61" i="24"/>
  <c r="V61" i="24"/>
  <c r="AG60" i="24"/>
  <c r="E61" i="24"/>
  <c r="L61" i="24" l="1"/>
  <c r="M61" i="24" s="1"/>
  <c r="P61" i="24"/>
  <c r="Q61" i="24" s="1"/>
  <c r="K61" i="24"/>
  <c r="S61" i="24" l="1"/>
  <c r="T61" i="24" s="1"/>
  <c r="AA61" i="24" s="1"/>
  <c r="AC61" i="24"/>
  <c r="R61" i="24"/>
  <c r="Y61" i="24" s="1"/>
  <c r="AB61" i="24" l="1"/>
  <c r="X61" i="24"/>
  <c r="W61" i="24"/>
  <c r="AD61" i="24" s="1"/>
  <c r="AF61" i="24"/>
  <c r="AE61" i="24" l="1"/>
  <c r="D62" i="24"/>
  <c r="I62" i="24"/>
  <c r="G62" i="24"/>
  <c r="B62" i="24"/>
  <c r="C62" i="24"/>
  <c r="H62" i="24"/>
  <c r="E62" i="24" l="1"/>
  <c r="J62" i="24"/>
  <c r="F62" i="24"/>
  <c r="V62" i="24"/>
  <c r="U62" i="24"/>
  <c r="O62" i="24"/>
  <c r="AG61" i="24"/>
  <c r="P62" i="24" l="1"/>
  <c r="Q62" i="24" s="1"/>
  <c r="K62" i="24"/>
  <c r="L62" i="24"/>
  <c r="M62" i="24" s="1"/>
  <c r="S62" i="24" l="1"/>
  <c r="T62" i="24" s="1"/>
  <c r="AB62" i="24"/>
  <c r="AC62" i="24"/>
  <c r="AA62" i="24"/>
  <c r="R62" i="24"/>
  <c r="Y62" i="24" l="1"/>
  <c r="AF62" i="24" s="1"/>
  <c r="X62" i="24"/>
  <c r="AE62" i="24" s="1"/>
  <c r="W62" i="24"/>
  <c r="AD62" i="24" s="1"/>
  <c r="B63" i="24" l="1"/>
  <c r="G63" i="24"/>
  <c r="H63" i="24"/>
  <c r="C63" i="24"/>
  <c r="D63" i="24"/>
  <c r="I63" i="24"/>
  <c r="F63" i="24" l="1"/>
  <c r="J63" i="24"/>
  <c r="O63" i="24"/>
  <c r="V63" i="24"/>
  <c r="U63" i="24"/>
  <c r="AG62" i="24"/>
  <c r="E63" i="24"/>
  <c r="L63" i="24" l="1"/>
  <c r="M63" i="24" s="1"/>
  <c r="K63" i="24"/>
  <c r="P63" i="24"/>
  <c r="Q63" i="24" s="1"/>
  <c r="S63" i="24" l="1"/>
  <c r="T63" i="24" s="1"/>
  <c r="AC63" i="24" s="1"/>
  <c r="AA63" i="24"/>
  <c r="AB63" i="24"/>
  <c r="R63" i="24"/>
  <c r="W63" i="24" s="1"/>
  <c r="X63" i="24" l="1"/>
  <c r="AE63" i="24" s="1"/>
  <c r="Y63" i="24"/>
  <c r="AF63" i="24" s="1"/>
  <c r="AD63" i="24"/>
  <c r="G64" i="24" l="1"/>
  <c r="B64" i="24"/>
  <c r="C64" i="24"/>
  <c r="H64" i="24"/>
  <c r="D64" i="24"/>
  <c r="I64" i="24"/>
  <c r="F64" i="24" l="1"/>
  <c r="E64" i="24"/>
  <c r="V64" i="24"/>
  <c r="U64" i="24"/>
  <c r="O64" i="24"/>
  <c r="AG63" i="24"/>
  <c r="J64" i="24"/>
  <c r="P64" i="24" l="1"/>
  <c r="Q64" i="24" s="1"/>
  <c r="K64" i="24"/>
  <c r="L64" i="24"/>
  <c r="M64" i="24" s="1"/>
  <c r="S64" i="24" l="1"/>
  <c r="T64" i="24" s="1"/>
  <c r="AA64" i="24" s="1"/>
  <c r="AB64" i="24"/>
  <c r="AC64" i="24"/>
  <c r="R64" i="24"/>
  <c r="Y64" i="24" l="1"/>
  <c r="AF64" i="24" s="1"/>
  <c r="X64" i="24"/>
  <c r="AE64" i="24" s="1"/>
  <c r="W64" i="24"/>
  <c r="AD64" i="24" s="1"/>
  <c r="B65" i="24" l="1"/>
  <c r="G65" i="24"/>
  <c r="H65" i="24"/>
  <c r="C65" i="24"/>
  <c r="D65" i="24"/>
  <c r="I65" i="24"/>
  <c r="F65" i="24" l="1"/>
  <c r="J65" i="24"/>
  <c r="U65" i="24"/>
  <c r="O65" i="24"/>
  <c r="V65" i="24"/>
  <c r="AG64" i="24"/>
  <c r="E65" i="24"/>
  <c r="L65" i="24" l="1"/>
  <c r="M65" i="24" s="1"/>
  <c r="P65" i="24"/>
  <c r="Q65" i="24" s="1"/>
  <c r="K65" i="24"/>
  <c r="S65" i="24" l="1"/>
  <c r="T65" i="24" s="1"/>
  <c r="AA65" i="24" s="1"/>
  <c r="AB65" i="24"/>
  <c r="AC65" i="24"/>
  <c r="R65" i="24"/>
  <c r="W65" i="24" s="1"/>
  <c r="X65" i="24" l="1"/>
  <c r="AE65" i="24" s="1"/>
  <c r="Y65" i="24"/>
  <c r="AF65" i="24" s="1"/>
  <c r="AD65" i="24"/>
  <c r="G66" i="24" l="1"/>
  <c r="B66" i="24"/>
  <c r="C66" i="24"/>
  <c r="H66" i="24"/>
  <c r="D66" i="24"/>
  <c r="I66" i="24"/>
  <c r="F66" i="24" l="1"/>
  <c r="E66" i="24"/>
  <c r="V66" i="24"/>
  <c r="U66" i="24"/>
  <c r="O66" i="24"/>
  <c r="AG65" i="24"/>
  <c r="J66" i="24"/>
  <c r="P66" i="24" l="1"/>
  <c r="Q66" i="24" s="1"/>
  <c r="K66" i="24"/>
  <c r="L66" i="24"/>
  <c r="M66" i="24" s="1"/>
  <c r="S66" i="24" l="1"/>
  <c r="T66" i="24" s="1"/>
  <c r="AB66" i="24" s="1"/>
  <c r="AC66" i="24"/>
  <c r="AA66" i="24"/>
  <c r="R66" i="24"/>
  <c r="W66" i="24" l="1"/>
  <c r="AD66" i="24" s="1"/>
  <c r="X66" i="24"/>
  <c r="AE66" i="24" s="1"/>
  <c r="Y66" i="24"/>
  <c r="AF66" i="24" s="1"/>
  <c r="D67" i="24" l="1"/>
  <c r="I67" i="24"/>
  <c r="H67" i="24"/>
  <c r="C67" i="24"/>
  <c r="B67" i="24"/>
  <c r="G67" i="24"/>
  <c r="F67" i="24" l="1"/>
  <c r="J67" i="24"/>
  <c r="E67" i="24"/>
  <c r="V67" i="24"/>
  <c r="U67" i="24"/>
  <c r="O67" i="24"/>
  <c r="AG66" i="24"/>
  <c r="L67" i="24" l="1"/>
  <c r="M67" i="24" s="1"/>
  <c r="P67" i="24"/>
  <c r="Q67" i="24" s="1"/>
  <c r="K67" i="24"/>
  <c r="S67" i="24" l="1"/>
  <c r="T67" i="24" s="1"/>
  <c r="AC67" i="24" s="1"/>
  <c r="AA67" i="24"/>
  <c r="AB67" i="24"/>
  <c r="R67" i="24"/>
  <c r="W67" i="24" s="1"/>
  <c r="Y67" i="24" l="1"/>
  <c r="AF67" i="24" s="1"/>
  <c r="X67" i="24"/>
  <c r="AE67" i="24" s="1"/>
  <c r="AD67" i="24"/>
  <c r="G68" i="24" l="1"/>
  <c r="B68" i="24"/>
  <c r="C68" i="24"/>
  <c r="H68" i="24"/>
  <c r="I68" i="24"/>
  <c r="D68" i="24"/>
  <c r="F68" i="24" l="1"/>
  <c r="V68" i="24"/>
  <c r="U68" i="24"/>
  <c r="O68" i="24"/>
  <c r="AG67" i="24"/>
  <c r="E68" i="24"/>
  <c r="J68" i="24"/>
  <c r="P68" i="24" l="1"/>
  <c r="Q68" i="24" s="1"/>
  <c r="K68" i="24"/>
  <c r="L68" i="24"/>
  <c r="M68" i="24" s="1"/>
  <c r="S68" i="24" l="1"/>
  <c r="T68" i="24" s="1"/>
  <c r="AA68" i="24"/>
  <c r="AB68" i="24"/>
  <c r="AC68" i="24"/>
  <c r="R68" i="24"/>
  <c r="Y68" i="24" l="1"/>
  <c r="AF68" i="24" s="1"/>
  <c r="X68" i="24"/>
  <c r="AE68" i="24" s="1"/>
  <c r="W68" i="24"/>
  <c r="AD68" i="24" s="1"/>
  <c r="G69" i="24" l="1"/>
  <c r="B69" i="24"/>
  <c r="H69" i="24"/>
  <c r="C69" i="24"/>
  <c r="D69" i="24"/>
  <c r="I69" i="24"/>
  <c r="F69" i="24" l="1"/>
  <c r="E69" i="24"/>
  <c r="O69" i="24"/>
  <c r="U69" i="24"/>
  <c r="V69" i="24"/>
  <c r="AG68" i="24"/>
  <c r="J69" i="24"/>
  <c r="L69" i="24" l="1"/>
  <c r="M69" i="24" s="1"/>
  <c r="K69" i="24"/>
  <c r="P69" i="24"/>
  <c r="Q69" i="24" s="1"/>
  <c r="S69" i="24" l="1"/>
  <c r="T69" i="24" s="1"/>
  <c r="AA69" i="24" s="1"/>
  <c r="AB69" i="24"/>
  <c r="AC69" i="24"/>
  <c r="R69" i="24"/>
  <c r="W69" i="24" s="1"/>
  <c r="Y69" i="24" l="1"/>
  <c r="AF69" i="24" s="1"/>
  <c r="X69" i="24"/>
  <c r="AE69" i="24" s="1"/>
  <c r="AD69" i="24"/>
  <c r="B70" i="24" l="1"/>
  <c r="G70" i="24"/>
  <c r="C70" i="24"/>
  <c r="H70" i="24"/>
  <c r="D70" i="24"/>
  <c r="I70" i="24"/>
  <c r="F70" i="24" l="1"/>
  <c r="J70" i="24"/>
  <c r="O70" i="24"/>
  <c r="V70" i="24"/>
  <c r="U70" i="24"/>
  <c r="AG69" i="24"/>
  <c r="E70" i="24"/>
  <c r="P70" i="24" l="1"/>
  <c r="Q70" i="24" s="1"/>
  <c r="K70" i="24"/>
  <c r="L70" i="24"/>
  <c r="M70" i="24" s="1"/>
  <c r="S70" i="24" l="1"/>
  <c r="T70" i="24" s="1"/>
  <c r="AB70" i="24"/>
  <c r="AC70" i="24"/>
  <c r="AA70" i="24"/>
  <c r="R70" i="24"/>
  <c r="W70" i="24" l="1"/>
  <c r="AD70" i="24" s="1"/>
  <c r="Y70" i="24"/>
  <c r="AF70" i="24" s="1"/>
  <c r="X70" i="24"/>
  <c r="AE70" i="24" s="1"/>
  <c r="H71" i="24" l="1"/>
  <c r="C71" i="24"/>
  <c r="D71" i="24"/>
  <c r="I71" i="24"/>
  <c r="G71" i="24"/>
  <c r="B71" i="24"/>
  <c r="V71" i="24" l="1"/>
  <c r="U71" i="24"/>
  <c r="O71" i="24"/>
  <c r="AG70" i="24"/>
  <c r="E71" i="24"/>
  <c r="F71" i="24"/>
  <c r="J71" i="24"/>
  <c r="L71" i="24" l="1"/>
  <c r="M71" i="24" s="1"/>
  <c r="P71" i="24"/>
  <c r="Q71" i="24" s="1"/>
  <c r="K71" i="24"/>
  <c r="S71" i="24" l="1"/>
  <c r="T71" i="24" s="1"/>
  <c r="AC71" i="24"/>
  <c r="AA71" i="24"/>
  <c r="AB71" i="24"/>
  <c r="R71" i="24"/>
  <c r="W71" i="24" s="1"/>
  <c r="Y71" i="24" l="1"/>
  <c r="AF71" i="24" s="1"/>
  <c r="I72" i="24" s="1"/>
  <c r="X71" i="24"/>
  <c r="AE71" i="24" s="1"/>
  <c r="AD71" i="24"/>
  <c r="D72" i="24" l="1"/>
  <c r="AG71" i="24" s="1"/>
  <c r="B72" i="24"/>
  <c r="G72" i="24"/>
  <c r="H72" i="24"/>
  <c r="C72" i="24"/>
  <c r="V72" i="24" l="1"/>
  <c r="U72" i="24"/>
  <c r="O72" i="24"/>
  <c r="F72" i="24"/>
  <c r="J72" i="24"/>
  <c r="E72" i="24"/>
  <c r="P72" i="24" l="1"/>
  <c r="Q72" i="24" s="1"/>
  <c r="K72" i="24"/>
  <c r="L72" i="24"/>
  <c r="M72" i="24" s="1"/>
  <c r="S72" i="24" l="1"/>
  <c r="T72" i="24" s="1"/>
  <c r="AA72" i="24" s="1"/>
  <c r="AB72" i="24"/>
  <c r="AC72" i="24"/>
  <c r="R72" i="24"/>
  <c r="Y72" i="24" l="1"/>
  <c r="AF72" i="24" s="1"/>
  <c r="W72" i="24"/>
  <c r="AD72" i="24" s="1"/>
  <c r="X72" i="24"/>
  <c r="AE72" i="24" s="1"/>
  <c r="C73" i="24" l="1"/>
  <c r="H73" i="24"/>
  <c r="G73" i="24"/>
  <c r="B73" i="24"/>
  <c r="I73" i="24"/>
  <c r="D73" i="24"/>
  <c r="E73" i="24" l="1"/>
  <c r="J73" i="24"/>
  <c r="V73" i="24"/>
  <c r="O73" i="24"/>
  <c r="U73" i="24"/>
  <c r="AG72" i="24"/>
  <c r="F73" i="24"/>
  <c r="L73" i="24" l="1"/>
  <c r="M73" i="24" s="1"/>
  <c r="P73" i="24"/>
  <c r="Q73" i="24" s="1"/>
  <c r="K73" i="24"/>
  <c r="S73" i="24" l="1"/>
  <c r="T73" i="24" s="1"/>
  <c r="AA73" i="24" s="1"/>
  <c r="AC73" i="24"/>
  <c r="R73" i="24"/>
  <c r="Y73" i="24" s="1"/>
  <c r="AB73" i="24" l="1"/>
  <c r="X73" i="24"/>
  <c r="AE73" i="24" s="1"/>
  <c r="W73" i="24"/>
  <c r="AD73" i="24" s="1"/>
  <c r="B74" i="24" s="1"/>
  <c r="AF73" i="24"/>
  <c r="G74" i="24" l="1"/>
  <c r="C74" i="24"/>
  <c r="E74" i="24" s="1"/>
  <c r="H74" i="24"/>
  <c r="D74" i="24"/>
  <c r="I74" i="24"/>
  <c r="U74" i="24" l="1"/>
  <c r="O74" i="24"/>
  <c r="V74" i="24"/>
  <c r="AG73" i="24"/>
  <c r="J74" i="24"/>
  <c r="F74" i="24"/>
  <c r="P74" i="24" l="1"/>
  <c r="Q74" i="24" s="1"/>
  <c r="K74" i="24"/>
  <c r="L74" i="24"/>
  <c r="M74" i="24" s="1"/>
  <c r="S74" i="24" l="1"/>
  <c r="T74" i="24" s="1"/>
  <c r="AB74" i="24" s="1"/>
  <c r="AC74" i="24"/>
  <c r="AA74" i="24"/>
  <c r="R74" i="24"/>
  <c r="Y74" i="24" l="1"/>
  <c r="AF74" i="24" s="1"/>
  <c r="X74" i="24"/>
  <c r="AE74" i="24" s="1"/>
  <c r="W74" i="24"/>
  <c r="AD74" i="24" s="1"/>
  <c r="B75" i="24" l="1"/>
  <c r="G75" i="24"/>
  <c r="C75" i="24"/>
  <c r="H75" i="24"/>
  <c r="I75" i="24"/>
  <c r="D75" i="24"/>
  <c r="F75" i="24" l="1"/>
  <c r="U75" i="24"/>
  <c r="O75" i="24"/>
  <c r="V75" i="24"/>
  <c r="AG74" i="24"/>
  <c r="J75" i="24"/>
  <c r="E75" i="24"/>
  <c r="L75" i="24" l="1"/>
  <c r="M75" i="24" s="1"/>
  <c r="P75" i="24"/>
  <c r="Q75" i="24" s="1"/>
  <c r="K75" i="24"/>
  <c r="S75" i="24" l="1"/>
  <c r="T75" i="24" s="1"/>
  <c r="AC75" i="24" s="1"/>
  <c r="AA75" i="24"/>
  <c r="AB75" i="24"/>
  <c r="R75" i="24"/>
  <c r="X75" i="24" s="1"/>
  <c r="W75" i="24" l="1"/>
  <c r="AD75" i="24" s="1"/>
  <c r="B76" i="24" s="1"/>
  <c r="Y75" i="24"/>
  <c r="AF75" i="24" s="1"/>
  <c r="AE75" i="24"/>
  <c r="G76" i="24" l="1"/>
  <c r="I76" i="24"/>
  <c r="D76" i="24"/>
  <c r="C76" i="24"/>
  <c r="E76" i="24" s="1"/>
  <c r="H76" i="24"/>
  <c r="J76" i="24" l="1"/>
  <c r="P76" i="24" s="1"/>
  <c r="Q76" i="24" s="1"/>
  <c r="U76" i="24"/>
  <c r="V76" i="24"/>
  <c r="O76" i="24"/>
  <c r="AG75" i="24"/>
  <c r="F76" i="24"/>
  <c r="K76" i="24" l="1"/>
  <c r="L76" i="24"/>
  <c r="M76" i="24" s="1"/>
  <c r="S76" i="24" l="1"/>
  <c r="T76" i="24" s="1"/>
  <c r="AA76" i="24" s="1"/>
  <c r="AC76" i="24"/>
  <c r="R76" i="24"/>
  <c r="Y76" i="24" s="1"/>
  <c r="AB76" i="24" l="1"/>
  <c r="X76" i="24"/>
  <c r="W76" i="24"/>
  <c r="AD76" i="24" s="1"/>
  <c r="AF76" i="24"/>
  <c r="AE76" i="24" l="1"/>
  <c r="I77" i="24"/>
  <c r="D77" i="24"/>
  <c r="G77" i="24"/>
  <c r="B77" i="24"/>
  <c r="H77" i="24"/>
  <c r="C77" i="24"/>
  <c r="J77" i="24" l="1"/>
  <c r="F77" i="24"/>
  <c r="U77" i="24"/>
  <c r="O77" i="24"/>
  <c r="V77" i="24"/>
  <c r="AG76" i="24"/>
  <c r="E77" i="24"/>
  <c r="L77" i="24" l="1"/>
  <c r="M77" i="24" s="1"/>
  <c r="K77" i="24"/>
  <c r="P77" i="24"/>
  <c r="Q77" i="24" s="1"/>
  <c r="S77" i="24" l="1"/>
  <c r="T77" i="24" s="1"/>
  <c r="AA77" i="24" s="1"/>
  <c r="AC77" i="24"/>
  <c r="R77" i="24"/>
  <c r="W77" i="24" s="1"/>
  <c r="AB77" i="24" l="1"/>
  <c r="Y77" i="24"/>
  <c r="AF77" i="24" s="1"/>
  <c r="X77" i="24"/>
  <c r="AD77" i="24"/>
  <c r="AE77" i="24" l="1"/>
  <c r="I78" i="24"/>
  <c r="D78" i="24"/>
  <c r="B78" i="24"/>
  <c r="G78" i="24"/>
  <c r="H78" i="24"/>
  <c r="C78" i="24"/>
  <c r="J78" i="24" l="1"/>
  <c r="E78" i="24"/>
  <c r="F78" i="24"/>
  <c r="U78" i="24"/>
  <c r="O78" i="24"/>
  <c r="V78" i="24"/>
  <c r="AG77" i="24"/>
  <c r="L78" i="24" l="1"/>
  <c r="M78" i="24" s="1"/>
  <c r="K78" i="24"/>
  <c r="P78" i="24"/>
  <c r="Q78" i="24" s="1"/>
  <c r="S78" i="24" l="1"/>
  <c r="T78" i="24" s="1"/>
  <c r="AB78" i="24" s="1"/>
  <c r="AA78" i="24"/>
  <c r="R78" i="24"/>
  <c r="W78" i="24" s="1"/>
  <c r="AC78" i="24" l="1"/>
  <c r="X78" i="24"/>
  <c r="AE78" i="24" s="1"/>
  <c r="Y78" i="24"/>
  <c r="AF78" i="24" s="1"/>
  <c r="AD78" i="24"/>
  <c r="G79" i="24" l="1"/>
  <c r="B79" i="24"/>
  <c r="I79" i="24"/>
  <c r="D79" i="24"/>
  <c r="H79" i="24"/>
  <c r="C79" i="24"/>
  <c r="F79" i="24" l="1"/>
  <c r="E79" i="24"/>
  <c r="V79" i="24"/>
  <c r="O79" i="24"/>
  <c r="U79" i="24"/>
  <c r="AG78" i="24"/>
  <c r="J79" i="24"/>
  <c r="L79" i="24" l="1"/>
  <c r="M79" i="24" s="1"/>
  <c r="P79" i="24"/>
  <c r="Q79" i="24" s="1"/>
  <c r="K79" i="24"/>
  <c r="S79" i="24" l="1"/>
  <c r="T79" i="24" s="1"/>
  <c r="AC79" i="24" s="1"/>
  <c r="AA79" i="24"/>
  <c r="AB79" i="24"/>
  <c r="R79" i="24"/>
  <c r="W79" i="24" s="1"/>
  <c r="X79" i="24" l="1"/>
  <c r="AE79" i="24" s="1"/>
  <c r="Y79" i="24"/>
  <c r="AF79" i="24" s="1"/>
  <c r="AD79" i="24"/>
  <c r="B80" i="24" l="1"/>
  <c r="G80" i="24"/>
  <c r="I80" i="24"/>
  <c r="D80" i="24"/>
  <c r="H80" i="24"/>
  <c r="C80" i="24"/>
  <c r="V80" i="24" l="1"/>
  <c r="U80" i="24"/>
  <c r="O80" i="24"/>
  <c r="AG79" i="24"/>
  <c r="F80" i="24"/>
  <c r="J80" i="24"/>
  <c r="E80" i="24"/>
  <c r="L80" i="24" l="1"/>
  <c r="M80" i="24" s="1"/>
  <c r="K80" i="24"/>
  <c r="P80" i="24"/>
  <c r="Q80" i="24" s="1"/>
  <c r="S80" i="24" l="1"/>
  <c r="T80" i="24" s="1"/>
  <c r="AA80" i="24"/>
  <c r="AB80" i="24"/>
  <c r="AC80" i="24"/>
  <c r="R80" i="24"/>
  <c r="W80" i="24" s="1"/>
  <c r="X80" i="24" l="1"/>
  <c r="AE80" i="24" s="1"/>
  <c r="Y80" i="24"/>
  <c r="AF80" i="24" s="1"/>
  <c r="AD80" i="24"/>
  <c r="I81" i="24" l="1"/>
  <c r="D81" i="24"/>
  <c r="C81" i="24"/>
  <c r="H81" i="24"/>
  <c r="B81" i="24"/>
  <c r="G81" i="24"/>
  <c r="F81" i="24" l="1"/>
  <c r="J81" i="24"/>
  <c r="O81" i="24"/>
  <c r="U81" i="24"/>
  <c r="V81" i="24"/>
  <c r="AG80" i="24"/>
  <c r="E81" i="24"/>
  <c r="L81" i="24" l="1"/>
  <c r="M81" i="24" s="1"/>
  <c r="K81" i="24"/>
  <c r="P81" i="24"/>
  <c r="Q81" i="24" s="1"/>
  <c r="S81" i="24" l="1"/>
  <c r="T81" i="24" s="1"/>
  <c r="AA81" i="24" s="1"/>
  <c r="AB81" i="24"/>
  <c r="AC81" i="24"/>
  <c r="R81" i="24"/>
  <c r="Y81" i="24" l="1"/>
  <c r="AF81" i="24" s="1"/>
  <c r="W81" i="24"/>
  <c r="AD81" i="24" s="1"/>
  <c r="X81" i="24"/>
  <c r="AE81" i="24" s="1"/>
  <c r="H82" i="24" l="1"/>
  <c r="C82" i="24"/>
  <c r="G82" i="24"/>
  <c r="B82" i="24"/>
  <c r="D82" i="24"/>
  <c r="I82" i="24"/>
  <c r="E82" i="24" l="1"/>
  <c r="J82" i="24"/>
  <c r="F82" i="24"/>
  <c r="O82" i="24"/>
  <c r="V82" i="24"/>
  <c r="U82" i="24"/>
  <c r="AG81" i="24"/>
  <c r="L82" i="24" l="1"/>
  <c r="M82" i="24" s="1"/>
  <c r="K82" i="24"/>
  <c r="P82" i="24"/>
  <c r="Q82" i="24" s="1"/>
  <c r="S82" i="24" l="1"/>
  <c r="T82" i="24" s="1"/>
  <c r="AB82" i="24"/>
  <c r="AC82" i="24"/>
  <c r="AA82" i="24"/>
  <c r="R82" i="24"/>
  <c r="Y82" i="24" l="1"/>
  <c r="AF82" i="24" s="1"/>
  <c r="X82" i="24"/>
  <c r="AE82" i="24" s="1"/>
  <c r="W82" i="24"/>
  <c r="AD82" i="24" s="1"/>
  <c r="I83" i="24" l="1"/>
  <c r="D83" i="24"/>
  <c r="B83" i="24"/>
  <c r="G83" i="24"/>
  <c r="H83" i="24"/>
  <c r="C83" i="24"/>
  <c r="J83" i="24" l="1"/>
  <c r="E83" i="24"/>
  <c r="F83" i="24"/>
  <c r="O83" i="24"/>
  <c r="V83" i="24"/>
  <c r="U83" i="24"/>
  <c r="AG82" i="24"/>
  <c r="L83" i="24" l="1"/>
  <c r="M83" i="24" s="1"/>
  <c r="K83" i="24"/>
  <c r="P83" i="24"/>
  <c r="Q83" i="24" s="1"/>
  <c r="S83" i="24" l="1"/>
  <c r="T83" i="24" s="1"/>
  <c r="AC83" i="24" s="1"/>
  <c r="R83" i="24"/>
  <c r="AB83" i="24" l="1"/>
  <c r="AA83" i="24"/>
  <c r="X83" i="24"/>
  <c r="AE83" i="24" s="1"/>
  <c r="Y83" i="24"/>
  <c r="AF83" i="24" s="1"/>
  <c r="W83" i="24"/>
  <c r="AD83" i="24" l="1"/>
  <c r="G84" i="24"/>
  <c r="B84" i="24"/>
  <c r="D84" i="24"/>
  <c r="I84" i="24"/>
  <c r="H84" i="24"/>
  <c r="C84" i="24"/>
  <c r="J84" i="24" l="1"/>
  <c r="U84" i="24"/>
  <c r="O84" i="24"/>
  <c r="V84" i="24"/>
  <c r="AG83" i="24"/>
  <c r="F84" i="24"/>
  <c r="E84" i="24"/>
  <c r="L84" i="24" l="1"/>
  <c r="M84" i="24" s="1"/>
  <c r="P84" i="24"/>
  <c r="Q84" i="24" s="1"/>
  <c r="K84" i="24"/>
  <c r="S84" i="24" l="1"/>
  <c r="T84" i="24" s="1"/>
  <c r="AA84" i="24" s="1"/>
  <c r="AB84" i="24"/>
  <c r="AC84" i="24"/>
  <c r="R84" i="24"/>
  <c r="W84" i="24" l="1"/>
  <c r="AD84" i="24" s="1"/>
  <c r="Y84" i="24"/>
  <c r="AF84" i="24" s="1"/>
  <c r="X84" i="24"/>
  <c r="AE84" i="24" s="1"/>
  <c r="H85" i="24" l="1"/>
  <c r="C85" i="24"/>
  <c r="I85" i="24"/>
  <c r="D85" i="24"/>
  <c r="B85" i="24"/>
  <c r="G85" i="24"/>
  <c r="O85" i="24" l="1"/>
  <c r="U85" i="24"/>
  <c r="V85" i="24"/>
  <c r="AG84" i="24"/>
  <c r="J85" i="24"/>
  <c r="F85" i="24"/>
  <c r="E85" i="24"/>
  <c r="L85" i="24" l="1"/>
  <c r="M85" i="24" s="1"/>
  <c r="K85" i="24"/>
  <c r="P85" i="24"/>
  <c r="Q85" i="24" s="1"/>
  <c r="S85" i="24" l="1"/>
  <c r="T85" i="24" s="1"/>
  <c r="AA85" i="24"/>
  <c r="AB85" i="24"/>
  <c r="AC85" i="24"/>
  <c r="R85" i="24"/>
  <c r="Y85" i="24" l="1"/>
  <c r="AF85" i="24" s="1"/>
  <c r="W85" i="24"/>
  <c r="AD85" i="24" s="1"/>
  <c r="X85" i="24"/>
  <c r="AE85" i="24" s="1"/>
  <c r="H86" i="24" l="1"/>
  <c r="C86" i="24"/>
  <c r="G86" i="24"/>
  <c r="B86" i="24"/>
  <c r="I86" i="24"/>
  <c r="D86" i="24"/>
  <c r="E86" i="24" l="1"/>
  <c r="J86" i="24"/>
  <c r="U86" i="24"/>
  <c r="O86" i="24"/>
  <c r="V86" i="24"/>
  <c r="AG85" i="24"/>
  <c r="F86" i="24"/>
  <c r="L86" i="24" l="1"/>
  <c r="M86" i="24" s="1"/>
  <c r="P86" i="24"/>
  <c r="Q86" i="24" s="1"/>
  <c r="K86" i="24"/>
  <c r="S86" i="24" l="1"/>
  <c r="T86" i="24" s="1"/>
  <c r="AB86" i="24" s="1"/>
  <c r="AC86" i="24"/>
  <c r="AA86" i="24"/>
  <c r="R86" i="24"/>
  <c r="W86" i="24" l="1"/>
  <c r="AD86" i="24" s="1"/>
  <c r="Y86" i="24"/>
  <c r="AF86" i="24" s="1"/>
  <c r="X86" i="24"/>
  <c r="AE86" i="24" s="1"/>
  <c r="H87" i="24" l="1"/>
  <c r="C87" i="24"/>
  <c r="I87" i="24"/>
  <c r="D87" i="24"/>
  <c r="B87" i="24"/>
  <c r="G87" i="24"/>
  <c r="U87" i="24" l="1"/>
  <c r="O87" i="24"/>
  <c r="V87" i="24"/>
  <c r="AG86" i="24"/>
  <c r="J87" i="24"/>
  <c r="F87" i="24"/>
  <c r="E87" i="24"/>
  <c r="L87" i="24" l="1"/>
  <c r="M87" i="24" s="1"/>
  <c r="P87" i="24"/>
  <c r="Q87" i="24" s="1"/>
  <c r="K87" i="24"/>
  <c r="S87" i="24" l="1"/>
  <c r="T87" i="24" s="1"/>
  <c r="AC87" i="24"/>
  <c r="AA87" i="24"/>
  <c r="AB87" i="24"/>
  <c r="R87" i="24"/>
  <c r="Y87" i="24" l="1"/>
  <c r="AF87" i="24" s="1"/>
  <c r="W87" i="24"/>
  <c r="AD87" i="24" s="1"/>
  <c r="X87" i="24"/>
  <c r="AE87" i="24" s="1"/>
  <c r="H88" i="24" l="1"/>
  <c r="C88" i="24"/>
  <c r="G88" i="24"/>
  <c r="B88" i="24"/>
  <c r="I88" i="24"/>
  <c r="D88" i="24"/>
  <c r="E88" i="24" l="1"/>
  <c r="J88" i="24"/>
  <c r="O88" i="24"/>
  <c r="V88" i="24"/>
  <c r="U88" i="24"/>
  <c r="AG87" i="24"/>
  <c r="F88" i="24"/>
  <c r="P88" i="24" l="1"/>
  <c r="Q88" i="24" s="1"/>
  <c r="K88" i="24"/>
  <c r="L88" i="24"/>
  <c r="M88" i="24" s="1"/>
  <c r="S88" i="24" l="1"/>
  <c r="T88" i="24" s="1"/>
  <c r="AA88" i="24" s="1"/>
  <c r="AB88" i="24"/>
  <c r="AC88" i="24"/>
  <c r="R88" i="24"/>
  <c r="X88" i="24" l="1"/>
  <c r="AE88" i="24" s="1"/>
  <c r="W88" i="24"/>
  <c r="AD88" i="24" s="1"/>
  <c r="Y88" i="24"/>
  <c r="AF88" i="24" s="1"/>
  <c r="I89" i="24" l="1"/>
  <c r="D89" i="24"/>
  <c r="B89" i="24"/>
  <c r="G89" i="24"/>
  <c r="H89" i="24"/>
  <c r="C89" i="24"/>
  <c r="E89" i="24" l="1"/>
  <c r="F89" i="24"/>
  <c r="U89" i="24"/>
  <c r="O89" i="24"/>
  <c r="V89" i="24"/>
  <c r="AG88" i="24"/>
  <c r="J89" i="24"/>
  <c r="L89" i="24" l="1"/>
  <c r="M89" i="24" s="1"/>
  <c r="P89" i="24"/>
  <c r="Q89" i="24" s="1"/>
  <c r="K89" i="24"/>
  <c r="S89" i="24" l="1"/>
  <c r="T89" i="24" s="1"/>
  <c r="AA89" i="24"/>
  <c r="AB89" i="24"/>
  <c r="AC89" i="24"/>
  <c r="R89" i="24"/>
  <c r="Y89" i="24" l="1"/>
  <c r="AF89" i="24" s="1"/>
  <c r="W89" i="24"/>
  <c r="AD89" i="24" s="1"/>
  <c r="X89" i="24"/>
  <c r="AE89" i="24" s="1"/>
  <c r="H90" i="24" l="1"/>
  <c r="C90" i="24"/>
  <c r="B90" i="24"/>
  <c r="G90" i="24"/>
  <c r="I90" i="24"/>
  <c r="D90" i="24"/>
  <c r="J90" i="24" l="1"/>
  <c r="E90" i="24"/>
  <c r="O90" i="24"/>
  <c r="V90" i="24"/>
  <c r="U90" i="24"/>
  <c r="AG89" i="24"/>
  <c r="F90" i="24"/>
  <c r="L90" i="24" l="1"/>
  <c r="M90" i="24" s="1"/>
  <c r="P90" i="24"/>
  <c r="Q90" i="24" s="1"/>
  <c r="K90" i="24"/>
  <c r="S90" i="24" l="1"/>
  <c r="T90" i="24" s="1"/>
  <c r="AB90" i="24" s="1"/>
  <c r="AC90" i="24"/>
  <c r="AA90" i="24"/>
  <c r="R90" i="24"/>
  <c r="W90" i="24" l="1"/>
  <c r="AD90" i="24" s="1"/>
  <c r="Y90" i="24"/>
  <c r="AF90" i="24" s="1"/>
  <c r="X90" i="24"/>
  <c r="AE90" i="24" s="1"/>
  <c r="H91" i="24" l="1"/>
  <c r="C91" i="24"/>
  <c r="I91" i="24"/>
  <c r="D91" i="24"/>
  <c r="G91" i="24"/>
  <c r="B91" i="24"/>
  <c r="J91" i="24" l="1"/>
  <c r="O91" i="24"/>
  <c r="V91" i="24"/>
  <c r="U91" i="24"/>
  <c r="AG90" i="24"/>
  <c r="E91" i="24"/>
  <c r="F91" i="24"/>
  <c r="L91" i="24" l="1"/>
  <c r="M91" i="24" s="1"/>
  <c r="P91" i="24"/>
  <c r="Q91" i="24" s="1"/>
  <c r="K91" i="24"/>
  <c r="S91" i="24" l="1"/>
  <c r="T91" i="24" s="1"/>
  <c r="AC91" i="24"/>
  <c r="AA91" i="24"/>
  <c r="AB91" i="24"/>
  <c r="R91" i="24"/>
  <c r="Y91" i="24" l="1"/>
  <c r="AF91" i="24" s="1"/>
  <c r="W91" i="24"/>
  <c r="AD91" i="24" s="1"/>
  <c r="X91" i="24"/>
  <c r="AE91" i="24" s="1"/>
  <c r="C92" i="24" l="1"/>
  <c r="H92" i="24"/>
  <c r="G92" i="24"/>
  <c r="B92" i="24"/>
  <c r="I92" i="24"/>
  <c r="D92" i="24"/>
  <c r="F92" i="24" l="1"/>
  <c r="E92" i="24"/>
  <c r="J92" i="24"/>
  <c r="V92" i="24"/>
  <c r="O92" i="24"/>
  <c r="U92" i="24"/>
  <c r="AG91" i="24"/>
  <c r="P92" i="24" l="1"/>
  <c r="Q92" i="24" s="1"/>
  <c r="K92" i="24"/>
  <c r="L92" i="24"/>
  <c r="M92" i="24" s="1"/>
  <c r="S92" i="24" l="1"/>
  <c r="T92" i="24" s="1"/>
  <c r="AA92" i="24" s="1"/>
  <c r="AB92" i="24"/>
  <c r="AC92" i="24"/>
  <c r="R92" i="24"/>
  <c r="Y92" i="24" s="1"/>
  <c r="X92" i="24" l="1"/>
  <c r="AE92" i="24" s="1"/>
  <c r="H93" i="24" s="1"/>
  <c r="W92" i="24"/>
  <c r="AD92" i="24" s="1"/>
  <c r="AF92" i="24"/>
  <c r="C93" i="24" l="1"/>
  <c r="I93" i="24"/>
  <c r="D93" i="24"/>
  <c r="G93" i="24"/>
  <c r="B93" i="24"/>
  <c r="E93" i="24" l="1"/>
  <c r="J93" i="24"/>
  <c r="F93" i="24"/>
  <c r="V93" i="24"/>
  <c r="U93" i="24"/>
  <c r="O93" i="24"/>
  <c r="AG92" i="24"/>
  <c r="K93" i="24" l="1"/>
  <c r="P93" i="24"/>
  <c r="Q93" i="24" s="1"/>
  <c r="L93" i="24"/>
  <c r="M93" i="24" s="1"/>
  <c r="S93" i="24" l="1"/>
  <c r="T93" i="24" s="1"/>
  <c r="AA93" i="24"/>
  <c r="AB93" i="24"/>
  <c r="AC93" i="24"/>
  <c r="R93" i="24"/>
  <c r="Y93" i="24" l="1"/>
  <c r="AF93" i="24" s="1"/>
  <c r="W93" i="24"/>
  <c r="AD93" i="24" s="1"/>
  <c r="X93" i="24"/>
  <c r="AE93" i="24" s="1"/>
  <c r="H94" i="24" l="1"/>
  <c r="C94" i="24"/>
  <c r="B94" i="24"/>
  <c r="G94" i="24"/>
  <c r="D94" i="24"/>
  <c r="I94" i="24"/>
  <c r="J94" i="24" l="1"/>
  <c r="E94" i="24"/>
  <c r="F94" i="24"/>
  <c r="V94" i="24"/>
  <c r="U94" i="24"/>
  <c r="O94" i="24"/>
  <c r="AG93" i="24"/>
  <c r="L94" i="24" l="1"/>
  <c r="M94" i="24" s="1"/>
  <c r="K94" i="24"/>
  <c r="P94" i="24"/>
  <c r="Q94" i="24" s="1"/>
  <c r="S94" i="24" l="1"/>
  <c r="T94" i="24" s="1"/>
  <c r="AB94" i="24" s="1"/>
  <c r="AC94" i="24"/>
  <c r="AA94" i="24"/>
  <c r="R94" i="24"/>
  <c r="Y94" i="24" s="1"/>
  <c r="W94" i="24" l="1"/>
  <c r="AD94" i="24" s="1"/>
  <c r="X94" i="24"/>
  <c r="AE94" i="24" s="1"/>
  <c r="AF94" i="24"/>
  <c r="G95" i="24" l="1"/>
  <c r="B95" i="24"/>
  <c r="D95" i="24"/>
  <c r="I95" i="24"/>
  <c r="H95" i="24"/>
  <c r="C95" i="24"/>
  <c r="V95" i="24" l="1"/>
  <c r="U95" i="24"/>
  <c r="O95" i="24"/>
  <c r="AG94" i="24"/>
  <c r="F95" i="24"/>
  <c r="E95" i="24"/>
  <c r="J95" i="24"/>
  <c r="L95" i="24" l="1"/>
  <c r="M95" i="24" s="1"/>
  <c r="K95" i="24"/>
  <c r="P95" i="24"/>
  <c r="Q95" i="24" s="1"/>
  <c r="S95" i="24" l="1"/>
  <c r="T95" i="24" s="1"/>
  <c r="AC95" i="24"/>
  <c r="AA95" i="24"/>
  <c r="AB95" i="24"/>
  <c r="R95" i="24"/>
  <c r="W95" i="24" s="1"/>
  <c r="X95" i="24" l="1"/>
  <c r="AE95" i="24" s="1"/>
  <c r="Y95" i="24"/>
  <c r="AF95" i="24" s="1"/>
  <c r="AD95" i="24"/>
  <c r="I96" i="24" l="1"/>
  <c r="D96" i="24"/>
  <c r="G96" i="24"/>
  <c r="B96" i="24"/>
  <c r="C96" i="24"/>
  <c r="H96" i="24"/>
  <c r="E96" i="24" l="1"/>
  <c r="J96" i="24"/>
  <c r="V96" i="24"/>
  <c r="O96" i="24"/>
  <c r="U96" i="24"/>
  <c r="AG95" i="24"/>
  <c r="F96" i="24"/>
  <c r="K96" i="24" l="1"/>
  <c r="P96" i="24"/>
  <c r="Q96" i="24" s="1"/>
  <c r="L96" i="24"/>
  <c r="M96" i="24" s="1"/>
  <c r="S96" i="24" l="1"/>
  <c r="T96" i="24" s="1"/>
  <c r="AA96" i="24"/>
  <c r="AB96" i="24"/>
  <c r="AC96" i="24"/>
  <c r="R96" i="24"/>
  <c r="X96" i="24" l="1"/>
  <c r="AE96" i="24" s="1"/>
  <c r="Y96" i="24"/>
  <c r="AF96" i="24" s="1"/>
  <c r="W96" i="24"/>
  <c r="AD96" i="24" s="1"/>
  <c r="B97" i="24" l="1"/>
  <c r="G97" i="24"/>
  <c r="D97" i="24"/>
  <c r="I97" i="24"/>
  <c r="H97" i="24"/>
  <c r="C97" i="24"/>
  <c r="O97" i="24" l="1"/>
  <c r="V97" i="24"/>
  <c r="U97" i="24"/>
  <c r="AG96" i="24"/>
  <c r="F97" i="24"/>
  <c r="J97" i="24"/>
  <c r="E97" i="24"/>
  <c r="K97" i="24" l="1"/>
  <c r="P97" i="24"/>
  <c r="Q97" i="24" s="1"/>
  <c r="L97" i="24"/>
  <c r="M97" i="24" s="1"/>
  <c r="S97" i="24" l="1"/>
  <c r="T97" i="24" s="1"/>
  <c r="AA97" i="24"/>
  <c r="AB97" i="24"/>
  <c r="AC97" i="24"/>
  <c r="R97" i="24"/>
  <c r="W97" i="24" l="1"/>
  <c r="AD97" i="24" s="1"/>
  <c r="Y97" i="24"/>
  <c r="AF97" i="24" s="1"/>
  <c r="X97" i="24"/>
  <c r="AE97" i="24" s="1"/>
  <c r="C98" i="24" l="1"/>
  <c r="H98" i="24"/>
  <c r="I98" i="24"/>
  <c r="D98" i="24"/>
  <c r="B98" i="24"/>
  <c r="G98" i="24"/>
  <c r="U98" i="24" l="1"/>
  <c r="V98" i="24"/>
  <c r="O98" i="24"/>
  <c r="AG97" i="24"/>
  <c r="J98" i="24"/>
  <c r="E98" i="24"/>
  <c r="F98" i="24"/>
  <c r="P98" i="24" l="1"/>
  <c r="Q98" i="24" s="1"/>
  <c r="K98" i="24"/>
  <c r="L98" i="24"/>
  <c r="M98" i="24" s="1"/>
  <c r="S98" i="24" l="1"/>
  <c r="T98" i="24" s="1"/>
  <c r="AB98" i="24" s="1"/>
  <c r="R98" i="24"/>
  <c r="AA98" i="24" l="1"/>
  <c r="AC98" i="24"/>
  <c r="X98" i="24"/>
  <c r="AE98" i="24" s="1"/>
  <c r="W98" i="24"/>
  <c r="Y98" i="24"/>
  <c r="AF98" i="24" l="1"/>
  <c r="AD98" i="24"/>
  <c r="G99" i="24" s="1"/>
  <c r="I99" i="24"/>
  <c r="D99" i="24"/>
  <c r="B99" i="24"/>
  <c r="H99" i="24"/>
  <c r="C99" i="24"/>
  <c r="E99" i="24" l="1"/>
  <c r="J99" i="24"/>
  <c r="F99" i="24"/>
  <c r="V99" i="24"/>
  <c r="U99" i="24"/>
  <c r="O99" i="24"/>
  <c r="AG98" i="24"/>
  <c r="L99" i="24" l="1"/>
  <c r="M99" i="24" s="1"/>
  <c r="K99" i="24"/>
  <c r="P99" i="24"/>
  <c r="Q99" i="24" s="1"/>
  <c r="S99" i="24" l="1"/>
  <c r="T99" i="24" s="1"/>
  <c r="AC99" i="24" s="1"/>
  <c r="AA99" i="24"/>
  <c r="AB99" i="24"/>
  <c r="R99" i="24"/>
  <c r="W99" i="24" s="1"/>
  <c r="X99" i="24" l="1"/>
  <c r="AE99" i="24" s="1"/>
  <c r="Y99" i="24"/>
  <c r="AF99" i="24" s="1"/>
  <c r="AD99" i="24"/>
  <c r="B100" i="24" l="1"/>
  <c r="G100" i="24"/>
  <c r="D100" i="24"/>
  <c r="I100" i="24"/>
  <c r="H100" i="24"/>
  <c r="C100" i="24"/>
  <c r="V100" i="24" l="1"/>
  <c r="U100" i="24"/>
  <c r="O100" i="24"/>
  <c r="AG99" i="24"/>
  <c r="F100" i="24"/>
  <c r="J100" i="24"/>
  <c r="E100" i="24"/>
  <c r="K100" i="24" l="1"/>
  <c r="P100" i="24"/>
  <c r="Q100" i="24" s="1"/>
  <c r="L100" i="24"/>
  <c r="M100" i="24" s="1"/>
  <c r="S100" i="24" l="1"/>
  <c r="T100" i="24" s="1"/>
  <c r="AA100" i="24" s="1"/>
  <c r="AB100" i="24"/>
  <c r="AC100" i="24"/>
  <c r="R100" i="24"/>
  <c r="W100" i="24" l="1"/>
  <c r="AD100" i="24" s="1"/>
  <c r="X100" i="24"/>
  <c r="AE100" i="24" s="1"/>
  <c r="Y100" i="24"/>
  <c r="AF100" i="24" s="1"/>
  <c r="I101" i="24" l="1"/>
  <c r="D101" i="24"/>
  <c r="C101" i="24"/>
  <c r="H101" i="24"/>
  <c r="B101" i="24"/>
  <c r="G101" i="24"/>
  <c r="F101" i="24" l="1"/>
  <c r="J101" i="24"/>
  <c r="V101" i="24"/>
  <c r="U101" i="24"/>
  <c r="O101" i="24"/>
  <c r="AG100" i="24"/>
  <c r="E101" i="24"/>
  <c r="K101" i="24" l="1"/>
  <c r="P101" i="24"/>
  <c r="Q101" i="24" s="1"/>
  <c r="L101" i="24"/>
  <c r="M101" i="24" s="1"/>
  <c r="S101" i="24" l="1"/>
  <c r="T101" i="24" s="1"/>
  <c r="AA101" i="24" s="1"/>
  <c r="R101" i="24"/>
  <c r="AC101" i="24" l="1"/>
  <c r="AB101" i="24"/>
  <c r="X101" i="24"/>
  <c r="AE101" i="24" s="1"/>
  <c r="W101" i="24"/>
  <c r="AD101" i="24" s="1"/>
  <c r="Y101" i="24"/>
  <c r="AF101" i="24" s="1"/>
  <c r="D102" i="24" l="1"/>
  <c r="I102" i="24"/>
  <c r="G102" i="24"/>
  <c r="B102" i="24"/>
  <c r="H102" i="24"/>
  <c r="C102" i="24"/>
  <c r="E102" i="24" l="1"/>
  <c r="J102" i="24"/>
  <c r="F102" i="24"/>
  <c r="V102" i="24"/>
  <c r="O102" i="24"/>
  <c r="U102" i="24"/>
  <c r="AG101" i="24"/>
  <c r="K102" i="24" l="1"/>
  <c r="L102" i="24"/>
  <c r="M102" i="24" s="1"/>
  <c r="P102" i="24"/>
  <c r="Q102" i="24" s="1"/>
  <c r="S102" i="24" l="1"/>
  <c r="T102" i="24" s="1"/>
  <c r="AB102" i="24" s="1"/>
  <c r="AC102" i="24"/>
  <c r="AA102" i="24"/>
  <c r="R102" i="24"/>
  <c r="X102" i="24" l="1"/>
  <c r="AE102" i="24" s="1"/>
  <c r="Y102" i="24"/>
  <c r="AF102" i="24" s="1"/>
  <c r="W102" i="24"/>
  <c r="AD102" i="24" s="1"/>
  <c r="B103" i="24" l="1"/>
  <c r="G103" i="24"/>
  <c r="I103" i="24"/>
  <c r="D103" i="24"/>
  <c r="C103" i="24"/>
  <c r="H103" i="24"/>
  <c r="O103" i="24" l="1"/>
  <c r="U103" i="24"/>
  <c r="V103" i="24"/>
  <c r="AG102" i="24"/>
  <c r="J103" i="24"/>
  <c r="F103" i="24"/>
  <c r="E103" i="24"/>
  <c r="K103" i="24" l="1"/>
  <c r="L103" i="24"/>
  <c r="M103" i="24" s="1"/>
  <c r="P103" i="24"/>
  <c r="Q103" i="24" s="1"/>
  <c r="S103" i="24" l="1"/>
  <c r="T103" i="24" s="1"/>
  <c r="AC103" i="24" s="1"/>
  <c r="AB103" i="24"/>
  <c r="R103" i="24"/>
  <c r="W103" i="24" s="1"/>
  <c r="AA103" i="24" l="1"/>
  <c r="Y103" i="24"/>
  <c r="AF103" i="24" s="1"/>
  <c r="X103" i="24"/>
  <c r="AE103" i="24" s="1"/>
  <c r="AD103" i="24"/>
  <c r="G104" i="24" l="1"/>
  <c r="B104" i="24"/>
  <c r="H104" i="24"/>
  <c r="C104" i="24"/>
  <c r="I104" i="24"/>
  <c r="D104" i="24"/>
  <c r="F104" i="24" l="1"/>
  <c r="U104" i="24"/>
  <c r="V104" i="24"/>
  <c r="O104" i="24"/>
  <c r="AG103" i="24"/>
  <c r="E104" i="24"/>
  <c r="J104" i="24"/>
  <c r="K104" i="24" l="1"/>
  <c r="L104" i="24"/>
  <c r="M104" i="24" s="1"/>
  <c r="P104" i="24"/>
  <c r="Q104" i="24" s="1"/>
  <c r="S104" i="24" l="1"/>
  <c r="T104" i="24" s="1"/>
  <c r="AA104" i="24" s="1"/>
  <c r="AC104" i="24"/>
  <c r="R104" i="24"/>
  <c r="Y104" i="24" s="1"/>
  <c r="AB104" i="24" l="1"/>
  <c r="X104" i="24"/>
  <c r="W104" i="24"/>
  <c r="AD104" i="24" s="1"/>
  <c r="AF104" i="24"/>
  <c r="AE104" i="24" l="1"/>
  <c r="D105" i="24"/>
  <c r="I105" i="24"/>
  <c r="G105" i="24"/>
  <c r="B105" i="24"/>
  <c r="H105" i="24"/>
  <c r="C105" i="24"/>
  <c r="E105" i="24" l="1"/>
  <c r="J105" i="24"/>
  <c r="F105" i="24"/>
  <c r="O105" i="24"/>
  <c r="V105" i="24"/>
  <c r="U105" i="24"/>
  <c r="AG104" i="24"/>
  <c r="K105" i="24" l="1"/>
  <c r="L105" i="24"/>
  <c r="M105" i="24" s="1"/>
  <c r="P105" i="24"/>
  <c r="Q105" i="24" s="1"/>
  <c r="S105" i="24" l="1"/>
  <c r="T105" i="24" s="1"/>
  <c r="AA105" i="24" s="1"/>
  <c r="AC105" i="24"/>
  <c r="R105" i="24"/>
  <c r="W105" i="24" s="1"/>
  <c r="AB105" i="24" l="1"/>
  <c r="Y105" i="24"/>
  <c r="AF105" i="24" s="1"/>
  <c r="I106" i="24" s="1"/>
  <c r="X105" i="24"/>
  <c r="AE105" i="24" s="1"/>
  <c r="AD105" i="24"/>
  <c r="D106" i="24" l="1"/>
  <c r="U106" i="24" s="1"/>
  <c r="B106" i="24"/>
  <c r="G106" i="24"/>
  <c r="C106" i="24"/>
  <c r="H106" i="24"/>
  <c r="V106" i="24" l="1"/>
  <c r="AG105" i="24"/>
  <c r="O106" i="24"/>
  <c r="F106" i="24"/>
  <c r="J106" i="24"/>
  <c r="E106" i="24"/>
  <c r="K106" i="24" l="1"/>
  <c r="L106" i="24"/>
  <c r="M106" i="24" s="1"/>
  <c r="P106" i="24"/>
  <c r="Q106" i="24" s="1"/>
  <c r="S106" i="24" l="1"/>
  <c r="T106" i="24" s="1"/>
  <c r="AB106" i="24" s="1"/>
  <c r="AC106" i="24"/>
  <c r="AA106" i="24"/>
  <c r="R106" i="24"/>
  <c r="X106" i="24" s="1"/>
  <c r="W106" i="24" l="1"/>
  <c r="AD106" i="24" s="1"/>
  <c r="Y106" i="24"/>
  <c r="AF106" i="24" s="1"/>
  <c r="AE106" i="24"/>
  <c r="H107" i="24" l="1"/>
  <c r="C107" i="24"/>
  <c r="D107" i="24"/>
  <c r="I107" i="24"/>
  <c r="G107" i="24"/>
  <c r="B107" i="24"/>
  <c r="U107" i="24" l="1"/>
  <c r="V107" i="24"/>
  <c r="O107" i="24"/>
  <c r="AG106" i="24"/>
  <c r="E107" i="24"/>
  <c r="F107" i="24"/>
  <c r="J107" i="24"/>
  <c r="L107" i="24" l="1"/>
  <c r="M107" i="24" s="1"/>
  <c r="P107" i="24"/>
  <c r="Q107" i="24" s="1"/>
  <c r="K107" i="24"/>
  <c r="S107" i="24" l="1"/>
  <c r="T107" i="24" s="1"/>
  <c r="AC107" i="24" s="1"/>
  <c r="R107" i="24"/>
  <c r="X107" i="24" s="1"/>
  <c r="AA107" i="24" l="1"/>
  <c r="AB107" i="24"/>
  <c r="AE107" i="24" s="1"/>
  <c r="W107" i="24"/>
  <c r="AD107" i="24" s="1"/>
  <c r="Y107" i="24"/>
  <c r="AF107" i="24" s="1"/>
  <c r="H108" i="24" l="1"/>
  <c r="C108" i="24"/>
  <c r="I108" i="24"/>
  <c r="D108" i="24"/>
  <c r="B108" i="24"/>
  <c r="G108" i="24"/>
  <c r="V108" i="24" l="1"/>
  <c r="U108" i="24"/>
  <c r="O108" i="24"/>
  <c r="AG107" i="24"/>
  <c r="J108" i="24"/>
  <c r="F108" i="24"/>
  <c r="E108" i="24"/>
  <c r="P108" i="24" l="1"/>
  <c r="Q108" i="24" s="1"/>
  <c r="L108" i="24"/>
  <c r="M108" i="24" s="1"/>
  <c r="K108" i="24"/>
  <c r="S108" i="24" l="1"/>
  <c r="T108" i="24" s="1"/>
  <c r="AA108" i="24"/>
  <c r="AB108" i="24"/>
  <c r="AC108" i="24"/>
  <c r="R108" i="24"/>
  <c r="W108" i="24" l="1"/>
  <c r="AD108" i="24" s="1"/>
  <c r="X108" i="24"/>
  <c r="AE108" i="24" s="1"/>
  <c r="Y108" i="24"/>
  <c r="AF108" i="24" s="1"/>
  <c r="I109" i="24" l="1"/>
  <c r="D109" i="24"/>
  <c r="H109" i="24"/>
  <c r="C109" i="24"/>
  <c r="G109" i="24"/>
  <c r="B109" i="24"/>
  <c r="F109" i="24" l="1"/>
  <c r="E109" i="24"/>
  <c r="U109" i="24"/>
  <c r="O109" i="24"/>
  <c r="V109" i="24"/>
  <c r="AG108" i="24"/>
  <c r="J109" i="24"/>
  <c r="L109" i="24" l="1"/>
  <c r="M109" i="24" s="1"/>
  <c r="P109" i="24"/>
  <c r="Q109" i="24" s="1"/>
  <c r="K109" i="24"/>
  <c r="S109" i="24" l="1"/>
  <c r="T109" i="24" s="1"/>
  <c r="AA109" i="24"/>
  <c r="AB109" i="24"/>
  <c r="AC109" i="24"/>
  <c r="R109" i="24"/>
  <c r="X109" i="24" s="1"/>
  <c r="Y109" i="24" l="1"/>
  <c r="AF109" i="24" s="1"/>
  <c r="W109" i="24"/>
  <c r="AD109" i="24" s="1"/>
  <c r="AE109" i="24"/>
  <c r="C110" i="24" l="1"/>
  <c r="H110" i="24"/>
  <c r="B110" i="24"/>
  <c r="G110" i="24"/>
  <c r="D110" i="24"/>
  <c r="I110" i="24"/>
  <c r="J110" i="24" l="1"/>
  <c r="E110" i="24"/>
  <c r="O110" i="24"/>
  <c r="U110" i="24"/>
  <c r="V110" i="24"/>
  <c r="AG109" i="24"/>
  <c r="F110" i="24"/>
  <c r="L110" i="24" l="1"/>
  <c r="M110" i="24" s="1"/>
  <c r="K110" i="24"/>
  <c r="P110" i="24"/>
  <c r="Q110" i="24" s="1"/>
  <c r="S110" i="24" l="1"/>
  <c r="T110" i="24" s="1"/>
  <c r="AB110" i="24"/>
  <c r="AC110" i="24"/>
  <c r="AA110" i="24"/>
  <c r="R110" i="24"/>
  <c r="X110" i="24" s="1"/>
  <c r="Y110" i="24" l="1"/>
  <c r="AF110" i="24" s="1"/>
  <c r="W110" i="24"/>
  <c r="AD110" i="24" s="1"/>
  <c r="AE110" i="24"/>
  <c r="H111" i="24" l="1"/>
  <c r="C111" i="24"/>
  <c r="G111" i="24"/>
  <c r="B111" i="24"/>
  <c r="I111" i="24"/>
  <c r="D111" i="24"/>
  <c r="E111" i="24" l="1"/>
  <c r="J111" i="24"/>
  <c r="V111" i="24"/>
  <c r="U111" i="24"/>
  <c r="O111" i="24"/>
  <c r="AG110" i="24"/>
  <c r="F111" i="24"/>
  <c r="K111" i="24" l="1"/>
  <c r="L111" i="24"/>
  <c r="M111" i="24" s="1"/>
  <c r="P111" i="24"/>
  <c r="Q111" i="24" s="1"/>
  <c r="S111" i="24" l="1"/>
  <c r="T111" i="24" s="1"/>
  <c r="AC111" i="24" s="1"/>
  <c r="R111" i="24" l="1"/>
  <c r="AB111" i="24"/>
  <c r="AA111" i="24"/>
  <c r="X111" i="24"/>
  <c r="AE111" i="24" s="1"/>
  <c r="W111" i="24"/>
  <c r="Y111" i="24"/>
  <c r="AF111" i="24" s="1"/>
  <c r="AD111" i="24" l="1"/>
  <c r="I112" i="24"/>
  <c r="D112" i="24"/>
  <c r="B112" i="24"/>
  <c r="G112" i="24"/>
  <c r="H112" i="24"/>
  <c r="C112" i="24"/>
  <c r="J112" i="24" l="1"/>
  <c r="E112" i="24"/>
  <c r="F112" i="24"/>
  <c r="O112" i="24"/>
  <c r="V112" i="24"/>
  <c r="U112" i="24"/>
  <c r="AG111" i="24"/>
  <c r="K112" i="24" l="1"/>
  <c r="L112" i="24"/>
  <c r="M112" i="24" s="1"/>
  <c r="P112" i="24"/>
  <c r="Q112" i="24" s="1"/>
  <c r="S112" i="24" l="1"/>
  <c r="T112" i="24" s="1"/>
  <c r="AA112" i="24"/>
  <c r="AB112" i="24"/>
  <c r="AC112" i="24"/>
  <c r="R112" i="24"/>
  <c r="W112" i="24" s="1"/>
  <c r="X112" i="24" l="1"/>
  <c r="AE112" i="24" s="1"/>
  <c r="C113" i="24" s="1"/>
  <c r="AD112" i="24"/>
  <c r="B113" i="24" s="1"/>
  <c r="Y112" i="24"/>
  <c r="AF112" i="24" s="1"/>
  <c r="I113" i="24" s="1"/>
  <c r="G113" i="24" l="1"/>
  <c r="D113" i="24"/>
  <c r="U113" i="24" s="1"/>
  <c r="H113" i="24"/>
  <c r="F113" i="24"/>
  <c r="E113" i="24"/>
  <c r="J113" i="24" l="1"/>
  <c r="L113" i="24" s="1"/>
  <c r="M113" i="24" s="1"/>
  <c r="AG112" i="24"/>
  <c r="O113" i="24"/>
  <c r="V113" i="24"/>
  <c r="K113" i="24" l="1"/>
  <c r="P113" i="24"/>
  <c r="Q113" i="24" s="1"/>
  <c r="S113" i="24"/>
  <c r="T113" i="24" s="1"/>
  <c r="AB113" i="24" s="1"/>
  <c r="AA113" i="24" l="1"/>
  <c r="AC113" i="24"/>
  <c r="R113" i="24"/>
  <c r="Y113" i="24" s="1"/>
  <c r="AF113" i="24" l="1"/>
  <c r="I114" i="24" s="1"/>
  <c r="X113" i="24"/>
  <c r="AE113" i="24" s="1"/>
  <c r="C114" i="24" s="1"/>
  <c r="W113" i="24"/>
  <c r="AD113" i="24" s="1"/>
  <c r="B114" i="24" s="1"/>
  <c r="H114" i="24" l="1"/>
  <c r="D114" i="24"/>
  <c r="U114" i="24" s="1"/>
  <c r="G114" i="24"/>
  <c r="E114" i="24"/>
  <c r="F114" i="24"/>
  <c r="J114" i="24" l="1"/>
  <c r="K114" i="24" s="1"/>
  <c r="V114" i="24"/>
  <c r="AG113" i="24"/>
  <c r="O114" i="24"/>
  <c r="P114" i="24" l="1"/>
  <c r="Q114" i="24" s="1"/>
  <c r="L114" i="24"/>
  <c r="M114" i="24" s="1"/>
  <c r="S114" i="24" l="1"/>
  <c r="T114" i="24" s="1"/>
  <c r="AB114" i="24" s="1"/>
  <c r="AC114" i="24"/>
  <c r="AA114" i="24"/>
  <c r="R114" i="24"/>
  <c r="X114" i="24" s="1"/>
  <c r="AE114" i="24" l="1"/>
  <c r="H115" i="24" s="1"/>
  <c r="Y114" i="24"/>
  <c r="AF114" i="24" s="1"/>
  <c r="D115" i="24" s="1"/>
  <c r="W114" i="24"/>
  <c r="AD114" i="24" s="1"/>
  <c r="B115" i="24" s="1"/>
  <c r="C115" i="24"/>
  <c r="G115" i="24" l="1"/>
  <c r="I115" i="24"/>
  <c r="V115" i="24"/>
  <c r="U115" i="24"/>
  <c r="AG114" i="24"/>
  <c r="F115" i="24"/>
  <c r="E115" i="24"/>
  <c r="J115" i="24" l="1"/>
  <c r="K115" i="24" s="1"/>
  <c r="O115" i="24"/>
  <c r="L115" i="24" l="1"/>
  <c r="M115" i="24" s="1"/>
  <c r="P115" i="24"/>
  <c r="Q115" i="24" s="1"/>
  <c r="S115" i="24" l="1"/>
  <c r="T115" i="24" s="1"/>
  <c r="AC115" i="24"/>
  <c r="AA115" i="24"/>
  <c r="AB115" i="24"/>
  <c r="R115" i="24"/>
  <c r="W115" i="24" s="1"/>
  <c r="AD115" i="24" l="1"/>
  <c r="G116" i="24" s="1"/>
  <c r="X115" i="24"/>
  <c r="AE115" i="24" s="1"/>
  <c r="H116" i="24" s="1"/>
  <c r="Y115" i="24"/>
  <c r="AF115" i="24" s="1"/>
  <c r="D116" i="24" s="1"/>
  <c r="B116" i="24" l="1"/>
  <c r="I116" i="24"/>
  <c r="J116" i="24" s="1"/>
  <c r="C116" i="24"/>
  <c r="U116" i="24"/>
  <c r="V116" i="24"/>
  <c r="AG115" i="24"/>
  <c r="F116" i="24" l="1"/>
  <c r="O116" i="24"/>
  <c r="E116" i="24"/>
  <c r="K116" i="24"/>
  <c r="P116" i="24"/>
  <c r="Q116" i="24" s="1"/>
  <c r="L116" i="24"/>
  <c r="M116" i="24" s="1"/>
  <c r="S116" i="24" l="1"/>
  <c r="T116" i="24" s="1"/>
  <c r="AA116" i="24" s="1"/>
  <c r="AB116" i="24" l="1"/>
  <c r="AC116" i="24"/>
  <c r="R116" i="24"/>
  <c r="X116" i="24" s="1"/>
  <c r="W116" i="24" l="1"/>
  <c r="AD116" i="24" s="1"/>
  <c r="B117" i="24" s="1"/>
  <c r="Y116" i="24"/>
  <c r="AF116" i="24" s="1"/>
  <c r="D117" i="24" s="1"/>
  <c r="AG116" i="24" s="1"/>
  <c r="AE116" i="24"/>
  <c r="C117" i="24" s="1"/>
  <c r="G117" i="24" l="1"/>
  <c r="H117" i="24"/>
  <c r="I117" i="24"/>
  <c r="V117" i="24"/>
  <c r="U117" i="24"/>
  <c r="F117" i="24"/>
  <c r="E117" i="24"/>
  <c r="O117" i="24" l="1"/>
  <c r="J117" i="24"/>
  <c r="P117" i="24" s="1"/>
  <c r="Q117" i="24" s="1"/>
  <c r="K117" i="24" l="1"/>
  <c r="L117" i="24"/>
  <c r="M117" i="24" s="1"/>
  <c r="S117" i="24" l="1"/>
  <c r="T117" i="24" s="1"/>
  <c r="AA117" i="24" s="1"/>
  <c r="AB117" i="24"/>
  <c r="AC117" i="24"/>
  <c r="R117" i="24"/>
  <c r="X117" i="24" s="1"/>
  <c r="W117" i="24" l="1"/>
  <c r="AD117" i="24" s="1"/>
  <c r="B118" i="24" s="1"/>
  <c r="Y117" i="24"/>
  <c r="AF117" i="24" s="1"/>
  <c r="I118" i="24" s="1"/>
  <c r="AE117" i="24"/>
  <c r="C118" i="24" s="1"/>
  <c r="G118" i="24" l="1"/>
  <c r="H118" i="24"/>
  <c r="D118" i="24"/>
  <c r="F118" i="24"/>
  <c r="E118" i="24"/>
  <c r="J118" i="24" l="1"/>
  <c r="K118" i="24" s="1"/>
  <c r="O118" i="24"/>
  <c r="V118" i="24"/>
  <c r="U118" i="24"/>
  <c r="AG117" i="24"/>
  <c r="P118" i="24" l="1"/>
  <c r="Q118" i="24" s="1"/>
  <c r="L118" i="24"/>
  <c r="M118" i="24" s="1"/>
  <c r="S118" i="24" l="1"/>
  <c r="AB118" i="24"/>
  <c r="AC118" i="24"/>
  <c r="AA118" i="24"/>
  <c r="T118" i="24"/>
  <c r="R118" i="24"/>
  <c r="X118" i="24" s="1"/>
  <c r="AE118" i="24" l="1"/>
  <c r="H119" i="24" s="1"/>
  <c r="W118" i="24"/>
  <c r="Y118" i="24"/>
  <c r="AF118" i="24" s="1"/>
  <c r="D119" i="24" s="1"/>
  <c r="AD118" i="24" l="1"/>
  <c r="G119" i="24" s="1"/>
  <c r="I119" i="24"/>
  <c r="C119" i="24"/>
  <c r="U119" i="24"/>
  <c r="V119" i="24"/>
  <c r="AG118" i="24"/>
  <c r="B119" i="24" l="1"/>
  <c r="E119" i="24" s="1"/>
  <c r="O119" i="24"/>
  <c r="J119" i="24"/>
  <c r="L119" i="24" s="1"/>
  <c r="M119" i="24" s="1"/>
  <c r="F119" i="24" l="1"/>
  <c r="S119" i="24"/>
  <c r="T119" i="24" s="1"/>
  <c r="AC119" i="24" s="1"/>
  <c r="P119" i="24"/>
  <c r="Q119" i="24" s="1"/>
  <c r="K119" i="24"/>
  <c r="AB119" i="24" l="1"/>
  <c r="AA119" i="24"/>
  <c r="R119" i="24"/>
  <c r="W119" i="24" s="1"/>
  <c r="AD119" i="24" l="1"/>
  <c r="B120" i="24" s="1"/>
  <c r="Y119" i="24"/>
  <c r="AF119" i="24" s="1"/>
  <c r="I120" i="24" s="1"/>
  <c r="X119" i="24"/>
  <c r="AE119" i="24" s="1"/>
  <c r="C120" i="24" s="1"/>
  <c r="G120" i="24" l="1"/>
  <c r="D120" i="24"/>
  <c r="U120" i="24" s="1"/>
  <c r="H120" i="24"/>
  <c r="F120" i="24"/>
  <c r="E120" i="24"/>
  <c r="J120" i="24" l="1"/>
  <c r="K120" i="24" s="1"/>
  <c r="O120" i="24"/>
  <c r="V120" i="24"/>
  <c r="AG119" i="24"/>
  <c r="P120" i="24" l="1"/>
  <c r="Q120" i="24" s="1"/>
  <c r="L120" i="24"/>
  <c r="M120" i="24" s="1"/>
  <c r="S120" i="24" l="1"/>
  <c r="T120" i="24" s="1"/>
  <c r="AA120" i="24" s="1"/>
  <c r="R120" i="24"/>
  <c r="W120" i="24" s="1"/>
  <c r="AC120" i="24" l="1"/>
  <c r="AB120" i="24"/>
  <c r="AD120" i="24"/>
  <c r="G121" i="24" s="1"/>
  <c r="X120" i="24"/>
  <c r="Y120" i="24"/>
  <c r="AF120" i="24" s="1"/>
  <c r="I121" i="24" s="1"/>
  <c r="AE120" i="24" l="1"/>
  <c r="C121" i="24" s="1"/>
  <c r="B121" i="24"/>
  <c r="E121" i="24" s="1"/>
  <c r="H121" i="24"/>
  <c r="J121" i="24" s="1"/>
  <c r="D121" i="24"/>
  <c r="F121" i="24" l="1"/>
  <c r="O121" i="24"/>
  <c r="V121" i="24"/>
  <c r="U121" i="24"/>
  <c r="AG120" i="24"/>
  <c r="K121" i="24"/>
  <c r="P121" i="24"/>
  <c r="Q121" i="24" s="1"/>
  <c r="L121" i="24"/>
  <c r="M121" i="24" s="1"/>
  <c r="S121" i="24" l="1"/>
  <c r="T121" i="24" s="1"/>
  <c r="AA121" i="24" s="1"/>
  <c r="AB121" i="24" l="1"/>
  <c r="AC121" i="24"/>
  <c r="R121" i="24"/>
  <c r="X121" i="24" s="1"/>
  <c r="AE121" i="24" l="1"/>
  <c r="H122" i="24" s="1"/>
  <c r="Y121" i="24"/>
  <c r="AF121" i="24" s="1"/>
  <c r="I122" i="24" s="1"/>
  <c r="W121" i="24"/>
  <c r="AD121" i="24" s="1"/>
  <c r="B122" i="24" s="1"/>
  <c r="C122" i="24" l="1"/>
  <c r="E122" i="24" s="1"/>
  <c r="D122" i="24"/>
  <c r="AG121" i="24" s="1"/>
  <c r="G122" i="24"/>
  <c r="J122" i="24" s="1"/>
  <c r="F122" i="24" l="1"/>
  <c r="V122" i="24"/>
  <c r="U122" i="24"/>
  <c r="O122" i="24"/>
  <c r="K122" i="24"/>
  <c r="P122" i="24"/>
  <c r="Q122" i="24" s="1"/>
  <c r="L122" i="24"/>
  <c r="M122" i="24" s="1"/>
  <c r="S122" i="24" l="1"/>
  <c r="T122" i="24" s="1"/>
  <c r="AB122" i="24" s="1"/>
  <c r="AC122" i="24" l="1"/>
  <c r="AA122" i="24"/>
  <c r="R122" i="24"/>
  <c r="W122" i="24" s="1"/>
  <c r="AD122" i="24" l="1"/>
  <c r="G123" i="24" s="1"/>
  <c r="X122" i="24"/>
  <c r="AE122" i="24" s="1"/>
  <c r="H123" i="24" s="1"/>
  <c r="Y122" i="24"/>
  <c r="AF122" i="24" s="1"/>
  <c r="I123" i="24" s="1"/>
  <c r="B123" i="24" l="1"/>
  <c r="C123" i="24"/>
  <c r="D123" i="24"/>
  <c r="O123" i="24" s="1"/>
  <c r="J123" i="24"/>
  <c r="F123" i="24" l="1"/>
  <c r="U123" i="24"/>
  <c r="E123" i="24"/>
  <c r="AG122" i="24"/>
  <c r="V123" i="24"/>
  <c r="P123" i="24"/>
  <c r="Q123" i="24" s="1"/>
  <c r="K123" i="24"/>
  <c r="L123" i="24"/>
  <c r="M123" i="24" s="1"/>
  <c r="S123" i="24" l="1"/>
  <c r="T123" i="24" s="1"/>
  <c r="AC123" i="24"/>
  <c r="AA123" i="24"/>
  <c r="AB123" i="24"/>
  <c r="R123" i="24"/>
  <c r="Y123" i="24" l="1"/>
  <c r="AF123" i="24" s="1"/>
  <c r="X123" i="24"/>
  <c r="AE123" i="24" s="1"/>
  <c r="W123" i="24"/>
  <c r="AD123" i="24" s="1"/>
  <c r="G124" i="24" l="1"/>
  <c r="B124" i="24"/>
  <c r="C124" i="24"/>
  <c r="H124" i="24"/>
  <c r="D124" i="24"/>
  <c r="I124" i="24"/>
  <c r="J124" i="24" l="1"/>
  <c r="U124" i="24"/>
  <c r="O124" i="24"/>
  <c r="V124" i="24"/>
  <c r="AG123" i="24"/>
  <c r="F124" i="24"/>
  <c r="E124" i="24"/>
  <c r="K124" i="24" l="1"/>
  <c r="L124" i="24"/>
  <c r="M124" i="24" s="1"/>
  <c r="P124" i="24"/>
  <c r="Q124" i="24" s="1"/>
  <c r="S124" i="24" l="1"/>
  <c r="T124" i="24" s="1"/>
  <c r="AA124" i="24"/>
  <c r="AB124" i="24"/>
  <c r="AC124" i="24"/>
  <c r="R124" i="24"/>
  <c r="Y124" i="24" l="1"/>
  <c r="AF124" i="24" s="1"/>
  <c r="X124" i="24"/>
  <c r="AE124" i="24" s="1"/>
  <c r="W124" i="24"/>
  <c r="AD124" i="24" s="1"/>
  <c r="G125" i="24" l="1"/>
  <c r="B125" i="24"/>
  <c r="H125" i="24"/>
  <c r="C125" i="24"/>
  <c r="I125" i="24"/>
  <c r="D125" i="24"/>
  <c r="F125" i="24" l="1"/>
  <c r="O125" i="24"/>
  <c r="V125" i="24"/>
  <c r="U125" i="24"/>
  <c r="AG124" i="24"/>
  <c r="E125" i="24"/>
  <c r="J125" i="24"/>
  <c r="K125" i="24" l="1"/>
  <c r="L125" i="24"/>
  <c r="M125" i="24" s="1"/>
  <c r="P125" i="24"/>
  <c r="Q125" i="24" s="1"/>
  <c r="S125" i="24" l="1"/>
  <c r="T125" i="24" s="1"/>
  <c r="AA125" i="24"/>
  <c r="AB125" i="24"/>
  <c r="AC125" i="24"/>
  <c r="R125" i="24"/>
  <c r="X125" i="24" s="1"/>
  <c r="Y125" i="24" l="1"/>
  <c r="AF125" i="24" s="1"/>
  <c r="W125" i="24"/>
  <c r="AD125" i="24" s="1"/>
  <c r="AE125" i="24"/>
  <c r="D126" i="24" l="1"/>
  <c r="I126" i="24"/>
  <c r="C126" i="24"/>
  <c r="H126" i="24"/>
  <c r="G126" i="24"/>
  <c r="B126" i="24"/>
  <c r="F126" i="24" l="1"/>
  <c r="E126" i="24"/>
  <c r="J126" i="24"/>
  <c r="O126" i="24"/>
  <c r="V126" i="24"/>
  <c r="U126" i="24"/>
  <c r="AG125" i="24"/>
  <c r="K126" i="24" l="1"/>
  <c r="P126" i="24"/>
  <c r="Q126" i="24" s="1"/>
  <c r="L126" i="24"/>
  <c r="M126" i="24" s="1"/>
  <c r="S126" i="24" l="1"/>
  <c r="T126" i="24" s="1"/>
  <c r="AB126" i="24"/>
  <c r="AC126" i="24"/>
  <c r="AA126" i="24"/>
  <c r="R126" i="24"/>
  <c r="W126" i="24" l="1"/>
  <c r="AD126" i="24" s="1"/>
  <c r="Y126" i="24"/>
  <c r="AF126" i="24" s="1"/>
  <c r="X126" i="24"/>
  <c r="AE126" i="24" s="1"/>
  <c r="H127" i="24" l="1"/>
  <c r="C127" i="24"/>
  <c r="I127" i="24"/>
  <c r="D127" i="24"/>
  <c r="B127" i="24"/>
  <c r="G127" i="24"/>
  <c r="O127" i="24" l="1"/>
  <c r="V127" i="24"/>
  <c r="U127" i="24"/>
  <c r="AG126" i="24"/>
  <c r="J127" i="24"/>
  <c r="F127" i="24"/>
  <c r="E127" i="24"/>
  <c r="K127" i="24" l="1"/>
  <c r="L127" i="24"/>
  <c r="M127" i="24" s="1"/>
  <c r="P127" i="24"/>
  <c r="Q127" i="24" s="1"/>
  <c r="S127" i="24" l="1"/>
  <c r="T127" i="24" s="1"/>
  <c r="AC127" i="24" s="1"/>
  <c r="AA127" i="24"/>
  <c r="AB127" i="24"/>
  <c r="R127" i="24"/>
  <c r="W127" i="24" s="1"/>
  <c r="X127" i="24" l="1"/>
  <c r="AE127" i="24" s="1"/>
  <c r="Y127" i="24"/>
  <c r="AF127" i="24" s="1"/>
  <c r="AD127" i="24"/>
  <c r="H128" i="24" l="1"/>
  <c r="C128" i="24"/>
  <c r="G128" i="24"/>
  <c r="B128" i="24"/>
  <c r="I128" i="24"/>
  <c r="D128" i="24"/>
  <c r="E128" i="24" l="1"/>
  <c r="J128" i="24"/>
  <c r="O128" i="24"/>
  <c r="V128" i="24"/>
  <c r="U128" i="24"/>
  <c r="AG127" i="24"/>
  <c r="F128" i="24"/>
  <c r="K128" i="24" l="1"/>
  <c r="L128" i="24"/>
  <c r="M128" i="24" s="1"/>
  <c r="P128" i="24"/>
  <c r="Q128" i="24" s="1"/>
  <c r="S128" i="24" l="1"/>
  <c r="T128" i="24" s="1"/>
  <c r="AA128" i="24"/>
  <c r="AB128" i="24"/>
  <c r="AC128" i="24"/>
  <c r="R128" i="24"/>
  <c r="X128" i="24" s="1"/>
  <c r="Y128" i="24" l="1"/>
  <c r="AF128" i="24" s="1"/>
  <c r="W128" i="24"/>
  <c r="AD128" i="24" s="1"/>
  <c r="AE128" i="24"/>
  <c r="H129" i="24" s="1"/>
  <c r="C129" i="24" l="1"/>
  <c r="I129" i="24"/>
  <c r="D129" i="24"/>
  <c r="B129" i="24"/>
  <c r="G129" i="24"/>
  <c r="F129" i="24" l="1"/>
  <c r="J129" i="24"/>
  <c r="E129" i="24"/>
  <c r="U129" i="24"/>
  <c r="O129" i="24"/>
  <c r="V129" i="24"/>
  <c r="AG128" i="24"/>
  <c r="K129" i="24" l="1"/>
  <c r="L129" i="24"/>
  <c r="M129" i="24" s="1"/>
  <c r="P129" i="24"/>
  <c r="Q129" i="24" s="1"/>
  <c r="S129" i="24" l="1"/>
  <c r="T129" i="24" s="1"/>
  <c r="AA129" i="24" s="1"/>
  <c r="AC129" i="24"/>
  <c r="R129" i="24"/>
  <c r="X129" i="24" s="1"/>
  <c r="AB129" i="24" l="1"/>
  <c r="Y129" i="24"/>
  <c r="AF129" i="24" s="1"/>
  <c r="W129" i="24"/>
  <c r="AD129" i="24" s="1"/>
  <c r="AE129" i="24"/>
  <c r="H130" i="24" l="1"/>
  <c r="C130" i="24"/>
  <c r="G130" i="24"/>
  <c r="B130" i="24"/>
  <c r="I130" i="24"/>
  <c r="D130" i="24"/>
  <c r="E130" i="24" l="1"/>
  <c r="J130" i="24"/>
  <c r="O130" i="24"/>
  <c r="V130" i="24"/>
  <c r="U130" i="24"/>
  <c r="AG129" i="24"/>
  <c r="F130" i="24"/>
  <c r="L130" i="24" l="1"/>
  <c r="M130" i="24" s="1"/>
  <c r="P130" i="24"/>
  <c r="Q130" i="24" s="1"/>
  <c r="K130" i="24"/>
  <c r="S130" i="24" l="1"/>
  <c r="T130" i="24" s="1"/>
  <c r="AB130" i="24"/>
  <c r="AC130" i="24"/>
  <c r="AA130" i="24"/>
  <c r="R130" i="24"/>
  <c r="W130" i="24" s="1"/>
  <c r="X130" i="24" l="1"/>
  <c r="AE130" i="24" s="1"/>
  <c r="Y130" i="24"/>
  <c r="AF130" i="24" s="1"/>
  <c r="AD130" i="24"/>
  <c r="I131" i="24" l="1"/>
  <c r="D131" i="24"/>
  <c r="AG130" i="24" s="1"/>
  <c r="H131" i="24"/>
  <c r="C131" i="24"/>
  <c r="B131" i="24"/>
  <c r="G131" i="24"/>
  <c r="U131" i="24" l="1"/>
  <c r="O131" i="24"/>
  <c r="V131" i="24"/>
  <c r="J131" i="24"/>
  <c r="E131" i="24"/>
  <c r="F131" i="24"/>
  <c r="P131" i="24" l="1"/>
  <c r="Q131" i="24" s="1"/>
  <c r="K131" i="24"/>
  <c r="L131" i="24"/>
  <c r="M131" i="24" s="1"/>
  <c r="S131" i="24" l="1"/>
  <c r="T131" i="24" s="1"/>
  <c r="AC131" i="24" s="1"/>
  <c r="AA131" i="24"/>
  <c r="AB131" i="24"/>
  <c r="R131" i="24"/>
  <c r="W131" i="24" l="1"/>
  <c r="AD131" i="24" s="1"/>
  <c r="Y131" i="24"/>
  <c r="AF131" i="24" s="1"/>
  <c r="X131" i="24"/>
  <c r="AE131" i="24" s="1"/>
  <c r="C132" i="24" l="1"/>
  <c r="H132" i="24"/>
  <c r="I132" i="24"/>
  <c r="D132" i="24"/>
  <c r="G132" i="24"/>
  <c r="B132" i="24"/>
  <c r="V132" i="24" l="1"/>
  <c r="U132" i="24"/>
  <c r="O132" i="24"/>
  <c r="AG131" i="24"/>
  <c r="E132" i="24"/>
  <c r="J132" i="24"/>
  <c r="F132" i="24"/>
  <c r="K132" i="24" l="1"/>
  <c r="L132" i="24"/>
  <c r="M132" i="24" s="1"/>
  <c r="P132" i="24"/>
  <c r="Q132" i="24" s="1"/>
  <c r="S132" i="24" l="1"/>
  <c r="T132" i="24" s="1"/>
  <c r="AA132" i="24" s="1"/>
  <c r="AC132" i="24"/>
  <c r="R132" i="24"/>
  <c r="AB132" i="24" l="1"/>
  <c r="Y132" i="24"/>
  <c r="AF132" i="24" s="1"/>
  <c r="X132" i="24"/>
  <c r="AE132" i="24" s="1"/>
  <c r="W132" i="24"/>
  <c r="AD132" i="24" s="1"/>
  <c r="B133" i="24" l="1"/>
  <c r="G133" i="24"/>
  <c r="H133" i="24"/>
  <c r="C133" i="24"/>
  <c r="I133" i="24"/>
  <c r="D133" i="24"/>
  <c r="F133" i="24" l="1"/>
  <c r="U133" i="24"/>
  <c r="O133" i="24"/>
  <c r="V133" i="24"/>
  <c r="AG132" i="24"/>
  <c r="J133" i="24"/>
  <c r="E133" i="24"/>
  <c r="P133" i="24" l="1"/>
  <c r="Q133" i="24" s="1"/>
  <c r="K133" i="24"/>
  <c r="L133" i="24"/>
  <c r="M133" i="24" s="1"/>
  <c r="S133" i="24" l="1"/>
  <c r="T133" i="24" s="1"/>
  <c r="AA133" i="24"/>
  <c r="AB133" i="24"/>
  <c r="AC133" i="24"/>
  <c r="R133" i="24"/>
  <c r="W133" i="24" l="1"/>
  <c r="AD133" i="24" s="1"/>
  <c r="Y133" i="24"/>
  <c r="AF133" i="24" s="1"/>
  <c r="X133" i="24"/>
  <c r="AE133" i="24" s="1"/>
  <c r="C134" i="24" l="1"/>
  <c r="H134" i="24"/>
  <c r="D134" i="24"/>
  <c r="I134" i="24"/>
  <c r="B134" i="24"/>
  <c r="G134" i="24"/>
  <c r="O134" i="24" l="1"/>
  <c r="V134" i="24"/>
  <c r="U134" i="24"/>
  <c r="AG133" i="24"/>
  <c r="J134" i="24"/>
  <c r="E134" i="24"/>
  <c r="F134" i="24"/>
  <c r="K134" i="24" l="1"/>
  <c r="L134" i="24"/>
  <c r="M134" i="24" s="1"/>
  <c r="P134" i="24"/>
  <c r="Q134" i="24" s="1"/>
  <c r="S134" i="24" l="1"/>
  <c r="T134" i="24" s="1"/>
  <c r="AB134" i="24"/>
  <c r="AC134" i="24"/>
  <c r="AA134" i="24"/>
  <c r="R134" i="24"/>
  <c r="W134" i="24" s="1"/>
  <c r="Y134" i="24" l="1"/>
  <c r="AF134" i="24" s="1"/>
  <c r="X134" i="24"/>
  <c r="AE134" i="24" s="1"/>
  <c r="AD134" i="24"/>
  <c r="G135" i="24" l="1"/>
  <c r="B135" i="24"/>
  <c r="H135" i="24"/>
  <c r="C135" i="24"/>
  <c r="I135" i="24"/>
  <c r="D135" i="24"/>
  <c r="F135" i="24" l="1"/>
  <c r="O135" i="24"/>
  <c r="V135" i="24"/>
  <c r="U135" i="24"/>
  <c r="AG134" i="24"/>
  <c r="E135" i="24"/>
  <c r="J135" i="24"/>
  <c r="K135" i="24" l="1"/>
  <c r="L135" i="24"/>
  <c r="M135" i="24" s="1"/>
  <c r="P135" i="24"/>
  <c r="Q135" i="24" s="1"/>
  <c r="S135" i="24" l="1"/>
  <c r="T135" i="24" s="1"/>
  <c r="AC135" i="24" s="1"/>
  <c r="AB135" i="24"/>
  <c r="R135" i="24"/>
  <c r="W135" i="24" s="1"/>
  <c r="AA135" i="24" l="1"/>
  <c r="X135" i="24"/>
  <c r="AE135" i="24" s="1"/>
  <c r="H136" i="24" s="1"/>
  <c r="Y135" i="24"/>
  <c r="AF135" i="24" s="1"/>
  <c r="AD135" i="24"/>
  <c r="C136" i="24" l="1"/>
  <c r="G136" i="24"/>
  <c r="B136" i="24"/>
  <c r="D136" i="24"/>
  <c r="I136" i="24"/>
  <c r="F136" i="24" l="1"/>
  <c r="O136" i="24"/>
  <c r="V136" i="24"/>
  <c r="U136" i="24"/>
  <c r="AG135" i="24"/>
  <c r="E136" i="24"/>
  <c r="J136" i="24"/>
  <c r="K136" i="24" l="1"/>
  <c r="L136" i="24"/>
  <c r="M136" i="24" s="1"/>
  <c r="P136" i="24"/>
  <c r="Q136" i="24" s="1"/>
  <c r="S136" i="24" l="1"/>
  <c r="T136" i="24" s="1"/>
  <c r="AA136" i="24"/>
  <c r="AB136" i="24"/>
  <c r="AC136" i="24"/>
  <c r="R136" i="24"/>
  <c r="W136" i="24" s="1"/>
  <c r="X136" i="24" l="1"/>
  <c r="AE136" i="24" s="1"/>
  <c r="Y136" i="24"/>
  <c r="AF136" i="24" s="1"/>
  <c r="AD136" i="24"/>
  <c r="B137" i="24" l="1"/>
  <c r="G137" i="24"/>
  <c r="I137" i="24"/>
  <c r="D137" i="24"/>
  <c r="H137" i="24"/>
  <c r="C137" i="24"/>
  <c r="U137" i="24" l="1"/>
  <c r="O137" i="24"/>
  <c r="V137" i="24"/>
  <c r="AG136" i="24"/>
  <c r="F137" i="24"/>
  <c r="J137" i="24"/>
  <c r="E137" i="24"/>
  <c r="K137" i="24" l="1"/>
  <c r="L137" i="24"/>
  <c r="M137" i="24" s="1"/>
  <c r="P137" i="24"/>
  <c r="Q137" i="24" s="1"/>
  <c r="S137" i="24" l="1"/>
  <c r="T137" i="24" s="1"/>
  <c r="AA137" i="24"/>
  <c r="AB137" i="24"/>
  <c r="AC137" i="24"/>
  <c r="R137" i="24"/>
  <c r="Y137" i="24" s="1"/>
  <c r="W137" i="24" l="1"/>
  <c r="AD137" i="24" s="1"/>
  <c r="X137" i="24"/>
  <c r="AE137" i="24" s="1"/>
  <c r="AF137" i="24"/>
  <c r="I138" i="24" l="1"/>
  <c r="D138" i="24"/>
  <c r="C138" i="24"/>
  <c r="H138" i="24"/>
  <c r="B138" i="24"/>
  <c r="G138" i="24"/>
  <c r="F138" i="24" l="1"/>
  <c r="J138" i="24"/>
  <c r="U138" i="24"/>
  <c r="O138" i="24"/>
  <c r="V138" i="24"/>
  <c r="AG137" i="24"/>
  <c r="E138" i="24"/>
  <c r="P138" i="24" l="1"/>
  <c r="Q138" i="24" s="1"/>
  <c r="K138" i="24"/>
  <c r="L138" i="24"/>
  <c r="M138" i="24" s="1"/>
  <c r="S138" i="24" l="1"/>
  <c r="T138" i="24" s="1"/>
  <c r="AB138" i="24"/>
  <c r="AC138" i="24"/>
  <c r="AA138" i="24"/>
  <c r="R138" i="24"/>
  <c r="W138" i="24" l="1"/>
  <c r="AD138" i="24" s="1"/>
  <c r="Y138" i="24"/>
  <c r="AF138" i="24" s="1"/>
  <c r="X138" i="24"/>
  <c r="AE138" i="24" s="1"/>
  <c r="H139" i="24" l="1"/>
  <c r="C139" i="24"/>
  <c r="D139" i="24"/>
  <c r="I139" i="24"/>
  <c r="G139" i="24"/>
  <c r="B139" i="24"/>
  <c r="U139" i="24" l="1"/>
  <c r="O139" i="24"/>
  <c r="V139" i="24"/>
  <c r="AG138" i="24"/>
  <c r="E139" i="24"/>
  <c r="F139" i="24"/>
  <c r="J139" i="24"/>
  <c r="K139" i="24" l="1"/>
  <c r="L139" i="24"/>
  <c r="M139" i="24" s="1"/>
  <c r="P139" i="24"/>
  <c r="Q139" i="24" s="1"/>
  <c r="S139" i="24" l="1"/>
  <c r="T139" i="24" s="1"/>
  <c r="AC139" i="24" s="1"/>
  <c r="AA139" i="24"/>
  <c r="AB139" i="24"/>
  <c r="R139" i="24"/>
  <c r="W139" i="24" s="1"/>
  <c r="X139" i="24" l="1"/>
  <c r="AE139" i="24" s="1"/>
  <c r="Y139" i="24"/>
  <c r="AF139" i="24" s="1"/>
  <c r="AD139" i="24"/>
  <c r="B140" i="24" l="1"/>
  <c r="G140" i="24"/>
  <c r="I140" i="24"/>
  <c r="D140" i="24"/>
  <c r="H140" i="24"/>
  <c r="C140" i="24"/>
  <c r="V140" i="24" l="1"/>
  <c r="U140" i="24"/>
  <c r="O140" i="24"/>
  <c r="AG139" i="24"/>
  <c r="F140" i="24"/>
  <c r="J140" i="24"/>
  <c r="E140" i="24"/>
  <c r="K140" i="24" l="1"/>
  <c r="L140" i="24"/>
  <c r="M140" i="24" s="1"/>
  <c r="P140" i="24"/>
  <c r="Q140" i="24" s="1"/>
  <c r="S140" i="24" l="1"/>
  <c r="T140" i="24" s="1"/>
  <c r="AA140" i="24" s="1"/>
  <c r="R140" i="24"/>
  <c r="W140" i="24" s="1"/>
  <c r="AB140" i="24" l="1"/>
  <c r="AC140" i="24"/>
  <c r="Y140" i="24"/>
  <c r="X140" i="24"/>
  <c r="AE140" i="24" s="1"/>
  <c r="C141" i="24" s="1"/>
  <c r="AD140" i="24"/>
  <c r="AF140" i="24" l="1"/>
  <c r="H141" i="24"/>
  <c r="B141" i="24"/>
  <c r="F141" i="24" s="1"/>
  <c r="G141" i="24"/>
  <c r="I141" i="24"/>
  <c r="D141" i="24"/>
  <c r="O141" i="24" l="1"/>
  <c r="V141" i="24"/>
  <c r="U141" i="24"/>
  <c r="AG140" i="24"/>
  <c r="J141" i="24"/>
  <c r="E141" i="24"/>
  <c r="K141" i="24" l="1"/>
  <c r="L141" i="24"/>
  <c r="M141" i="24" s="1"/>
  <c r="P141" i="24"/>
  <c r="Q141" i="24" s="1"/>
  <c r="S141" i="24" l="1"/>
  <c r="T141" i="24" s="1"/>
  <c r="AA141" i="24" s="1"/>
  <c r="AB141" i="24"/>
  <c r="AC141" i="24"/>
  <c r="R141" i="24"/>
  <c r="X141" i="24" s="1"/>
  <c r="Y141" i="24" l="1"/>
  <c r="AF141" i="24" s="1"/>
  <c r="I142" i="24" s="1"/>
  <c r="W141" i="24"/>
  <c r="AD141" i="24" s="1"/>
  <c r="G142" i="24" s="1"/>
  <c r="AE141" i="24"/>
  <c r="B142" i="24" l="1"/>
  <c r="D142" i="24"/>
  <c r="V142" i="24" s="1"/>
  <c r="H142" i="24"/>
  <c r="C142" i="24"/>
  <c r="AG141" i="24" l="1"/>
  <c r="U142" i="24"/>
  <c r="F142" i="24"/>
  <c r="E142" i="24"/>
  <c r="O142" i="24"/>
  <c r="J142" i="24"/>
  <c r="K142" i="24" l="1"/>
  <c r="L142" i="24"/>
  <c r="M142" i="24" s="1"/>
  <c r="P142" i="24"/>
  <c r="Q142" i="24" s="1"/>
  <c r="S142" i="24" l="1"/>
  <c r="T142" i="24" s="1"/>
  <c r="AB142" i="24" s="1"/>
  <c r="AC142" i="24"/>
  <c r="AA142" i="24"/>
  <c r="R142" i="24"/>
  <c r="X142" i="24" s="1"/>
  <c r="Y142" i="24" l="1"/>
  <c r="AF142" i="24" s="1"/>
  <c r="W142" i="24"/>
  <c r="AD142" i="24" s="1"/>
  <c r="AE142" i="24"/>
  <c r="C143" i="24" l="1"/>
  <c r="H143" i="24"/>
  <c r="G143" i="24"/>
  <c r="B143" i="24"/>
  <c r="I143" i="24"/>
  <c r="D143" i="24"/>
  <c r="E143" i="24" l="1"/>
  <c r="J143" i="24"/>
  <c r="U143" i="24"/>
  <c r="O143" i="24"/>
  <c r="V143" i="24"/>
  <c r="AG142" i="24"/>
  <c r="F143" i="24"/>
  <c r="K143" i="24" l="1"/>
  <c r="L143" i="24"/>
  <c r="M143" i="24" s="1"/>
  <c r="P143" i="24"/>
  <c r="Q143" i="24" s="1"/>
  <c r="S143" i="24" l="1"/>
  <c r="T143" i="24" s="1"/>
  <c r="AC143" i="24"/>
  <c r="AA143" i="24"/>
  <c r="AB143" i="24"/>
  <c r="R143" i="24"/>
  <c r="X143" i="24" l="1"/>
  <c r="AE143" i="24" s="1"/>
  <c r="W143" i="24"/>
  <c r="AD143" i="24" s="1"/>
  <c r="Y143" i="24"/>
  <c r="AF143" i="24" s="1"/>
  <c r="D144" i="24" l="1"/>
  <c r="I144" i="24"/>
  <c r="B144" i="24"/>
  <c r="G144" i="24"/>
  <c r="C144" i="24"/>
  <c r="H144" i="24"/>
  <c r="J144" i="24" l="1"/>
  <c r="E144" i="24"/>
  <c r="F144" i="24"/>
  <c r="V144" i="24"/>
  <c r="U144" i="24"/>
  <c r="O144" i="24"/>
  <c r="AG143" i="24"/>
  <c r="K144" i="24" l="1"/>
  <c r="L144" i="24"/>
  <c r="M144" i="24" s="1"/>
  <c r="P144" i="24"/>
  <c r="Q144" i="24" s="1"/>
  <c r="S144" i="24" l="1"/>
  <c r="T144" i="24" s="1"/>
  <c r="AA144" i="24" s="1"/>
  <c r="AC144" i="24"/>
  <c r="R144" i="24"/>
  <c r="X144" i="24" s="1"/>
  <c r="AB144" i="24" l="1"/>
  <c r="W144" i="24"/>
  <c r="AD144" i="24" s="1"/>
  <c r="Y144" i="24"/>
  <c r="AF144" i="24" s="1"/>
  <c r="I145" i="24" s="1"/>
  <c r="AE144" i="24"/>
  <c r="D145" i="24" l="1"/>
  <c r="U145" i="24" s="1"/>
  <c r="H145" i="24"/>
  <c r="C145" i="24"/>
  <c r="G145" i="24"/>
  <c r="B145" i="24"/>
  <c r="AG144" i="24" l="1"/>
  <c r="V145" i="24"/>
  <c r="E145" i="24"/>
  <c r="J145" i="24"/>
  <c r="O145" i="24"/>
  <c r="F145" i="24"/>
  <c r="P145" i="24" l="1"/>
  <c r="Q145" i="24" s="1"/>
  <c r="K145" i="24"/>
  <c r="L145" i="24"/>
  <c r="M145" i="24" s="1"/>
  <c r="S145" i="24" l="1"/>
  <c r="T145" i="24" s="1"/>
  <c r="AA145" i="24" s="1"/>
  <c r="AC145" i="24"/>
  <c r="R145" i="24"/>
  <c r="AB145" i="24" l="1"/>
  <c r="Y145" i="24"/>
  <c r="AF145" i="24" s="1"/>
  <c r="X145" i="24"/>
  <c r="AE145" i="24" s="1"/>
  <c r="W145" i="24"/>
  <c r="AD145" i="24" s="1"/>
  <c r="B146" i="24" l="1"/>
  <c r="G146" i="24"/>
  <c r="C146" i="24"/>
  <c r="H146" i="24"/>
  <c r="I146" i="24"/>
  <c r="D146" i="24"/>
  <c r="F146" i="24" l="1"/>
  <c r="O146" i="24"/>
  <c r="U146" i="24"/>
  <c r="V146" i="24"/>
  <c r="AG145" i="24"/>
  <c r="J146" i="24"/>
  <c r="E146" i="24"/>
  <c r="K146" i="24" l="1"/>
  <c r="L146" i="24"/>
  <c r="M146" i="24" s="1"/>
  <c r="P146" i="24"/>
  <c r="Q146" i="24" s="1"/>
  <c r="S146" i="24" l="1"/>
  <c r="T146" i="24" s="1"/>
  <c r="AC146" i="24"/>
  <c r="AB146" i="24"/>
  <c r="AA146" i="24"/>
  <c r="R146" i="24"/>
  <c r="X146" i="24" l="1"/>
  <c r="AE146" i="24" s="1"/>
  <c r="W146" i="24"/>
  <c r="AD146" i="24" s="1"/>
  <c r="Y146" i="24"/>
  <c r="AF146" i="24" s="1"/>
  <c r="D147" i="24" l="1"/>
  <c r="I147" i="24"/>
  <c r="G147" i="24"/>
  <c r="B147" i="24"/>
  <c r="C147" i="24"/>
  <c r="H147" i="24"/>
  <c r="E147" i="24" l="1"/>
  <c r="J147" i="24"/>
  <c r="F147" i="24"/>
  <c r="V147" i="24"/>
  <c r="O147" i="24"/>
  <c r="U147" i="24"/>
  <c r="AG146" i="24"/>
  <c r="P147" i="24" l="1"/>
  <c r="Q147" i="24" s="1"/>
  <c r="K147" i="24"/>
  <c r="L147" i="24"/>
  <c r="M147" i="24" s="1"/>
  <c r="S147" i="24" l="1"/>
  <c r="T147" i="24" s="1"/>
  <c r="AA147" i="24" s="1"/>
  <c r="AC147" i="24"/>
  <c r="R147" i="24"/>
  <c r="AB147" i="24" l="1"/>
  <c r="Y147" i="24"/>
  <c r="AF147" i="24" s="1"/>
  <c r="X147" i="24"/>
  <c r="AE147" i="24" s="1"/>
  <c r="W147" i="24"/>
  <c r="AD147" i="24" s="1"/>
  <c r="I148" i="24" l="1"/>
  <c r="D148" i="24"/>
  <c r="B148" i="24"/>
  <c r="G148" i="24"/>
  <c r="C148" i="24"/>
  <c r="H148" i="24"/>
  <c r="J148" i="24" l="1"/>
  <c r="E148" i="24"/>
  <c r="O148" i="24"/>
  <c r="V148" i="24"/>
  <c r="U148" i="24"/>
  <c r="AG147" i="24"/>
  <c r="F148" i="24"/>
  <c r="K148" i="24" l="1"/>
  <c r="L148" i="24"/>
  <c r="M148" i="24" s="1"/>
  <c r="P148" i="24"/>
  <c r="Q148" i="24" s="1"/>
  <c r="S148" i="24" l="1"/>
  <c r="T148" i="24" s="1"/>
  <c r="AA148" i="24"/>
  <c r="AB148" i="24"/>
  <c r="AC148" i="24"/>
  <c r="R148" i="24"/>
  <c r="X148" i="24" s="1"/>
  <c r="Y148" i="24" l="1"/>
  <c r="AF148" i="24" s="1"/>
  <c r="W148" i="24"/>
  <c r="AD148" i="24" s="1"/>
  <c r="AE148" i="24"/>
  <c r="H149" i="24" l="1"/>
  <c r="C149" i="24"/>
  <c r="G149" i="24"/>
  <c r="B149" i="24"/>
  <c r="D149" i="24"/>
  <c r="I149" i="24"/>
  <c r="E149" i="24" l="1"/>
  <c r="J149" i="24"/>
  <c r="F149" i="24"/>
  <c r="U149" i="24"/>
  <c r="O149" i="24"/>
  <c r="V149" i="24"/>
  <c r="AG148" i="24"/>
  <c r="K149" i="24" l="1"/>
  <c r="L149" i="24"/>
  <c r="M149" i="24" s="1"/>
  <c r="P149" i="24"/>
  <c r="Q149" i="24" s="1"/>
  <c r="S149" i="24" l="1"/>
  <c r="T149" i="24" s="1"/>
  <c r="AB149" i="24" s="1"/>
  <c r="AC149" i="24"/>
  <c r="AA149" i="24"/>
  <c r="R149" i="24"/>
  <c r="X149" i="24" s="1"/>
  <c r="W149" i="24" l="1"/>
  <c r="AD149" i="24" s="1"/>
  <c r="B150" i="24" s="1"/>
  <c r="Y149" i="24"/>
  <c r="AF149" i="24" s="1"/>
  <c r="AE149" i="24"/>
  <c r="G150" i="24" l="1"/>
  <c r="H150" i="24"/>
  <c r="C150" i="24"/>
  <c r="E150" i="24" s="1"/>
  <c r="I150" i="24"/>
  <c r="D150" i="24"/>
  <c r="V150" i="24" l="1"/>
  <c r="U150" i="24"/>
  <c r="O150" i="24"/>
  <c r="AG149" i="24"/>
  <c r="F150" i="24"/>
  <c r="J150" i="24"/>
  <c r="K150" i="24" l="1"/>
  <c r="L150" i="24"/>
  <c r="M150" i="24" s="1"/>
  <c r="P150" i="24"/>
  <c r="Q150" i="24" s="1"/>
  <c r="S150" i="24" l="1"/>
  <c r="T150" i="24" s="1"/>
  <c r="AC150" i="24" s="1"/>
  <c r="AA150" i="24"/>
  <c r="AB150" i="24"/>
  <c r="R150" i="24"/>
  <c r="X150" i="24" s="1"/>
  <c r="Y150" i="24" l="1"/>
  <c r="AF150" i="24" s="1"/>
  <c r="W150" i="24"/>
  <c r="AD150" i="24" s="1"/>
  <c r="AE150" i="24"/>
  <c r="I151" i="24" l="1"/>
  <c r="D151" i="24"/>
  <c r="AG150" i="24" s="1"/>
  <c r="H151" i="24"/>
  <c r="C151" i="24"/>
  <c r="G151" i="24"/>
  <c r="B151" i="24"/>
  <c r="V151" i="24" l="1"/>
  <c r="U151" i="24"/>
  <c r="O151" i="24"/>
  <c r="F151" i="24"/>
  <c r="E151" i="24"/>
  <c r="J151" i="24"/>
  <c r="K151" i="24" l="1"/>
  <c r="L151" i="24"/>
  <c r="M151" i="24" s="1"/>
  <c r="P151" i="24"/>
  <c r="Q151" i="24" s="1"/>
  <c r="S151" i="24" l="1"/>
  <c r="T151" i="24" s="1"/>
  <c r="AA151" i="24" s="1"/>
  <c r="AC151" i="24"/>
  <c r="R151" i="24"/>
  <c r="Y151" i="24" s="1"/>
  <c r="AB151" i="24" l="1"/>
  <c r="W151" i="24"/>
  <c r="AD151" i="24" s="1"/>
  <c r="X151" i="24"/>
  <c r="AE151" i="24" s="1"/>
  <c r="AF151" i="24"/>
  <c r="I152" i="24" l="1"/>
  <c r="D152" i="24"/>
  <c r="C152" i="24"/>
  <c r="H152" i="24"/>
  <c r="G152" i="24"/>
  <c r="B152" i="24"/>
  <c r="F152" i="24" l="1"/>
  <c r="E152" i="24"/>
  <c r="V152" i="24"/>
  <c r="U152" i="24"/>
  <c r="O152" i="24"/>
  <c r="AG151" i="24"/>
  <c r="J152" i="24"/>
  <c r="L152" i="24" l="1"/>
  <c r="M152" i="24" s="1"/>
  <c r="P152" i="24"/>
  <c r="Q152" i="24" s="1"/>
  <c r="K152" i="24"/>
  <c r="S152" i="24" l="1"/>
  <c r="T152" i="24" s="1"/>
  <c r="AA152" i="24"/>
  <c r="AB152" i="24"/>
  <c r="AC152" i="24"/>
  <c r="R152" i="24"/>
  <c r="W152" i="24" s="1"/>
  <c r="X152" i="24" l="1"/>
  <c r="AE152" i="24" s="1"/>
  <c r="Y152" i="24"/>
  <c r="AF152" i="24" s="1"/>
  <c r="AD152" i="24"/>
  <c r="B153" i="24" l="1"/>
  <c r="G153" i="24"/>
  <c r="D153" i="24"/>
  <c r="I153" i="24"/>
  <c r="H153" i="24"/>
  <c r="C153" i="24"/>
  <c r="F153" i="24" l="1"/>
  <c r="J153" i="24"/>
  <c r="V153" i="24"/>
  <c r="U153" i="24"/>
  <c r="O153" i="24"/>
  <c r="AG152" i="24"/>
  <c r="E153" i="24"/>
  <c r="P153" i="24" l="1"/>
  <c r="Q153" i="24" s="1"/>
  <c r="K153" i="24"/>
  <c r="L153" i="24"/>
  <c r="M153" i="24" s="1"/>
  <c r="S153" i="24" l="1"/>
  <c r="T153" i="24" s="1"/>
  <c r="AB153" i="24"/>
  <c r="AC153" i="24"/>
  <c r="AA153" i="24"/>
  <c r="R153" i="24"/>
  <c r="Y153" i="24" l="1"/>
  <c r="AF153" i="24" s="1"/>
  <c r="X153" i="24"/>
  <c r="AE153" i="24" s="1"/>
  <c r="W153" i="24"/>
  <c r="AD153" i="24" s="1"/>
  <c r="G154" i="24" l="1"/>
  <c r="B154" i="24"/>
  <c r="C154" i="24"/>
  <c r="H154" i="24"/>
  <c r="I154" i="24"/>
  <c r="D154" i="24"/>
  <c r="F154" i="24" l="1"/>
  <c r="V154" i="24"/>
  <c r="U154" i="24"/>
  <c r="O154" i="24"/>
  <c r="AG153" i="24"/>
  <c r="E154" i="24"/>
  <c r="J154" i="24"/>
  <c r="K154" i="24" l="1"/>
  <c r="L154" i="24"/>
  <c r="M154" i="24" s="1"/>
  <c r="P154" i="24"/>
  <c r="Q154" i="24" s="1"/>
  <c r="S154" i="24" l="1"/>
  <c r="T154" i="24" s="1"/>
  <c r="AC154" i="24" s="1"/>
  <c r="AA154" i="24"/>
  <c r="AB154" i="24"/>
  <c r="R154" i="24"/>
  <c r="W154" i="24" s="1"/>
  <c r="Y154" i="24" l="1"/>
  <c r="AF154" i="24" s="1"/>
  <c r="X154" i="24"/>
  <c r="AE154" i="24" s="1"/>
  <c r="AD154" i="24"/>
  <c r="G155" i="24" l="1"/>
  <c r="B155" i="24"/>
  <c r="H155" i="24"/>
  <c r="C155" i="24"/>
  <c r="I155" i="24"/>
  <c r="D155" i="24"/>
  <c r="J155" i="24" l="1"/>
  <c r="F155" i="24"/>
  <c r="O155" i="24"/>
  <c r="V155" i="24"/>
  <c r="U155" i="24"/>
  <c r="AG154" i="24"/>
  <c r="E155" i="24"/>
  <c r="P155" i="24" l="1"/>
  <c r="Q155" i="24" s="1"/>
  <c r="K155" i="24"/>
  <c r="L155" i="24"/>
  <c r="M155" i="24" s="1"/>
  <c r="S155" i="24" l="1"/>
  <c r="T155" i="24" s="1"/>
  <c r="AA155" i="24" s="1"/>
  <c r="AB155" i="24"/>
  <c r="AC155" i="24"/>
  <c r="R155" i="24"/>
  <c r="X155" i="24" l="1"/>
  <c r="AE155" i="24" s="1"/>
  <c r="W155" i="24"/>
  <c r="AD155" i="24" s="1"/>
  <c r="Y155" i="24"/>
  <c r="AF155" i="24" s="1"/>
  <c r="I156" i="24" l="1"/>
  <c r="D156" i="24"/>
  <c r="G156" i="24"/>
  <c r="B156" i="24"/>
  <c r="H156" i="24"/>
  <c r="C156" i="24"/>
  <c r="J156" i="24" l="1"/>
  <c r="E156" i="24"/>
  <c r="F156" i="24"/>
  <c r="V156" i="24"/>
  <c r="U156" i="24"/>
  <c r="O156" i="24"/>
  <c r="AG155" i="24"/>
  <c r="K156" i="24" l="1"/>
  <c r="P156" i="24"/>
  <c r="Q156" i="24" s="1"/>
  <c r="L156" i="24"/>
  <c r="M156" i="24" s="1"/>
  <c r="S156" i="24" l="1"/>
  <c r="T156" i="24" s="1"/>
  <c r="AA156" i="24"/>
  <c r="AB156" i="24"/>
  <c r="AC156" i="24"/>
  <c r="R156" i="24"/>
  <c r="Y156" i="24" l="1"/>
  <c r="AF156" i="24" s="1"/>
  <c r="X156" i="24"/>
  <c r="AE156" i="24" s="1"/>
  <c r="W156" i="24"/>
  <c r="AD156" i="24" s="1"/>
  <c r="G157" i="24" l="1"/>
  <c r="B157" i="24"/>
  <c r="H157" i="24"/>
  <c r="C157" i="24"/>
  <c r="D157" i="24"/>
  <c r="I157" i="24"/>
  <c r="E157" i="24" l="1"/>
  <c r="F157" i="24"/>
  <c r="U157" i="24"/>
  <c r="O157" i="24"/>
  <c r="V157" i="24"/>
  <c r="AG156" i="24"/>
  <c r="J157" i="24"/>
  <c r="K157" i="24" l="1"/>
  <c r="P157" i="24"/>
  <c r="Q157" i="24" s="1"/>
  <c r="L157" i="24"/>
  <c r="M157" i="24" s="1"/>
  <c r="S157" i="24" l="1"/>
  <c r="T157" i="24" s="1"/>
  <c r="AB157" i="24" s="1"/>
  <c r="R157" i="24"/>
  <c r="W157" i="24" s="1"/>
  <c r="AA157" i="24" l="1"/>
  <c r="AC157" i="24"/>
  <c r="X157" i="24"/>
  <c r="AE157" i="24" s="1"/>
  <c r="H158" i="24" s="1"/>
  <c r="Y157" i="24"/>
  <c r="AF157" i="24" s="1"/>
  <c r="D158" i="24" s="1"/>
  <c r="AD157" i="24"/>
  <c r="I158" i="24" l="1"/>
  <c r="C158" i="24"/>
  <c r="U158" i="24"/>
  <c r="V158" i="24"/>
  <c r="AG157" i="24"/>
  <c r="G158" i="24"/>
  <c r="B158" i="24"/>
  <c r="E158" i="24" l="1"/>
  <c r="J158" i="24"/>
  <c r="F158" i="24"/>
  <c r="O158" i="24"/>
  <c r="K158" i="24" l="1"/>
  <c r="P158" i="24"/>
  <c r="Q158" i="24" s="1"/>
  <c r="L158" i="24"/>
  <c r="M158" i="24" s="1"/>
  <c r="S158" i="24" l="1"/>
  <c r="T158" i="24" s="1"/>
  <c r="AC158" i="24"/>
  <c r="AA158" i="24"/>
  <c r="AB158" i="24"/>
  <c r="R158" i="24"/>
  <c r="X158" i="24" l="1"/>
  <c r="AE158" i="24" s="1"/>
  <c r="Y158" i="24"/>
  <c r="AF158" i="24" s="1"/>
  <c r="W158" i="24"/>
  <c r="AD158" i="24" s="1"/>
  <c r="B159" i="24" l="1"/>
  <c r="G159" i="24"/>
  <c r="I159" i="24"/>
  <c r="D159" i="24"/>
  <c r="H159" i="24"/>
  <c r="C159" i="24"/>
  <c r="U159" i="24" l="1"/>
  <c r="O159" i="24"/>
  <c r="V159" i="24"/>
  <c r="AG158" i="24"/>
  <c r="F159" i="24"/>
  <c r="J159" i="24"/>
  <c r="E159" i="24"/>
  <c r="K159" i="24" l="1"/>
  <c r="L159" i="24"/>
  <c r="M159" i="24" s="1"/>
  <c r="P159" i="24"/>
  <c r="Q159" i="24" s="1"/>
  <c r="S159" i="24" l="1"/>
  <c r="T159" i="24" s="1"/>
  <c r="AA159" i="24"/>
  <c r="AB159" i="24"/>
  <c r="AC159" i="24"/>
  <c r="R159" i="24"/>
  <c r="Y159" i="24" s="1"/>
  <c r="W159" i="24" l="1"/>
  <c r="AD159" i="24" s="1"/>
  <c r="X159" i="24"/>
  <c r="AE159" i="24" s="1"/>
  <c r="AF159" i="24"/>
  <c r="I160" i="24" s="1"/>
  <c r="B160" i="24" l="1"/>
  <c r="G160" i="24"/>
  <c r="D160" i="24"/>
  <c r="AG159" i="24" s="1"/>
  <c r="H160" i="24"/>
  <c r="C160" i="24"/>
  <c r="J160" i="24" l="1"/>
  <c r="L160" i="24" s="1"/>
  <c r="M160" i="24" s="1"/>
  <c r="U160" i="24"/>
  <c r="O160" i="24"/>
  <c r="V160" i="24"/>
  <c r="F160" i="24"/>
  <c r="E160" i="24"/>
  <c r="K160" i="24" l="1"/>
  <c r="P160" i="24"/>
  <c r="Q160" i="24" s="1"/>
  <c r="S160" i="24"/>
  <c r="T160" i="24" s="1"/>
  <c r="AA160" i="24" s="1"/>
  <c r="AC160" i="24" l="1"/>
  <c r="AB160" i="24"/>
  <c r="R160" i="24"/>
  <c r="W160" i="24" s="1"/>
  <c r="AD160" i="24" l="1"/>
  <c r="G161" i="24" s="1"/>
  <c r="X160" i="24"/>
  <c r="AE160" i="24" s="1"/>
  <c r="H161" i="24" s="1"/>
  <c r="Y160" i="24"/>
  <c r="AF160" i="24" s="1"/>
  <c r="D161" i="24" s="1"/>
  <c r="B161" i="24" l="1"/>
  <c r="C161" i="24"/>
  <c r="I161" i="24"/>
  <c r="J161" i="24" s="1"/>
  <c r="V161" i="24"/>
  <c r="U161" i="24"/>
  <c r="AG160" i="24"/>
  <c r="E161" i="24" l="1"/>
  <c r="O161" i="24"/>
  <c r="F161" i="24"/>
  <c r="K161" i="24"/>
  <c r="L161" i="24"/>
  <c r="M161" i="24" s="1"/>
  <c r="P161" i="24"/>
  <c r="Q161" i="24" s="1"/>
  <c r="S161" i="24" l="1"/>
  <c r="T161" i="24" s="1"/>
  <c r="AB161" i="24" s="1"/>
  <c r="AC161" i="24" l="1"/>
  <c r="AA161" i="24"/>
  <c r="R161" i="24"/>
  <c r="Y161" i="24" s="1"/>
  <c r="AF161" i="24" s="1"/>
  <c r="W161" i="24" l="1"/>
  <c r="AD161" i="24" s="1"/>
  <c r="B162" i="24" s="1"/>
  <c r="X161" i="24"/>
  <c r="AE161" i="24" s="1"/>
  <c r="I162" i="24"/>
  <c r="D162" i="24"/>
  <c r="G162" i="24" l="1"/>
  <c r="H162" i="24"/>
  <c r="C162" i="24"/>
  <c r="E162" i="24" s="1"/>
  <c r="V162" i="24"/>
  <c r="U162" i="24"/>
  <c r="AG161" i="24"/>
  <c r="O162" i="24" l="1"/>
  <c r="J162" i="24"/>
  <c r="P162" i="24" s="1"/>
  <c r="Q162" i="24" s="1"/>
  <c r="F162" i="24"/>
  <c r="K162" i="24" l="1"/>
  <c r="L162" i="24"/>
  <c r="M162" i="24" s="1"/>
  <c r="S162" i="24" l="1"/>
  <c r="T162" i="24" s="1"/>
  <c r="AC162" i="24"/>
  <c r="AA162" i="24"/>
  <c r="AB162" i="24"/>
  <c r="R162" i="24"/>
  <c r="W162" i="24" s="1"/>
  <c r="AD162" i="24" l="1"/>
  <c r="X162" i="24"/>
  <c r="AE162" i="24" s="1"/>
  <c r="Y162" i="24"/>
  <c r="AF162" i="24" s="1"/>
  <c r="G163" i="24"/>
  <c r="B163" i="24"/>
  <c r="I163" i="24" l="1"/>
  <c r="D163" i="24"/>
  <c r="V163" i="24" s="1"/>
  <c r="H163" i="24"/>
  <c r="C163" i="24"/>
  <c r="F163" i="24" s="1"/>
  <c r="AG162" i="24" l="1"/>
  <c r="E163" i="24"/>
  <c r="U163" i="24"/>
  <c r="O163" i="24"/>
  <c r="J163" i="24"/>
  <c r="P163" i="24" s="1"/>
  <c r="Q163" i="24" s="1"/>
  <c r="L163" i="24" l="1"/>
  <c r="M163" i="24" s="1"/>
  <c r="K163" i="24"/>
  <c r="S163" i="24" l="1"/>
  <c r="T163" i="24" s="1"/>
  <c r="AA163" i="24"/>
  <c r="AB163" i="24"/>
  <c r="AC163" i="24"/>
  <c r="R163" i="24"/>
  <c r="X163" i="24" s="1"/>
  <c r="AE163" i="24" l="1"/>
  <c r="Y163" i="24"/>
  <c r="AF163" i="24" s="1"/>
  <c r="I164" i="24" s="1"/>
  <c r="W163" i="24"/>
  <c r="AD163" i="24" s="1"/>
  <c r="B164" i="24" s="1"/>
  <c r="H164" i="24"/>
  <c r="C164" i="24"/>
  <c r="G164" i="24" l="1"/>
  <c r="J164" i="24" s="1"/>
  <c r="D164" i="24"/>
  <c r="U164" i="24" s="1"/>
  <c r="E164" i="24"/>
  <c r="F164" i="24"/>
  <c r="V164" i="24" l="1"/>
  <c r="AG163" i="24"/>
  <c r="O164" i="24"/>
  <c r="L164" i="24"/>
  <c r="M164" i="24" s="1"/>
  <c r="K164" i="24"/>
  <c r="P164" i="24"/>
  <c r="Q164" i="24" s="1"/>
  <c r="S164" i="24" l="1"/>
  <c r="T164" i="24" s="1"/>
  <c r="AA164" i="24" s="1"/>
  <c r="AB164" i="24" l="1"/>
  <c r="AC164" i="24"/>
  <c r="R164" i="24"/>
  <c r="X164" i="24" s="1"/>
  <c r="W164" i="24" l="1"/>
  <c r="AD164" i="24" s="1"/>
  <c r="G165" i="24" s="1"/>
  <c r="Y164" i="24"/>
  <c r="AF164" i="24" s="1"/>
  <c r="D165" i="24" s="1"/>
  <c r="AE164" i="24"/>
  <c r="H165" i="24" s="1"/>
  <c r="C165" i="24" l="1"/>
  <c r="I165" i="24"/>
  <c r="J165" i="24" s="1"/>
  <c r="B165" i="24"/>
  <c r="V165" i="24"/>
  <c r="U165" i="24"/>
  <c r="AG164" i="24"/>
  <c r="E165" i="24" l="1"/>
  <c r="O165" i="24"/>
  <c r="F165" i="24"/>
  <c r="K165" i="24"/>
  <c r="L165" i="24"/>
  <c r="M165" i="24" s="1"/>
  <c r="P165" i="24"/>
  <c r="Q165" i="24" s="1"/>
  <c r="S165" i="24" l="1"/>
  <c r="T165" i="24" s="1"/>
  <c r="AB165" i="24" s="1"/>
  <c r="AC165" i="24" l="1"/>
  <c r="AA165" i="24"/>
  <c r="R165" i="24"/>
  <c r="X165" i="24" s="1"/>
  <c r="Y165" i="24" l="1"/>
  <c r="AF165" i="24" s="1"/>
  <c r="D166" i="24" s="1"/>
  <c r="W165" i="24"/>
  <c r="AD165" i="24" s="1"/>
  <c r="B166" i="24" s="1"/>
  <c r="AE165" i="24"/>
  <c r="C166" i="24" s="1"/>
  <c r="G166" i="24" l="1"/>
  <c r="H166" i="24"/>
  <c r="I166" i="24"/>
  <c r="F166" i="24"/>
  <c r="V166" i="24"/>
  <c r="U166" i="24"/>
  <c r="AG165" i="24"/>
  <c r="E166" i="24"/>
  <c r="J166" i="24" l="1"/>
  <c r="K166" i="24" s="1"/>
  <c r="O166" i="24"/>
  <c r="P166" i="24" l="1"/>
  <c r="Q166" i="24" s="1"/>
  <c r="L166" i="24"/>
  <c r="M166" i="24" s="1"/>
  <c r="S166" i="24" l="1"/>
  <c r="T166" i="24" s="1"/>
  <c r="AC166" i="24" s="1"/>
  <c r="AA166" i="24"/>
  <c r="AB166" i="24"/>
  <c r="R166" i="24"/>
  <c r="W166" i="24" s="1"/>
  <c r="AD166" i="24" l="1"/>
  <c r="G167" i="24" s="1"/>
  <c r="X166" i="24"/>
  <c r="AE166" i="24" s="1"/>
  <c r="H167" i="24" s="1"/>
  <c r="Y166" i="24"/>
  <c r="AF166" i="24" s="1"/>
  <c r="D167" i="24" s="1"/>
  <c r="B167" i="24" l="1"/>
  <c r="C167" i="24"/>
  <c r="I167" i="24"/>
  <c r="J167" i="24" s="1"/>
  <c r="V167" i="24"/>
  <c r="U167" i="24"/>
  <c r="AG166" i="24"/>
  <c r="E167" i="24" l="1"/>
  <c r="O167" i="24"/>
  <c r="F167" i="24"/>
  <c r="K167" i="24"/>
  <c r="L167" i="24"/>
  <c r="M167" i="24" s="1"/>
  <c r="P167" i="24"/>
  <c r="Q167" i="24" s="1"/>
  <c r="S167" i="24" l="1"/>
  <c r="T167" i="24" s="1"/>
  <c r="AA167" i="24" s="1"/>
  <c r="AC167" i="24" l="1"/>
  <c r="AB167" i="24"/>
  <c r="R167" i="24"/>
  <c r="X167" i="24" s="1"/>
  <c r="AE167" i="24" l="1"/>
  <c r="H168" i="24" s="1"/>
  <c r="Y167" i="24"/>
  <c r="AF167" i="24" s="1"/>
  <c r="D168" i="24" s="1"/>
  <c r="W167" i="24"/>
  <c r="AD167" i="24" s="1"/>
  <c r="B168" i="24" s="1"/>
  <c r="C168" i="24" l="1"/>
  <c r="F168" i="24" s="1"/>
  <c r="I168" i="24"/>
  <c r="G168" i="24"/>
  <c r="V168" i="24"/>
  <c r="U168" i="24"/>
  <c r="AG167" i="24"/>
  <c r="E168" i="24" l="1"/>
  <c r="J168" i="24"/>
  <c r="K168" i="24" s="1"/>
  <c r="O168" i="24"/>
  <c r="P168" i="24" l="1"/>
  <c r="Q168" i="24" s="1"/>
  <c r="L168" i="24"/>
  <c r="M168" i="24" s="1"/>
  <c r="S168" i="24" l="1"/>
  <c r="T168" i="24" s="1"/>
  <c r="AA168" i="24" s="1"/>
  <c r="R168" i="24"/>
  <c r="X168" i="24" s="1"/>
  <c r="AC168" i="24" l="1"/>
  <c r="AB168" i="24"/>
  <c r="AE168" i="24" s="1"/>
  <c r="C169" i="24" s="1"/>
  <c r="Y168" i="24"/>
  <c r="AF168" i="24" s="1"/>
  <c r="I169" i="24" s="1"/>
  <c r="W168" i="24"/>
  <c r="AD168" i="24" s="1"/>
  <c r="G169" i="24" s="1"/>
  <c r="H169" i="24" l="1"/>
  <c r="J169" i="24" s="1"/>
  <c r="B169" i="24"/>
  <c r="E169" i="24" s="1"/>
  <c r="D169" i="24"/>
  <c r="V169" i="24" s="1"/>
  <c r="F169" i="24" l="1"/>
  <c r="O169" i="24"/>
  <c r="U169" i="24"/>
  <c r="AG168" i="24"/>
  <c r="K169" i="24"/>
  <c r="L169" i="24"/>
  <c r="M169" i="24" s="1"/>
  <c r="P169" i="24"/>
  <c r="Q169" i="24" s="1"/>
  <c r="S169" i="24" l="1"/>
  <c r="T169" i="24" s="1"/>
  <c r="AB169" i="24" s="1"/>
  <c r="AA169" i="24" l="1"/>
  <c r="AC169" i="24"/>
  <c r="R169" i="24"/>
  <c r="W169" i="24" s="1"/>
  <c r="AD169" i="24" s="1"/>
  <c r="X169" i="24" l="1"/>
  <c r="AE169" i="24" s="1"/>
  <c r="H170" i="24" s="1"/>
  <c r="Y169" i="24"/>
  <c r="AF169" i="24" s="1"/>
  <c r="I170" i="24" s="1"/>
  <c r="B170" i="24"/>
  <c r="G170" i="24"/>
  <c r="C170" i="24" l="1"/>
  <c r="E170" i="24" s="1"/>
  <c r="D170" i="24"/>
  <c r="U170" i="24" s="1"/>
  <c r="J170" i="24"/>
  <c r="F170" i="24" l="1"/>
  <c r="V170" i="24"/>
  <c r="O170" i="24"/>
  <c r="AG169" i="24"/>
  <c r="K170" i="24"/>
  <c r="P170" i="24"/>
  <c r="Q170" i="24" s="1"/>
  <c r="L170" i="24"/>
  <c r="M170" i="24" s="1"/>
  <c r="S170" i="24" l="1"/>
  <c r="T170" i="24" s="1"/>
  <c r="AC170" i="24" s="1"/>
  <c r="AB170" i="24" l="1"/>
  <c r="AA170" i="24"/>
  <c r="R170" i="24"/>
  <c r="Y170" i="24" s="1"/>
  <c r="AF170" i="24" s="1"/>
  <c r="W170" i="24" l="1"/>
  <c r="AD170" i="24" s="1"/>
  <c r="X170" i="24"/>
  <c r="AE170" i="24" s="1"/>
  <c r="H171" i="24" s="1"/>
  <c r="D171" i="24"/>
  <c r="I171" i="24"/>
  <c r="C171" i="24" l="1"/>
  <c r="B171" i="24"/>
  <c r="G171" i="24"/>
  <c r="O171" i="24" s="1"/>
  <c r="U171" i="24"/>
  <c r="V171" i="24"/>
  <c r="AG170" i="24"/>
  <c r="F171" i="24" l="1"/>
  <c r="J171" i="24"/>
  <c r="L171" i="24" s="1"/>
  <c r="M171" i="24" s="1"/>
  <c r="E171" i="24"/>
  <c r="S171" i="24" l="1"/>
  <c r="T171" i="24" s="1"/>
  <c r="AA171" i="24"/>
  <c r="AB171" i="24"/>
  <c r="AC171" i="24"/>
  <c r="K171" i="24"/>
  <c r="P171" i="24"/>
  <c r="Q171" i="24" l="1"/>
  <c r="R171" i="24" s="1"/>
  <c r="X171" i="24" l="1"/>
  <c r="AE171" i="24" s="1"/>
  <c r="H172" i="24" s="1"/>
  <c r="W171" i="24"/>
  <c r="AD171" i="24" s="1"/>
  <c r="B172" i="24" s="1"/>
  <c r="Y171" i="24"/>
  <c r="AF171" i="24" s="1"/>
  <c r="I172" i="24" s="1"/>
  <c r="C172" i="24" l="1"/>
  <c r="E172" i="24" s="1"/>
  <c r="D172" i="24"/>
  <c r="AG171" i="24" s="1"/>
  <c r="G172" i="24"/>
  <c r="J172" i="24" s="1"/>
  <c r="F172" i="24" l="1"/>
  <c r="U172" i="24"/>
  <c r="V172" i="24"/>
  <c r="O172" i="24"/>
  <c r="K172" i="24"/>
  <c r="L172" i="24"/>
  <c r="M172" i="24" s="1"/>
  <c r="P172" i="24"/>
  <c r="Q172" i="24" s="1"/>
  <c r="S172" i="24" l="1"/>
  <c r="T172" i="24" s="1"/>
  <c r="AA172" i="24" s="1"/>
  <c r="AB172" i="24" l="1"/>
  <c r="AC172" i="24"/>
  <c r="R172" i="24"/>
  <c r="Y172" i="24" s="1"/>
  <c r="AF172" i="24" s="1"/>
  <c r="W172" i="24" l="1"/>
  <c r="AD172" i="24" s="1"/>
  <c r="G173" i="24" s="1"/>
  <c r="X172" i="24"/>
  <c r="AE172" i="24" s="1"/>
  <c r="H173" i="24" s="1"/>
  <c r="I173" i="24"/>
  <c r="D173" i="24"/>
  <c r="C173" i="24" l="1"/>
  <c r="B173" i="24"/>
  <c r="U173" i="24"/>
  <c r="O173" i="24"/>
  <c r="V173" i="24"/>
  <c r="AG172" i="24"/>
  <c r="J173" i="24"/>
  <c r="F173" i="24" l="1"/>
  <c r="E173" i="24"/>
  <c r="P173" i="24"/>
  <c r="Q173" i="24" s="1"/>
  <c r="L173" i="24"/>
  <c r="M173" i="24" s="1"/>
  <c r="K173" i="24"/>
  <c r="S173" i="24" l="1"/>
  <c r="T173" i="24" s="1"/>
  <c r="AB173" i="24"/>
  <c r="AC173" i="24"/>
  <c r="AA173" i="24"/>
  <c r="R173" i="24"/>
  <c r="Y173" i="24" l="1"/>
  <c r="AF173" i="24" s="1"/>
  <c r="W173" i="24"/>
  <c r="AD173" i="24" s="1"/>
  <c r="X173" i="24"/>
  <c r="AE173" i="24" s="1"/>
  <c r="C174" i="24" l="1"/>
  <c r="H174" i="24"/>
  <c r="B174" i="24"/>
  <c r="G174" i="24"/>
  <c r="D174" i="24"/>
  <c r="I174" i="24"/>
  <c r="J174" i="24" l="1"/>
  <c r="E174" i="24"/>
  <c r="O174" i="24"/>
  <c r="V174" i="24"/>
  <c r="U174" i="24"/>
  <c r="AG173" i="24"/>
  <c r="F174" i="24"/>
  <c r="P174" i="24" l="1"/>
  <c r="Q174" i="24" s="1"/>
  <c r="L174" i="24"/>
  <c r="M174" i="24" s="1"/>
  <c r="K174" i="24"/>
  <c r="S174" i="24" l="1"/>
  <c r="T174" i="24" s="1"/>
  <c r="AC174" i="24"/>
  <c r="AA174" i="24"/>
  <c r="AB174" i="24"/>
  <c r="R174" i="24"/>
  <c r="X174" i="24" l="1"/>
  <c r="AE174" i="24" s="1"/>
  <c r="Y174" i="24"/>
  <c r="AF174" i="24" s="1"/>
  <c r="W174" i="24"/>
  <c r="AD174" i="24" s="1"/>
  <c r="I175" i="24" l="1"/>
  <c r="D175" i="24"/>
  <c r="G175" i="24"/>
  <c r="B175" i="24"/>
  <c r="H175" i="24"/>
  <c r="C175" i="24"/>
  <c r="E175" i="24" l="1"/>
  <c r="J175" i="24"/>
  <c r="F175" i="24"/>
  <c r="U175" i="24"/>
  <c r="O175" i="24"/>
  <c r="V175" i="24"/>
  <c r="AG174" i="24"/>
  <c r="P175" i="24" l="1"/>
  <c r="Q175" i="24" s="1"/>
  <c r="L175" i="24"/>
  <c r="M175" i="24" s="1"/>
  <c r="K175" i="24"/>
  <c r="S175" i="24" l="1"/>
  <c r="T175" i="24" s="1"/>
  <c r="AA175" i="24" s="1"/>
  <c r="AC175" i="24"/>
  <c r="R175" i="24"/>
  <c r="AB175" i="24" l="1"/>
  <c r="X175" i="24"/>
  <c r="AE175" i="24" s="1"/>
  <c r="W175" i="24"/>
  <c r="AD175" i="24" s="1"/>
  <c r="Y175" i="24"/>
  <c r="AF175" i="24" s="1"/>
  <c r="D176" i="24" l="1"/>
  <c r="I176" i="24"/>
  <c r="B176" i="24"/>
  <c r="G176" i="24"/>
  <c r="H176" i="24"/>
  <c r="C176" i="24"/>
  <c r="J176" i="24" l="1"/>
  <c r="E176" i="24"/>
  <c r="F176" i="24"/>
  <c r="O176" i="24"/>
  <c r="V176" i="24"/>
  <c r="U176" i="24"/>
  <c r="AG175" i="24"/>
  <c r="L176" i="24" l="1"/>
  <c r="M176" i="24" s="1"/>
  <c r="P176" i="24"/>
  <c r="Q176" i="24" s="1"/>
  <c r="K176" i="24"/>
  <c r="S176" i="24" l="1"/>
  <c r="T176" i="24" s="1"/>
  <c r="AA176" i="24" s="1"/>
  <c r="AB176" i="24"/>
  <c r="AC176" i="24"/>
  <c r="R176" i="24"/>
  <c r="W176" i="24" s="1"/>
  <c r="Y176" i="24" l="1"/>
  <c r="AF176" i="24" s="1"/>
  <c r="X176" i="24"/>
  <c r="AE176" i="24" s="1"/>
  <c r="AD176" i="24"/>
  <c r="G177" i="24" l="1"/>
  <c r="B177" i="24"/>
  <c r="C177" i="24"/>
  <c r="H177" i="24"/>
  <c r="I177" i="24"/>
  <c r="D177" i="24"/>
  <c r="F177" i="24" l="1"/>
  <c r="O177" i="24"/>
  <c r="V177" i="24"/>
  <c r="U177" i="24"/>
  <c r="AG176" i="24"/>
  <c r="E177" i="24"/>
  <c r="J177" i="24"/>
  <c r="L177" i="24" l="1"/>
  <c r="M177" i="24" s="1"/>
  <c r="P177" i="24"/>
  <c r="Q177" i="24" s="1"/>
  <c r="K177" i="24"/>
  <c r="S177" i="24" l="1"/>
  <c r="T177" i="24" s="1"/>
  <c r="AB177" i="24" s="1"/>
  <c r="AC177" i="24"/>
  <c r="AA177" i="24"/>
  <c r="R177" i="24"/>
  <c r="Y177" i="24" s="1"/>
  <c r="X177" i="24" l="1"/>
  <c r="AE177" i="24" s="1"/>
  <c r="W177" i="24"/>
  <c r="AD177" i="24" s="1"/>
  <c r="AF177" i="24"/>
  <c r="D178" i="24" l="1"/>
  <c r="I178" i="24"/>
  <c r="G178" i="24"/>
  <c r="B178" i="24"/>
  <c r="H178" i="24"/>
  <c r="C178" i="24"/>
  <c r="E178" i="24" l="1"/>
  <c r="J178" i="24"/>
  <c r="F178" i="24"/>
  <c r="U178" i="24"/>
  <c r="V178" i="24"/>
  <c r="O178" i="24"/>
  <c r="AG177" i="24"/>
  <c r="L178" i="24" l="1"/>
  <c r="M178" i="24" s="1"/>
  <c r="P178" i="24"/>
  <c r="Q178" i="24" s="1"/>
  <c r="K178" i="24"/>
  <c r="S178" i="24" l="1"/>
  <c r="T178" i="24" s="1"/>
  <c r="AC178" i="24"/>
  <c r="AA178" i="24"/>
  <c r="AB178" i="24"/>
  <c r="R178" i="24"/>
  <c r="W178" i="24" s="1"/>
  <c r="Y178" i="24" l="1"/>
  <c r="AF178" i="24" s="1"/>
  <c r="I179" i="24" s="1"/>
  <c r="X178" i="24"/>
  <c r="AE178" i="24" s="1"/>
  <c r="AD178" i="24"/>
  <c r="D179" i="24" l="1"/>
  <c r="U179" i="24" s="1"/>
  <c r="C179" i="24"/>
  <c r="H179" i="24"/>
  <c r="B179" i="24"/>
  <c r="G179" i="24"/>
  <c r="AG178" i="24" l="1"/>
  <c r="V179" i="24"/>
  <c r="J179" i="24"/>
  <c r="E179" i="24"/>
  <c r="O179" i="24"/>
  <c r="F179" i="24"/>
  <c r="L179" i="24" l="1"/>
  <c r="M179" i="24" s="1"/>
  <c r="K179" i="24"/>
  <c r="P179" i="24"/>
  <c r="Q179" i="24" s="1"/>
  <c r="S179" i="24" l="1"/>
  <c r="T179" i="24" s="1"/>
  <c r="AA179" i="24" s="1"/>
  <c r="AC179" i="24"/>
  <c r="R179" i="24"/>
  <c r="AB179" i="24" l="1"/>
  <c r="W179" i="24"/>
  <c r="AD179" i="24" s="1"/>
  <c r="X179" i="24"/>
  <c r="AE179" i="24" s="1"/>
  <c r="Y179" i="24"/>
  <c r="AF179" i="24" s="1"/>
  <c r="I180" i="24" l="1"/>
  <c r="D180" i="24"/>
  <c r="H180" i="24"/>
  <c r="C180" i="24"/>
  <c r="G180" i="24"/>
  <c r="B180" i="24"/>
  <c r="F180" i="24" l="1"/>
  <c r="E180" i="24"/>
  <c r="U180" i="24"/>
  <c r="O180" i="24"/>
  <c r="V180" i="24"/>
  <c r="AG179" i="24"/>
  <c r="J180" i="24"/>
  <c r="L180" i="24" l="1"/>
  <c r="M180" i="24" s="1"/>
  <c r="P180" i="24"/>
  <c r="Q180" i="24" s="1"/>
  <c r="K180" i="24"/>
  <c r="S180" i="24" l="1"/>
  <c r="T180" i="24" s="1"/>
  <c r="AA180" i="24"/>
  <c r="AB180" i="24"/>
  <c r="AC180" i="24"/>
  <c r="R180" i="24"/>
  <c r="Y180" i="24" l="1"/>
  <c r="AF180" i="24" s="1"/>
  <c r="W180" i="24"/>
  <c r="AD180" i="24" s="1"/>
  <c r="X180" i="24"/>
  <c r="AE180" i="24" s="1"/>
  <c r="C181" i="24" l="1"/>
  <c r="H181" i="24"/>
  <c r="B181" i="24"/>
  <c r="G181" i="24"/>
  <c r="D181" i="24"/>
  <c r="I181" i="24"/>
  <c r="J181" i="24" l="1"/>
  <c r="E181" i="24"/>
  <c r="O181" i="24"/>
  <c r="V181" i="24"/>
  <c r="U181" i="24"/>
  <c r="AG180" i="24"/>
  <c r="F181" i="24"/>
  <c r="P181" i="24" l="1"/>
  <c r="Q181" i="24" s="1"/>
  <c r="K181" i="24"/>
  <c r="L181" i="24"/>
  <c r="M181" i="24" s="1"/>
  <c r="S181" i="24" l="1"/>
  <c r="T181" i="24" s="1"/>
  <c r="AB181" i="24" s="1"/>
  <c r="AA181" i="24"/>
  <c r="R181" i="24"/>
  <c r="AC181" i="24" l="1"/>
  <c r="X181" i="24"/>
  <c r="AE181" i="24" s="1"/>
  <c r="Y181" i="24"/>
  <c r="AF181" i="24" s="1"/>
  <c r="W181" i="24"/>
  <c r="AD181" i="24" s="1"/>
  <c r="G182" i="24" l="1"/>
  <c r="B182" i="24"/>
  <c r="I182" i="24"/>
  <c r="D182" i="24"/>
  <c r="H182" i="24"/>
  <c r="C182" i="24"/>
  <c r="U182" i="24" l="1"/>
  <c r="V182" i="24"/>
  <c r="O182" i="24"/>
  <c r="AG181" i="24"/>
  <c r="F182" i="24"/>
  <c r="E182" i="24"/>
  <c r="J182" i="24"/>
  <c r="L182" i="24" l="1"/>
  <c r="M182" i="24" s="1"/>
  <c r="P182" i="24"/>
  <c r="Q182" i="24" s="1"/>
  <c r="K182" i="24"/>
  <c r="S182" i="24" l="1"/>
  <c r="T182" i="24" s="1"/>
  <c r="AC182" i="24" s="1"/>
  <c r="AA182" i="24"/>
  <c r="AB182" i="24"/>
  <c r="R182" i="24"/>
  <c r="W182" i="24" s="1"/>
  <c r="X182" i="24" l="1"/>
  <c r="AE182" i="24" s="1"/>
  <c r="Y182" i="24"/>
  <c r="AF182" i="24" s="1"/>
  <c r="AD182" i="24"/>
  <c r="G183" i="24" l="1"/>
  <c r="B183" i="24"/>
  <c r="I183" i="24"/>
  <c r="D183" i="24"/>
  <c r="C183" i="24"/>
  <c r="H183" i="24"/>
  <c r="U183" i="24" l="1"/>
  <c r="O183" i="24"/>
  <c r="V183" i="24"/>
  <c r="AG182" i="24"/>
  <c r="E183" i="24"/>
  <c r="F183" i="24"/>
  <c r="J183" i="24"/>
  <c r="L183" i="24" l="1"/>
  <c r="M183" i="24" s="1"/>
  <c r="P183" i="24"/>
  <c r="Q183" i="24" s="1"/>
  <c r="K183" i="24"/>
  <c r="S183" i="24" l="1"/>
  <c r="T183" i="24" s="1"/>
  <c r="AA183" i="24" s="1"/>
  <c r="AB183" i="24"/>
  <c r="AC183" i="24"/>
  <c r="R183" i="24"/>
  <c r="X183" i="24" s="1"/>
  <c r="W183" i="24" l="1"/>
  <c r="AD183" i="24" s="1"/>
  <c r="Y183" i="24"/>
  <c r="AF183" i="24" s="1"/>
  <c r="AE183" i="24"/>
  <c r="H184" i="24" l="1"/>
  <c r="C184" i="24"/>
  <c r="I184" i="24"/>
  <c r="D184" i="24"/>
  <c r="B184" i="24"/>
  <c r="G184" i="24"/>
  <c r="U184" i="24" l="1"/>
  <c r="O184" i="24"/>
  <c r="V184" i="24"/>
  <c r="AG183" i="24"/>
  <c r="J184" i="24"/>
  <c r="F184" i="24"/>
  <c r="E184" i="24"/>
  <c r="L184" i="24" l="1"/>
  <c r="M184" i="24" s="1"/>
  <c r="P184" i="24"/>
  <c r="Q184" i="24" s="1"/>
  <c r="K184" i="24"/>
  <c r="S184" i="24" l="1"/>
  <c r="T184" i="24" s="1"/>
  <c r="AA184" i="24" s="1"/>
  <c r="AC184" i="24"/>
  <c r="R184" i="24"/>
  <c r="Y184" i="24" s="1"/>
  <c r="AB184" i="24" l="1"/>
  <c r="X184" i="24"/>
  <c r="AE184" i="24" s="1"/>
  <c r="W184" i="24"/>
  <c r="AD184" i="24" s="1"/>
  <c r="AF184" i="24"/>
  <c r="I185" i="24" l="1"/>
  <c r="D185" i="24"/>
  <c r="G185" i="24"/>
  <c r="B185" i="24"/>
  <c r="H185" i="24"/>
  <c r="C185" i="24"/>
  <c r="E185" i="24" l="1"/>
  <c r="J185" i="24"/>
  <c r="F185" i="24"/>
  <c r="O185" i="24"/>
  <c r="V185" i="24"/>
  <c r="U185" i="24"/>
  <c r="AG184" i="24"/>
  <c r="L185" i="24" l="1"/>
  <c r="M185" i="24" s="1"/>
  <c r="P185" i="24"/>
  <c r="Q185" i="24" s="1"/>
  <c r="K185" i="24"/>
  <c r="S185" i="24" l="1"/>
  <c r="T185" i="24" s="1"/>
  <c r="AB185" i="24" s="1"/>
  <c r="AC185" i="24"/>
  <c r="AA185" i="24"/>
  <c r="R185" i="24"/>
  <c r="X185" i="24" s="1"/>
  <c r="W185" i="24" l="1"/>
  <c r="AD185" i="24" s="1"/>
  <c r="Y185" i="24"/>
  <c r="AF185" i="24" s="1"/>
  <c r="AE185" i="24"/>
  <c r="H186" i="24" s="1"/>
  <c r="C186" i="24" l="1"/>
  <c r="B186" i="24"/>
  <c r="G186" i="24"/>
  <c r="D186" i="24"/>
  <c r="I186" i="24"/>
  <c r="F186" i="24" l="1"/>
  <c r="U186" i="24"/>
  <c r="O186" i="24"/>
  <c r="V186" i="24"/>
  <c r="AG185" i="24"/>
  <c r="J186" i="24"/>
  <c r="E186" i="24"/>
  <c r="K186" i="24" l="1"/>
  <c r="P186" i="24"/>
  <c r="Q186" i="24" s="1"/>
  <c r="L186" i="24"/>
  <c r="M186" i="24" s="1"/>
  <c r="S186" i="24" l="1"/>
  <c r="T186" i="24" s="1"/>
  <c r="AC186" i="24" s="1"/>
  <c r="R186" i="24"/>
  <c r="W186" i="24" s="1"/>
  <c r="AB186" i="24" l="1"/>
  <c r="AA186" i="24"/>
  <c r="AD186" i="24" s="1"/>
  <c r="Y186" i="24"/>
  <c r="AF186" i="24" s="1"/>
  <c r="D187" i="24" s="1"/>
  <c r="X186" i="24"/>
  <c r="AE186" i="24" s="1"/>
  <c r="H187" i="24" s="1"/>
  <c r="I187" i="24" l="1"/>
  <c r="C187" i="24"/>
  <c r="U187" i="24"/>
  <c r="V187" i="24"/>
  <c r="AG186" i="24"/>
  <c r="B187" i="24"/>
  <c r="G187" i="24"/>
  <c r="F187" i="24" l="1"/>
  <c r="J187" i="24"/>
  <c r="E187" i="24"/>
  <c r="O187" i="24"/>
  <c r="L187" i="24" l="1"/>
  <c r="M187" i="24" s="1"/>
  <c r="P187" i="24"/>
  <c r="Q187" i="24" s="1"/>
  <c r="K187" i="24"/>
  <c r="S187" i="24" l="1"/>
  <c r="T187" i="24" s="1"/>
  <c r="AA187" i="24"/>
  <c r="AB187" i="24"/>
  <c r="AC187" i="24"/>
  <c r="R187" i="24"/>
  <c r="W187" i="24" s="1"/>
  <c r="Y187" i="24" l="1"/>
  <c r="AF187" i="24" s="1"/>
  <c r="X187" i="24"/>
  <c r="AE187" i="24" s="1"/>
  <c r="AD187" i="24"/>
  <c r="G188" i="24" l="1"/>
  <c r="B188" i="24"/>
  <c r="C188" i="24"/>
  <c r="H188" i="24"/>
  <c r="I188" i="24"/>
  <c r="D188" i="24"/>
  <c r="F188" i="24" l="1"/>
  <c r="V188" i="24"/>
  <c r="U188" i="24"/>
  <c r="O188" i="24"/>
  <c r="AG187" i="24"/>
  <c r="E188" i="24"/>
  <c r="J188" i="24"/>
  <c r="K188" i="24" l="1"/>
  <c r="L188" i="24"/>
  <c r="M188" i="24" s="1"/>
  <c r="P188" i="24"/>
  <c r="Q188" i="24" s="1"/>
  <c r="S188" i="24" l="1"/>
  <c r="T188" i="24" s="1"/>
  <c r="AA188" i="24" s="1"/>
  <c r="AB188" i="24"/>
  <c r="AC188" i="24"/>
  <c r="R188" i="24"/>
  <c r="X188" i="24" s="1"/>
  <c r="Y188" i="24" l="1"/>
  <c r="AF188" i="24" s="1"/>
  <c r="W188" i="24"/>
  <c r="AD188" i="24" s="1"/>
  <c r="AE188" i="24"/>
  <c r="D189" i="24" l="1"/>
  <c r="I189" i="24"/>
  <c r="H189" i="24"/>
  <c r="C189" i="24"/>
  <c r="G189" i="24"/>
  <c r="B189" i="24"/>
  <c r="J189" i="24" l="1"/>
  <c r="F189" i="24"/>
  <c r="E189" i="24"/>
  <c r="U189" i="24"/>
  <c r="O189" i="24"/>
  <c r="V189" i="24"/>
  <c r="AG188" i="24"/>
  <c r="L189" i="24" l="1"/>
  <c r="M189" i="24" s="1"/>
  <c r="P189" i="24"/>
  <c r="Q189" i="24" s="1"/>
  <c r="K189" i="24"/>
  <c r="S189" i="24" l="1"/>
  <c r="T189" i="24" s="1"/>
  <c r="AB189" i="24" s="1"/>
  <c r="R189" i="24"/>
  <c r="W189" i="24" s="1"/>
  <c r="AA189" i="24" l="1"/>
  <c r="AC189" i="24"/>
  <c r="Y189" i="24"/>
  <c r="X189" i="24"/>
  <c r="AE189" i="24" s="1"/>
  <c r="AD189" i="24"/>
  <c r="AF189" i="24" l="1"/>
  <c r="G190" i="24"/>
  <c r="B190" i="24"/>
  <c r="H190" i="24"/>
  <c r="C190" i="24"/>
  <c r="D190" i="24"/>
  <c r="I190" i="24"/>
  <c r="F190" i="24" l="1"/>
  <c r="E190" i="24"/>
  <c r="U190" i="24"/>
  <c r="O190" i="24"/>
  <c r="V190" i="24"/>
  <c r="AG189" i="24"/>
  <c r="J190" i="24"/>
  <c r="L190" i="24" l="1"/>
  <c r="M190" i="24" s="1"/>
  <c r="P190" i="24"/>
  <c r="Q190" i="24" s="1"/>
  <c r="K190" i="24"/>
  <c r="S190" i="24" l="1"/>
  <c r="T190" i="24" s="1"/>
  <c r="AC190" i="24" s="1"/>
  <c r="AA190" i="24"/>
  <c r="AB190" i="24"/>
  <c r="R190" i="24"/>
  <c r="X190" i="24" s="1"/>
  <c r="Y190" i="24" l="1"/>
  <c r="AF190" i="24" s="1"/>
  <c r="I191" i="24" s="1"/>
  <c r="W190" i="24"/>
  <c r="AD190" i="24" s="1"/>
  <c r="AE190" i="24"/>
  <c r="D191" i="24" l="1"/>
  <c r="U191" i="24" s="1"/>
  <c r="C191" i="24"/>
  <c r="H191" i="24"/>
  <c r="B191" i="24"/>
  <c r="G191" i="24"/>
  <c r="V191" i="24" l="1"/>
  <c r="AG190" i="24"/>
  <c r="O191" i="24"/>
  <c r="J191" i="24"/>
  <c r="E191" i="24"/>
  <c r="F191" i="24"/>
  <c r="L191" i="24" l="1"/>
  <c r="M191" i="24" s="1"/>
  <c r="K191" i="24"/>
  <c r="P191" i="24"/>
  <c r="Q191" i="24" s="1"/>
  <c r="S191" i="24" l="1"/>
  <c r="T191" i="24" s="1"/>
  <c r="AA191" i="24"/>
  <c r="AB191" i="24"/>
  <c r="AC191" i="24"/>
  <c r="R191" i="24"/>
  <c r="W191" i="24" l="1"/>
  <c r="AD191" i="24" s="1"/>
  <c r="X191" i="24"/>
  <c r="AE191" i="24" s="1"/>
  <c r="Y191" i="24"/>
  <c r="AF191" i="24" s="1"/>
  <c r="I192" i="24" l="1"/>
  <c r="D192" i="24"/>
  <c r="H192" i="24"/>
  <c r="C192" i="24"/>
  <c r="G192" i="24"/>
  <c r="B192" i="24"/>
  <c r="F192" i="24" l="1"/>
  <c r="E192" i="24"/>
  <c r="U192" i="24"/>
  <c r="O192" i="24"/>
  <c r="V192" i="24"/>
  <c r="AG191" i="24"/>
  <c r="J192" i="24"/>
  <c r="L192" i="24" l="1"/>
  <c r="M192" i="24" s="1"/>
  <c r="P192" i="24"/>
  <c r="Q192" i="24" s="1"/>
  <c r="K192" i="24"/>
  <c r="S192" i="24" l="1"/>
  <c r="T192" i="24" s="1"/>
  <c r="AA192" i="24" s="1"/>
  <c r="AB192" i="24"/>
  <c r="AC192" i="24"/>
  <c r="R192" i="24"/>
  <c r="Y192" i="24" s="1"/>
  <c r="W192" i="24" l="1"/>
  <c r="AD192" i="24" s="1"/>
  <c r="X192" i="24"/>
  <c r="AE192" i="24" s="1"/>
  <c r="AF192" i="24"/>
  <c r="D193" i="24" l="1"/>
  <c r="I193" i="24"/>
  <c r="B193" i="24"/>
  <c r="G193" i="24"/>
  <c r="C193" i="24"/>
  <c r="H193" i="24"/>
  <c r="J193" i="24" l="1"/>
  <c r="E193" i="24"/>
  <c r="F193" i="24"/>
  <c r="O193" i="24"/>
  <c r="V193" i="24"/>
  <c r="U193" i="24"/>
  <c r="AG192" i="24"/>
  <c r="K193" i="24" l="1"/>
  <c r="L193" i="24"/>
  <c r="M193" i="24" s="1"/>
  <c r="P193" i="24"/>
  <c r="Q193" i="24" s="1"/>
  <c r="S193" i="24" l="1"/>
  <c r="T193" i="24" s="1"/>
  <c r="AB193" i="24"/>
  <c r="AC193" i="24"/>
  <c r="AA193" i="24"/>
  <c r="R193" i="24"/>
  <c r="X193" i="24" l="1"/>
  <c r="AE193" i="24" s="1"/>
  <c r="Y193" i="24"/>
  <c r="AF193" i="24" s="1"/>
  <c r="W193" i="24"/>
  <c r="AD193" i="24" s="1"/>
  <c r="G194" i="24" l="1"/>
  <c r="B194" i="24"/>
  <c r="I194" i="24"/>
  <c r="D194" i="24"/>
  <c r="H194" i="24"/>
  <c r="C194" i="24"/>
  <c r="U194" i="24" l="1"/>
  <c r="O194" i="24"/>
  <c r="V194" i="24"/>
  <c r="AG193" i="24"/>
  <c r="F194" i="24"/>
  <c r="E194" i="24"/>
  <c r="J194" i="24"/>
  <c r="L194" i="24" l="1"/>
  <c r="M194" i="24" s="1"/>
  <c r="P194" i="24"/>
  <c r="Q194" i="24" s="1"/>
  <c r="K194" i="24"/>
  <c r="S194" i="24" l="1"/>
  <c r="T194" i="24" s="1"/>
  <c r="AC194" i="24"/>
  <c r="AA194" i="24"/>
  <c r="AB194" i="24"/>
  <c r="R194" i="24"/>
  <c r="X194" i="24" l="1"/>
  <c r="AE194" i="24" s="1"/>
  <c r="W194" i="24"/>
  <c r="AD194" i="24" s="1"/>
  <c r="Y194" i="24"/>
  <c r="AF194" i="24" s="1"/>
  <c r="I195" i="24" l="1"/>
  <c r="D195" i="24"/>
  <c r="G195" i="24"/>
  <c r="B195" i="24"/>
  <c r="C195" i="24"/>
  <c r="H195" i="24"/>
  <c r="J195" i="24" l="1"/>
  <c r="E195" i="24"/>
  <c r="U195" i="24"/>
  <c r="O195" i="24"/>
  <c r="V195" i="24"/>
  <c r="AG194" i="24"/>
  <c r="F195" i="24"/>
  <c r="L195" i="24" l="1"/>
  <c r="M195" i="24" s="1"/>
  <c r="P195" i="24"/>
  <c r="Q195" i="24" s="1"/>
  <c r="K195" i="24"/>
  <c r="S195" i="24" l="1"/>
  <c r="T195" i="24" s="1"/>
  <c r="AA195" i="24" s="1"/>
  <c r="AB195" i="24"/>
  <c r="AC195" i="24"/>
  <c r="R195" i="24"/>
  <c r="X195" i="24" s="1"/>
  <c r="W195" i="24" l="1"/>
  <c r="AD195" i="24" s="1"/>
  <c r="Y195" i="24"/>
  <c r="AF195" i="24" s="1"/>
  <c r="AE195" i="24"/>
  <c r="H196" i="24" l="1"/>
  <c r="C196" i="24"/>
  <c r="D196" i="24"/>
  <c r="I196" i="24"/>
  <c r="B196" i="24"/>
  <c r="G196" i="24"/>
  <c r="V196" i="24" l="1"/>
  <c r="U196" i="24"/>
  <c r="O196" i="24"/>
  <c r="AG195" i="24"/>
  <c r="J196" i="24"/>
  <c r="F196" i="24"/>
  <c r="E196" i="24"/>
  <c r="L196" i="24" l="1"/>
  <c r="M196" i="24" s="1"/>
  <c r="P196" i="24"/>
  <c r="Q196" i="24" s="1"/>
  <c r="K196" i="24"/>
  <c r="S196" i="24" l="1"/>
  <c r="T196" i="24" s="1"/>
  <c r="AA196" i="24" s="1"/>
  <c r="AB196" i="24"/>
  <c r="AC196" i="24"/>
  <c r="R196" i="24"/>
  <c r="W196" i="24" s="1"/>
  <c r="Y196" i="24" l="1"/>
  <c r="AF196" i="24" s="1"/>
  <c r="I197" i="24" s="1"/>
  <c r="X196" i="24"/>
  <c r="AE196" i="24" s="1"/>
  <c r="AD196" i="24"/>
  <c r="D197" i="24" l="1"/>
  <c r="V197" i="24" s="1"/>
  <c r="G197" i="24"/>
  <c r="B197" i="24"/>
  <c r="H197" i="24"/>
  <c r="C197" i="24"/>
  <c r="AG196" i="24" l="1"/>
  <c r="U197" i="24"/>
  <c r="O197" i="24"/>
  <c r="E197" i="24"/>
  <c r="F197" i="24"/>
  <c r="J197" i="24"/>
  <c r="L197" i="24" l="1"/>
  <c r="M197" i="24" s="1"/>
  <c r="P197" i="24"/>
  <c r="Q197" i="24" s="1"/>
  <c r="K197" i="24"/>
  <c r="S197" i="24" l="1"/>
  <c r="T197" i="24" s="1"/>
  <c r="AB197" i="24" s="1"/>
  <c r="AC197" i="24"/>
  <c r="AA197" i="24"/>
  <c r="R197" i="24"/>
  <c r="W197" i="24" s="1"/>
  <c r="X197" i="24" l="1"/>
  <c r="AE197" i="24" s="1"/>
  <c r="H198" i="24" s="1"/>
  <c r="Y197" i="24"/>
  <c r="AF197" i="24" s="1"/>
  <c r="AD197" i="24"/>
  <c r="B198" i="24" s="1"/>
  <c r="G198" i="24" l="1"/>
  <c r="C198" i="24"/>
  <c r="F198" i="24" s="1"/>
  <c r="I198" i="24"/>
  <c r="D198" i="24"/>
  <c r="E198" i="24" l="1"/>
  <c r="V198" i="24"/>
  <c r="U198" i="24"/>
  <c r="O198" i="24"/>
  <c r="AG197" i="24"/>
  <c r="J198" i="24"/>
  <c r="L198" i="24" l="1"/>
  <c r="M198" i="24" s="1"/>
  <c r="K198" i="24"/>
  <c r="P198" i="24"/>
  <c r="Q198" i="24" s="1"/>
  <c r="S198" i="24" l="1"/>
  <c r="T198" i="24" s="1"/>
  <c r="AC198" i="24" s="1"/>
  <c r="AB198" i="24"/>
  <c r="R198" i="24"/>
  <c r="X198" i="24" s="1"/>
  <c r="AA198" i="24" l="1"/>
  <c r="W198" i="24"/>
  <c r="AD198" i="24" s="1"/>
  <c r="Y198" i="24"/>
  <c r="AF198" i="24" s="1"/>
  <c r="AE198" i="24"/>
  <c r="C199" i="24" l="1"/>
  <c r="H199" i="24"/>
  <c r="D199" i="24"/>
  <c r="I199" i="24"/>
  <c r="G199" i="24"/>
  <c r="B199" i="24"/>
  <c r="V199" i="24" l="1"/>
  <c r="U199" i="24"/>
  <c r="O199" i="24"/>
  <c r="AG198" i="24"/>
  <c r="E199" i="24"/>
  <c r="J199" i="24"/>
  <c r="F199" i="24"/>
  <c r="K199" i="24" l="1"/>
  <c r="L199" i="24"/>
  <c r="M199" i="24" s="1"/>
  <c r="P199" i="24"/>
  <c r="Q199" i="24" s="1"/>
  <c r="S199" i="24" l="1"/>
  <c r="T199" i="24" s="1"/>
  <c r="AA199" i="24" s="1"/>
  <c r="R199" i="24"/>
  <c r="W199" i="24" s="1"/>
  <c r="AC199" i="24" l="1"/>
  <c r="AB199" i="24"/>
  <c r="Y199" i="24"/>
  <c r="AF199" i="24" s="1"/>
  <c r="X199" i="24"/>
  <c r="AE199" i="24" s="1"/>
  <c r="AD199" i="24"/>
  <c r="I200" i="24" l="1"/>
  <c r="D200" i="24"/>
  <c r="U200" i="24" s="1"/>
  <c r="B200" i="24"/>
  <c r="G200" i="24"/>
  <c r="H200" i="24"/>
  <c r="C200" i="24"/>
  <c r="AG199" i="24" l="1"/>
  <c r="O200" i="24"/>
  <c r="V200" i="24"/>
  <c r="F200" i="24"/>
  <c r="J200" i="24"/>
  <c r="E200" i="24"/>
  <c r="P200" i="24" l="1"/>
  <c r="Q200" i="24" s="1"/>
  <c r="L200" i="24"/>
  <c r="M200" i="24" s="1"/>
  <c r="K200" i="24"/>
  <c r="S200" i="24" l="1"/>
  <c r="T200" i="24" s="1"/>
  <c r="AA200" i="24" s="1"/>
  <c r="AC200" i="24"/>
  <c r="R200" i="24"/>
  <c r="AB200" i="24" l="1"/>
  <c r="Y200" i="24"/>
  <c r="AF200" i="24" s="1"/>
  <c r="W200" i="24"/>
  <c r="AD200" i="24" s="1"/>
  <c r="X200" i="24"/>
  <c r="AE200" i="24" s="1"/>
  <c r="G201" i="24" l="1"/>
  <c r="B201" i="24"/>
  <c r="I201" i="24"/>
  <c r="D201" i="24"/>
  <c r="C201" i="24"/>
  <c r="H201" i="24"/>
  <c r="J201" i="24" l="1"/>
  <c r="V201" i="24"/>
  <c r="U201" i="24"/>
  <c r="O201" i="24"/>
  <c r="AG200" i="24"/>
  <c r="E201" i="24"/>
  <c r="F201" i="24"/>
  <c r="L201" i="24" l="1"/>
  <c r="M201" i="24" s="1"/>
  <c r="K201" i="24"/>
  <c r="P201" i="24"/>
  <c r="Q201" i="24" s="1"/>
  <c r="S201" i="24" l="1"/>
  <c r="T201" i="24" s="1"/>
  <c r="AB201" i="24"/>
  <c r="AC201" i="24"/>
  <c r="AA201" i="24"/>
  <c r="R201" i="24"/>
  <c r="W201" i="24" s="1"/>
  <c r="X201" i="24" l="1"/>
  <c r="AE201" i="24" s="1"/>
  <c r="H202" i="24" s="1"/>
  <c r="Y201" i="24"/>
  <c r="AF201" i="24" s="1"/>
  <c r="AD201" i="24"/>
  <c r="C202" i="24" l="1"/>
  <c r="G202" i="24"/>
  <c r="B202" i="24"/>
  <c r="I202" i="24"/>
  <c r="D202" i="24"/>
  <c r="F202" i="24" l="1"/>
  <c r="E202" i="24"/>
  <c r="O202" i="24"/>
  <c r="V202" i="24"/>
  <c r="U202" i="24"/>
  <c r="AG201" i="24"/>
  <c r="J202" i="24"/>
  <c r="K202" i="24" l="1"/>
  <c r="L202" i="24"/>
  <c r="M202" i="24" s="1"/>
  <c r="P202" i="24"/>
  <c r="Q202" i="24" s="1"/>
  <c r="S202" i="24" l="1"/>
  <c r="T202" i="24" s="1"/>
  <c r="AC202" i="24"/>
  <c r="AA202" i="24"/>
  <c r="AB202" i="24"/>
  <c r="R202" i="24"/>
  <c r="W202" i="24" l="1"/>
  <c r="AD202" i="24" s="1"/>
  <c r="X202" i="24"/>
  <c r="AE202" i="24" s="1"/>
  <c r="Y202" i="24"/>
  <c r="AF202" i="24" s="1"/>
  <c r="I203" i="24" l="1"/>
  <c r="D203" i="24"/>
  <c r="H203" i="24"/>
  <c r="C203" i="24"/>
  <c r="G203" i="24"/>
  <c r="B203" i="24"/>
  <c r="F203" i="24" l="1"/>
  <c r="E203" i="24"/>
  <c r="O203" i="24"/>
  <c r="V203" i="24"/>
  <c r="U203" i="24"/>
  <c r="AG202" i="24"/>
  <c r="J203" i="24"/>
  <c r="P203" i="24" l="1"/>
  <c r="Q203" i="24" s="1"/>
  <c r="K203" i="24"/>
  <c r="L203" i="24"/>
  <c r="M203" i="24" s="1"/>
  <c r="S203" i="24" l="1"/>
  <c r="T203" i="24" s="1"/>
  <c r="AA203" i="24"/>
  <c r="AB203" i="24"/>
  <c r="AC203" i="24"/>
  <c r="R203" i="24"/>
  <c r="W203" i="24" l="1"/>
  <c r="AD203" i="24" s="1"/>
  <c r="X203" i="24"/>
  <c r="AE203" i="24" s="1"/>
  <c r="Y203" i="24"/>
  <c r="AF203" i="24" s="1"/>
  <c r="D204" i="24" l="1"/>
  <c r="I204" i="24"/>
  <c r="C204" i="24"/>
  <c r="H204" i="24"/>
  <c r="B204" i="24"/>
  <c r="G204" i="24"/>
  <c r="F204" i="24" l="1"/>
  <c r="E204" i="24"/>
  <c r="J204" i="24"/>
  <c r="O204" i="24"/>
  <c r="V204" i="24"/>
  <c r="U204" i="24"/>
  <c r="AG203" i="24"/>
  <c r="P204" i="24" l="1"/>
  <c r="Q204" i="24" s="1"/>
  <c r="K204" i="24"/>
  <c r="L204" i="24"/>
  <c r="M204" i="24" s="1"/>
  <c r="S204" i="24" l="1"/>
  <c r="T204" i="24" s="1"/>
  <c r="AB204" i="24"/>
  <c r="AA204" i="24"/>
  <c r="AC204" i="24"/>
  <c r="R204" i="24"/>
  <c r="W204" i="24" l="1"/>
  <c r="AD204" i="24" s="1"/>
  <c r="X204" i="24"/>
  <c r="AE204" i="24" s="1"/>
  <c r="Y204" i="24"/>
  <c r="AF204" i="24" s="1"/>
  <c r="I205" i="24" l="1"/>
  <c r="D205" i="24"/>
  <c r="C205" i="24"/>
  <c r="H205" i="24"/>
  <c r="G205" i="24"/>
  <c r="B205" i="24"/>
  <c r="F205" i="24" l="1"/>
  <c r="V205" i="24"/>
  <c r="O205" i="24"/>
  <c r="U205" i="24"/>
  <c r="AG204" i="24"/>
  <c r="E205" i="24"/>
  <c r="J205" i="24"/>
  <c r="L205" i="24" l="1"/>
  <c r="M205" i="24" s="1"/>
  <c r="P205" i="24"/>
  <c r="Q205" i="24" s="1"/>
  <c r="K205" i="24"/>
  <c r="S205" i="24" l="1"/>
  <c r="T205" i="24" s="1"/>
  <c r="AA205" i="24"/>
  <c r="AB205" i="24"/>
  <c r="AC205" i="24"/>
  <c r="R205" i="24"/>
  <c r="Y205" i="24" s="1"/>
  <c r="X205" i="24" l="1"/>
  <c r="AE205" i="24" s="1"/>
  <c r="W205" i="24"/>
  <c r="AD205" i="24" s="1"/>
  <c r="AF205" i="24"/>
  <c r="H206" i="24" l="1"/>
  <c r="C206" i="24"/>
  <c r="B206" i="24"/>
  <c r="G206" i="24"/>
  <c r="I206" i="24"/>
  <c r="D206" i="24"/>
  <c r="F206" i="24" l="1"/>
  <c r="E206" i="24"/>
  <c r="V206" i="24"/>
  <c r="U206" i="24"/>
  <c r="O206" i="24"/>
  <c r="AG205" i="24"/>
  <c r="J206" i="24"/>
  <c r="P206" i="24" l="1"/>
  <c r="Q206" i="24" s="1"/>
  <c r="L206" i="24"/>
  <c r="M206" i="24" s="1"/>
  <c r="K206" i="24"/>
  <c r="S206" i="24" l="1"/>
  <c r="T206" i="24" s="1"/>
  <c r="AB206" i="24" s="1"/>
  <c r="AC206" i="24"/>
  <c r="AA206" i="24"/>
  <c r="R206" i="24"/>
  <c r="W206" i="24" l="1"/>
  <c r="AD206" i="24" s="1"/>
  <c r="X206" i="24"/>
  <c r="AE206" i="24" s="1"/>
  <c r="Y206" i="24"/>
  <c r="AF206" i="24" s="1"/>
  <c r="D207" i="24" l="1"/>
  <c r="I207" i="24"/>
  <c r="H207" i="24"/>
  <c r="C207" i="24"/>
  <c r="G207" i="24"/>
  <c r="B207" i="24"/>
  <c r="F207" i="24" l="1"/>
  <c r="E207" i="24"/>
  <c r="J207" i="24"/>
  <c r="V207" i="24"/>
  <c r="U207" i="24"/>
  <c r="O207" i="24"/>
  <c r="AG206" i="24"/>
  <c r="K207" i="24" l="1"/>
  <c r="P207" i="24"/>
  <c r="Q207" i="24" s="1"/>
  <c r="L207" i="24"/>
  <c r="M207" i="24" s="1"/>
  <c r="S207" i="24" l="1"/>
  <c r="T207" i="24" s="1"/>
  <c r="AC207" i="24" s="1"/>
  <c r="AA207" i="24"/>
  <c r="AB207" i="24"/>
  <c r="R207" i="24"/>
  <c r="Y207" i="24" l="1"/>
  <c r="AF207" i="24" s="1"/>
  <c r="X207" i="24"/>
  <c r="AE207" i="24" s="1"/>
  <c r="W207" i="24"/>
  <c r="AD207" i="24" s="1"/>
  <c r="B208" i="24" l="1"/>
  <c r="G208" i="24"/>
  <c r="C208" i="24"/>
  <c r="H208" i="24"/>
  <c r="I208" i="24"/>
  <c r="D208" i="24"/>
  <c r="F208" i="24" l="1"/>
  <c r="U208" i="24"/>
  <c r="O208" i="24"/>
  <c r="V208" i="24"/>
  <c r="AG207" i="24"/>
  <c r="J208" i="24"/>
  <c r="E208" i="24"/>
  <c r="L208" i="24" l="1"/>
  <c r="M208" i="24" s="1"/>
  <c r="K208" i="24"/>
  <c r="P208" i="24"/>
  <c r="Q208" i="24" s="1"/>
  <c r="S208" i="24" l="1"/>
  <c r="T208" i="24" s="1"/>
  <c r="AA208" i="24"/>
  <c r="AB208" i="24"/>
  <c r="AC208" i="24"/>
  <c r="R208" i="24"/>
  <c r="Y208" i="24" l="1"/>
  <c r="AF208" i="24" s="1"/>
  <c r="W208" i="24"/>
  <c r="AD208" i="24" s="1"/>
  <c r="X208" i="24"/>
  <c r="AE208" i="24" s="1"/>
  <c r="H209" i="24" l="1"/>
  <c r="C209" i="24"/>
  <c r="B209" i="24"/>
  <c r="G209" i="24"/>
  <c r="D209" i="24"/>
  <c r="I209" i="24"/>
  <c r="J209" i="24" l="1"/>
  <c r="E209" i="24"/>
  <c r="F209" i="24"/>
  <c r="U209" i="24"/>
  <c r="O209" i="24"/>
  <c r="V209" i="24"/>
  <c r="AG208" i="24"/>
  <c r="K209" i="24" l="1"/>
  <c r="L209" i="24"/>
  <c r="M209" i="24" s="1"/>
  <c r="P209" i="24"/>
  <c r="Q209" i="24" s="1"/>
  <c r="S209" i="24" l="1"/>
  <c r="T209" i="24" s="1"/>
  <c r="AA209" i="24" s="1"/>
  <c r="AC209" i="24"/>
  <c r="R209" i="24"/>
  <c r="W209" i="24" s="1"/>
  <c r="AB209" i="24" l="1"/>
  <c r="Y209" i="24"/>
  <c r="AF209" i="24" s="1"/>
  <c r="X209" i="24"/>
  <c r="AE209" i="24" s="1"/>
  <c r="AD209" i="24"/>
  <c r="B210" i="24" l="1"/>
  <c r="G210" i="24"/>
  <c r="H210" i="24"/>
  <c r="C210" i="24"/>
  <c r="I210" i="24"/>
  <c r="D210" i="24"/>
  <c r="F210" i="24" l="1"/>
  <c r="O210" i="24"/>
  <c r="U210" i="24"/>
  <c r="V210" i="24"/>
  <c r="AG209" i="24"/>
  <c r="J210" i="24"/>
  <c r="E210" i="24"/>
  <c r="L210" i="24" l="1"/>
  <c r="M210" i="24" s="1"/>
  <c r="P210" i="24"/>
  <c r="Q210" i="24" s="1"/>
  <c r="K210" i="24"/>
  <c r="S210" i="24" l="1"/>
  <c r="T210" i="24" s="1"/>
  <c r="AB210" i="24"/>
  <c r="AC210" i="24"/>
  <c r="AA210" i="24"/>
  <c r="R210" i="24"/>
  <c r="Y210" i="24" l="1"/>
  <c r="AF210" i="24" s="1"/>
  <c r="W210" i="24"/>
  <c r="AD210" i="24" s="1"/>
  <c r="X210" i="24"/>
  <c r="AE210" i="24" s="1"/>
  <c r="C211" i="24" l="1"/>
  <c r="H211" i="24"/>
  <c r="B211" i="24"/>
  <c r="G211" i="24"/>
  <c r="D211" i="24"/>
  <c r="I211" i="24"/>
  <c r="J211" i="24" l="1"/>
  <c r="E211" i="24"/>
  <c r="V211" i="24"/>
  <c r="U211" i="24"/>
  <c r="O211" i="24"/>
  <c r="AG210" i="24"/>
  <c r="F211" i="24"/>
  <c r="P211" i="24" l="1"/>
  <c r="Q211" i="24" s="1"/>
  <c r="K211" i="24"/>
  <c r="L211" i="24"/>
  <c r="M211" i="24" s="1"/>
  <c r="S211" i="24" l="1"/>
  <c r="T211" i="24" s="1"/>
  <c r="AC211" i="24" s="1"/>
  <c r="AA211" i="24"/>
  <c r="AB211" i="24"/>
  <c r="R211" i="24"/>
  <c r="W211" i="24" l="1"/>
  <c r="AD211" i="24" s="1"/>
  <c r="X211" i="24"/>
  <c r="AE211" i="24" s="1"/>
  <c r="Y211" i="24"/>
  <c r="AF211" i="24" s="1"/>
  <c r="I212" i="24" l="1"/>
  <c r="D212" i="24"/>
  <c r="H212" i="24"/>
  <c r="C212" i="24"/>
  <c r="G212" i="24"/>
  <c r="B212" i="24"/>
  <c r="F212" i="24" l="1"/>
  <c r="O212" i="24"/>
  <c r="E212" i="24"/>
  <c r="V212" i="24"/>
  <c r="U212" i="24"/>
  <c r="AG211" i="24"/>
  <c r="J212" i="24"/>
  <c r="P212" i="24" l="1"/>
  <c r="Q212" i="24" s="1"/>
  <c r="K212" i="24"/>
  <c r="L212" i="24"/>
  <c r="M212" i="24" s="1"/>
  <c r="S212" i="24" l="1"/>
  <c r="T212" i="24" s="1"/>
  <c r="AA212" i="24" s="1"/>
  <c r="AB212" i="24"/>
  <c r="AC212" i="24"/>
  <c r="R212" i="24"/>
  <c r="X212" i="24" l="1"/>
  <c r="AE212" i="24" s="1"/>
  <c r="Y212" i="24"/>
  <c r="AF212" i="24" s="1"/>
  <c r="W212" i="24"/>
  <c r="AD212" i="24" s="1"/>
  <c r="G213" i="24" l="1"/>
  <c r="B213" i="24"/>
  <c r="D213" i="24"/>
  <c r="I213" i="24"/>
  <c r="H213" i="24"/>
  <c r="C213" i="24"/>
  <c r="O213" i="24" l="1"/>
  <c r="V213" i="24"/>
  <c r="U213" i="24"/>
  <c r="AG212" i="24"/>
  <c r="F213" i="24"/>
  <c r="E213" i="24"/>
  <c r="J213" i="24"/>
  <c r="P213" i="24" l="1"/>
  <c r="Q213" i="24" s="1"/>
  <c r="K213" i="24"/>
  <c r="L213" i="24"/>
  <c r="M213" i="24" s="1"/>
  <c r="S213" i="24" l="1"/>
  <c r="T213" i="24" s="1"/>
  <c r="AA213" i="24" s="1"/>
  <c r="AB213" i="24"/>
  <c r="AC213" i="24"/>
  <c r="R213" i="24"/>
  <c r="W213" i="24" l="1"/>
  <c r="AD213" i="24" s="1"/>
  <c r="X213" i="24"/>
  <c r="AE213" i="24" s="1"/>
  <c r="Y213" i="24"/>
  <c r="AF213" i="24" s="1"/>
  <c r="I214" i="24" l="1"/>
  <c r="D214" i="24"/>
  <c r="C214" i="24"/>
  <c r="H214" i="24"/>
  <c r="G214" i="24"/>
  <c r="B214" i="24"/>
  <c r="F214" i="24" l="1"/>
  <c r="E214" i="24"/>
  <c r="O214" i="24"/>
  <c r="V214" i="24"/>
  <c r="U214" i="24"/>
  <c r="AG213" i="24"/>
  <c r="J214" i="24"/>
  <c r="L214" i="24" l="1"/>
  <c r="M214" i="24" s="1"/>
  <c r="P214" i="24"/>
  <c r="Q214" i="24" s="1"/>
  <c r="K214" i="24"/>
  <c r="S214" i="24" l="1"/>
  <c r="T214" i="24" s="1"/>
  <c r="AB214" i="24"/>
  <c r="AC214" i="24"/>
  <c r="AA214" i="24"/>
  <c r="R214" i="24"/>
  <c r="X214" i="24" l="1"/>
  <c r="AE214" i="24" s="1"/>
  <c r="Y214" i="24"/>
  <c r="AF214" i="24" s="1"/>
  <c r="W214" i="24"/>
  <c r="AD214" i="24" s="1"/>
  <c r="B215" i="24" l="1"/>
  <c r="G215" i="24"/>
  <c r="D215" i="24"/>
  <c r="I215" i="24"/>
  <c r="H215" i="24"/>
  <c r="C215" i="24"/>
  <c r="O215" i="24" l="1"/>
  <c r="V215" i="24"/>
  <c r="U215" i="24"/>
  <c r="AG214" i="24"/>
  <c r="F215" i="24"/>
  <c r="J215" i="24"/>
  <c r="E215" i="24"/>
  <c r="P215" i="24" l="1"/>
  <c r="Q215" i="24" s="1"/>
  <c r="K215" i="24"/>
  <c r="L215" i="24"/>
  <c r="M215" i="24" s="1"/>
  <c r="S215" i="24" l="1"/>
  <c r="T215" i="24" s="1"/>
  <c r="AC215" i="24"/>
  <c r="AA215" i="24"/>
  <c r="AB215" i="24"/>
  <c r="R215" i="24"/>
  <c r="W215" i="24" l="1"/>
  <c r="AD215" i="24" s="1"/>
  <c r="Y215" i="24"/>
  <c r="AF215" i="24" s="1"/>
  <c r="X215" i="24"/>
  <c r="AE215" i="24" s="1"/>
  <c r="C216" i="24" l="1"/>
  <c r="H216" i="24"/>
  <c r="I216" i="24"/>
  <c r="D216" i="24"/>
  <c r="B216" i="24"/>
  <c r="G216" i="24"/>
  <c r="U216" i="24" l="1"/>
  <c r="O216" i="24"/>
  <c r="V216" i="24"/>
  <c r="AG215" i="24"/>
  <c r="J216" i="24"/>
  <c r="E216" i="24"/>
  <c r="F216" i="24"/>
  <c r="P216" i="24" l="1"/>
  <c r="Q216" i="24" s="1"/>
  <c r="K216" i="24"/>
  <c r="L216" i="24"/>
  <c r="M216" i="24" s="1"/>
  <c r="S216" i="24" l="1"/>
  <c r="T216" i="24" s="1"/>
  <c r="AA216" i="24" s="1"/>
  <c r="R216" i="24"/>
  <c r="AC216" i="24" l="1"/>
  <c r="AB216" i="24"/>
  <c r="X216" i="24"/>
  <c r="Y216" i="24"/>
  <c r="AF216" i="24" s="1"/>
  <c r="W216" i="24"/>
  <c r="AD216" i="24" s="1"/>
  <c r="AE216" i="24" l="1"/>
  <c r="G217" i="24"/>
  <c r="B217" i="24"/>
  <c r="I217" i="24"/>
  <c r="D217" i="24"/>
  <c r="C217" i="24"/>
  <c r="H217" i="24"/>
  <c r="V217" i="24" l="1"/>
  <c r="U217" i="24"/>
  <c r="O217" i="24"/>
  <c r="AG216" i="24"/>
  <c r="E217" i="24"/>
  <c r="F217" i="24"/>
  <c r="J217" i="24"/>
  <c r="P217" i="24" l="1"/>
  <c r="Q217" i="24" s="1"/>
  <c r="K217" i="24"/>
  <c r="L217" i="24"/>
  <c r="M217" i="24" s="1"/>
  <c r="S217" i="24" l="1"/>
  <c r="T217" i="24" s="1"/>
  <c r="AA217" i="24" s="1"/>
  <c r="R217" i="24"/>
  <c r="AC217" i="24" l="1"/>
  <c r="AB217" i="24"/>
  <c r="W217" i="24"/>
  <c r="AD217" i="24" s="1"/>
  <c r="X217" i="24"/>
  <c r="Y217" i="24"/>
  <c r="AF217" i="24" s="1"/>
  <c r="AE217" i="24" l="1"/>
  <c r="I218" i="24"/>
  <c r="D218" i="24"/>
  <c r="H218" i="24"/>
  <c r="C218" i="24"/>
  <c r="B218" i="24"/>
  <c r="G218" i="24"/>
  <c r="J218" i="24" l="1"/>
  <c r="U218" i="24"/>
  <c r="O218" i="24"/>
  <c r="V218" i="24"/>
  <c r="AG217" i="24"/>
  <c r="F218" i="24"/>
  <c r="E218" i="24"/>
  <c r="L218" i="24" l="1"/>
  <c r="M218" i="24" s="1"/>
  <c r="K218" i="24"/>
  <c r="P218" i="24"/>
  <c r="Q218" i="24" s="1"/>
  <c r="S218" i="24" l="1"/>
  <c r="T218" i="24" s="1"/>
  <c r="AB218" i="24"/>
  <c r="AC218" i="24"/>
  <c r="AA218" i="24"/>
  <c r="R218" i="24"/>
  <c r="X218" i="24" s="1"/>
  <c r="W218" i="24" l="1"/>
  <c r="AD218" i="24" s="1"/>
  <c r="Y218" i="24"/>
  <c r="AF218" i="24" s="1"/>
  <c r="I219" i="24" s="1"/>
  <c r="AE218" i="24"/>
  <c r="D219" i="24" l="1"/>
  <c r="AG218" i="24" s="1"/>
  <c r="C219" i="24"/>
  <c r="H219" i="24"/>
  <c r="B219" i="24"/>
  <c r="G219" i="24"/>
  <c r="V219" i="24" l="1"/>
  <c r="O219" i="24"/>
  <c r="U219" i="24"/>
  <c r="J219" i="24"/>
  <c r="E219" i="24"/>
  <c r="F219" i="24"/>
  <c r="L219" i="24" l="1"/>
  <c r="M219" i="24" s="1"/>
  <c r="P219" i="24"/>
  <c r="Q219" i="24" s="1"/>
  <c r="K219" i="24"/>
  <c r="S219" i="24" l="1"/>
  <c r="T219" i="24" s="1"/>
  <c r="AC219" i="24"/>
  <c r="AA219" i="24"/>
  <c r="AB219" i="24"/>
  <c r="R219" i="24"/>
  <c r="Y219" i="24" s="1"/>
  <c r="W219" i="24" l="1"/>
  <c r="AD219" i="24" s="1"/>
  <c r="X219" i="24"/>
  <c r="AE219" i="24" s="1"/>
  <c r="AF219" i="24"/>
  <c r="I220" i="24" l="1"/>
  <c r="D220" i="24"/>
  <c r="G220" i="24"/>
  <c r="B220" i="24"/>
  <c r="H220" i="24"/>
  <c r="C220" i="24"/>
  <c r="E220" i="24" l="1"/>
  <c r="J220" i="24"/>
  <c r="F220" i="24"/>
  <c r="O220" i="24"/>
  <c r="V220" i="24"/>
  <c r="U220" i="24"/>
  <c r="AG219" i="24"/>
  <c r="P220" i="24" l="1"/>
  <c r="Q220" i="24" s="1"/>
  <c r="K220" i="24"/>
  <c r="L220" i="24"/>
  <c r="M220" i="24" s="1"/>
  <c r="S220" i="24" l="1"/>
  <c r="T220" i="24" s="1"/>
  <c r="AA220" i="24"/>
  <c r="AB220" i="24"/>
  <c r="AC220" i="24"/>
  <c r="R220" i="24"/>
  <c r="W220" i="24" l="1"/>
  <c r="AD220" i="24" s="1"/>
  <c r="X220" i="24"/>
  <c r="AE220" i="24" s="1"/>
  <c r="Y220" i="24"/>
  <c r="AF220" i="24" s="1"/>
  <c r="D221" i="24" l="1"/>
  <c r="I221" i="24"/>
  <c r="H221" i="24"/>
  <c r="C221" i="24"/>
  <c r="B221" i="24"/>
  <c r="G221" i="24"/>
  <c r="F221" i="24" l="1"/>
  <c r="J221" i="24"/>
  <c r="E221" i="24"/>
  <c r="U221" i="24"/>
  <c r="O221" i="24"/>
  <c r="V221" i="24"/>
  <c r="AG220" i="24"/>
  <c r="K221" i="24" l="1"/>
  <c r="L221" i="24"/>
  <c r="M221" i="24" s="1"/>
  <c r="P221" i="24"/>
  <c r="Q221" i="24" s="1"/>
  <c r="S221" i="24" l="1"/>
  <c r="T221" i="24" s="1"/>
  <c r="AA221" i="24" s="1"/>
  <c r="AB221" i="24"/>
  <c r="AC221" i="24"/>
  <c r="R221" i="24"/>
  <c r="W221" i="24" s="1"/>
  <c r="Y221" i="24" l="1"/>
  <c r="AF221" i="24" s="1"/>
  <c r="X221" i="24"/>
  <c r="AE221" i="24" s="1"/>
  <c r="AD221" i="24"/>
  <c r="G222" i="24" l="1"/>
  <c r="B222" i="24"/>
  <c r="C222" i="24"/>
  <c r="H222" i="24"/>
  <c r="I222" i="24"/>
  <c r="D222" i="24"/>
  <c r="F222" i="24" l="1"/>
  <c r="O222" i="24"/>
  <c r="V222" i="24"/>
  <c r="U222" i="24"/>
  <c r="AG221" i="24"/>
  <c r="E222" i="24"/>
  <c r="J222" i="24"/>
  <c r="P222" i="24" l="1"/>
  <c r="Q222" i="24" s="1"/>
  <c r="K222" i="24"/>
  <c r="L222" i="24"/>
  <c r="M222" i="24" s="1"/>
  <c r="S222" i="24" l="1"/>
  <c r="T222" i="24" s="1"/>
  <c r="AB222" i="24" s="1"/>
  <c r="AC222" i="24"/>
  <c r="AA222" i="24"/>
  <c r="R222" i="24"/>
  <c r="X222" i="24" l="1"/>
  <c r="AE222" i="24" s="1"/>
  <c r="Y222" i="24"/>
  <c r="AF222" i="24" s="1"/>
  <c r="W222" i="24"/>
  <c r="AD222" i="24" s="1"/>
  <c r="B223" i="24" l="1"/>
  <c r="G223" i="24"/>
  <c r="I223" i="24"/>
  <c r="D223" i="24"/>
  <c r="H223" i="24"/>
  <c r="C223" i="24"/>
  <c r="U223" i="24" l="1"/>
  <c r="V223" i="24"/>
  <c r="O223" i="24"/>
  <c r="AG222" i="24"/>
  <c r="F223" i="24"/>
  <c r="J223" i="24"/>
  <c r="E223" i="24"/>
  <c r="K223" i="24" l="1"/>
  <c r="L223" i="24"/>
  <c r="M223" i="24" s="1"/>
  <c r="P223" i="24"/>
  <c r="Q223" i="24" s="1"/>
  <c r="S223" i="24" l="1"/>
  <c r="T223" i="24" s="1"/>
  <c r="AC223" i="24" s="1"/>
  <c r="AA223" i="24"/>
  <c r="AB223" i="24"/>
  <c r="R223" i="24"/>
  <c r="X223" i="24" s="1"/>
  <c r="W223" i="24" l="1"/>
  <c r="AD223" i="24" s="1"/>
  <c r="Y223" i="24"/>
  <c r="AF223" i="24" s="1"/>
  <c r="AE223" i="24"/>
  <c r="C224" i="24" s="1"/>
  <c r="H224" i="24" l="1"/>
  <c r="D224" i="24"/>
  <c r="I224" i="24"/>
  <c r="B224" i="24"/>
  <c r="F224" i="24" s="1"/>
  <c r="G224" i="24"/>
  <c r="J224" i="24" l="1"/>
  <c r="E224" i="24"/>
  <c r="V224" i="24"/>
  <c r="U224" i="24"/>
  <c r="O224" i="24"/>
  <c r="AG223" i="24"/>
  <c r="K224" i="24" l="1"/>
  <c r="L224" i="24"/>
  <c r="M224" i="24" s="1"/>
  <c r="P224" i="24"/>
  <c r="Q224" i="24" s="1"/>
  <c r="S224" i="24" l="1"/>
  <c r="T224" i="24" s="1"/>
  <c r="AA224" i="24" s="1"/>
  <c r="AC224" i="24"/>
  <c r="R224" i="24"/>
  <c r="W224" i="24" s="1"/>
  <c r="AB224" i="24" l="1"/>
  <c r="Y224" i="24"/>
  <c r="AF224" i="24" s="1"/>
  <c r="X224" i="24"/>
  <c r="AD224" i="24"/>
  <c r="AE224" i="24" l="1"/>
  <c r="I225" i="24"/>
  <c r="D225" i="24"/>
  <c r="V225" i="24" s="1"/>
  <c r="G225" i="24"/>
  <c r="B225" i="24"/>
  <c r="H225" i="24"/>
  <c r="C225" i="24"/>
  <c r="U225" i="24" l="1"/>
  <c r="AG224" i="24"/>
  <c r="F225" i="24"/>
  <c r="O225" i="24"/>
  <c r="E225" i="24"/>
  <c r="J225" i="24"/>
  <c r="K225" i="24" l="1"/>
  <c r="L225" i="24"/>
  <c r="M225" i="24" s="1"/>
  <c r="P225" i="24"/>
  <c r="Q225" i="24" s="1"/>
  <c r="S225" i="24" l="1"/>
  <c r="T225" i="24" s="1"/>
  <c r="AA225" i="24"/>
  <c r="AB225" i="24"/>
  <c r="AC225" i="24"/>
  <c r="R225" i="24"/>
  <c r="X225" i="24" l="1"/>
  <c r="AE225" i="24" s="1"/>
  <c r="Y225" i="24"/>
  <c r="AF225" i="24" s="1"/>
  <c r="W225" i="24"/>
  <c r="AD225" i="24" s="1"/>
  <c r="B226" i="24" l="1"/>
  <c r="G226" i="24"/>
  <c r="I226" i="24"/>
  <c r="D226" i="24"/>
  <c r="C226" i="24"/>
  <c r="H226" i="24"/>
  <c r="V226" i="24" l="1"/>
  <c r="U226" i="24"/>
  <c r="O226" i="24"/>
  <c r="AG225" i="24"/>
  <c r="J226" i="24"/>
  <c r="F226" i="24"/>
  <c r="E226" i="24"/>
  <c r="K226" i="24" l="1"/>
  <c r="L226" i="24"/>
  <c r="M226" i="24" s="1"/>
  <c r="P226" i="24"/>
  <c r="Q226" i="24" s="1"/>
  <c r="S226" i="24" l="1"/>
  <c r="T226" i="24" s="1"/>
  <c r="AB226" i="24" s="1"/>
  <c r="AC226" i="24"/>
  <c r="AA226" i="24"/>
  <c r="R226" i="24"/>
  <c r="W226" i="24" s="1"/>
  <c r="X226" i="24" l="1"/>
  <c r="AE226" i="24" s="1"/>
  <c r="Y226" i="24"/>
  <c r="AF226" i="24" s="1"/>
  <c r="AD226" i="24"/>
  <c r="H227" i="24" l="1"/>
  <c r="C227" i="24"/>
  <c r="G227" i="24"/>
  <c r="B227" i="24"/>
  <c r="D227" i="24"/>
  <c r="I227" i="24"/>
  <c r="U227" i="24" l="1"/>
  <c r="O227" i="24"/>
  <c r="V227" i="24"/>
  <c r="AG226" i="24"/>
  <c r="E227" i="24"/>
  <c r="J227" i="24"/>
  <c r="F227" i="24"/>
  <c r="P227" i="24" l="1"/>
  <c r="Q227" i="24" s="1"/>
  <c r="K227" i="24"/>
  <c r="L227" i="24"/>
  <c r="M227" i="24" s="1"/>
  <c r="S227" i="24" l="1"/>
  <c r="T227" i="24" s="1"/>
  <c r="AC227" i="24"/>
  <c r="AA227" i="24"/>
  <c r="AB227" i="24"/>
  <c r="R227" i="24"/>
  <c r="X227" i="24" l="1"/>
  <c r="AE227" i="24" s="1"/>
  <c r="Y227" i="24"/>
  <c r="AF227" i="24" s="1"/>
  <c r="W227" i="24"/>
  <c r="AD227" i="24" s="1"/>
  <c r="C228" i="24" l="1"/>
  <c r="H228" i="24"/>
  <c r="G228" i="24"/>
  <c r="B228" i="24"/>
  <c r="I228" i="24"/>
  <c r="D228" i="24"/>
  <c r="E228" i="24" l="1"/>
  <c r="J228" i="24"/>
  <c r="O228" i="24"/>
  <c r="V228" i="24"/>
  <c r="U228" i="24"/>
  <c r="AG227" i="24"/>
  <c r="F228" i="24"/>
  <c r="L228" i="24" l="1"/>
  <c r="M228" i="24" s="1"/>
  <c r="P228" i="24"/>
  <c r="Q228" i="24" s="1"/>
  <c r="K228" i="24"/>
  <c r="S228" i="24" l="1"/>
  <c r="T228" i="24" s="1"/>
  <c r="AA228" i="24" s="1"/>
  <c r="R228" i="24"/>
  <c r="W228" i="24" s="1"/>
  <c r="AC228" i="24" l="1"/>
  <c r="AB228" i="24"/>
  <c r="Y228" i="24"/>
  <c r="AF228" i="24" s="1"/>
  <c r="X228" i="24"/>
  <c r="AD228" i="24"/>
  <c r="AE228" i="24" l="1"/>
  <c r="B229" i="24"/>
  <c r="G229" i="24"/>
  <c r="C229" i="24"/>
  <c r="H229" i="24"/>
  <c r="D229" i="24"/>
  <c r="I229" i="24"/>
  <c r="F229" i="24" l="1"/>
  <c r="J229" i="24"/>
  <c r="U229" i="24"/>
  <c r="O229" i="24"/>
  <c r="V229" i="24"/>
  <c r="AG228" i="24"/>
  <c r="E229" i="24"/>
  <c r="K229" i="24" l="1"/>
  <c r="P229" i="24"/>
  <c r="Q229" i="24" s="1"/>
  <c r="L229" i="24"/>
  <c r="M229" i="24" s="1"/>
  <c r="S229" i="24" l="1"/>
  <c r="T229" i="24" s="1"/>
  <c r="AA229" i="24" s="1"/>
  <c r="AB229" i="24"/>
  <c r="AC229" i="24"/>
  <c r="R229" i="24"/>
  <c r="W229" i="24" l="1"/>
  <c r="AD229" i="24" s="1"/>
  <c r="X229" i="24"/>
  <c r="AE229" i="24" s="1"/>
  <c r="Y229" i="24"/>
  <c r="AF229" i="24" s="1"/>
  <c r="D230" i="24" l="1"/>
  <c r="I230" i="24"/>
  <c r="H230" i="24"/>
  <c r="C230" i="24"/>
  <c r="B230" i="24"/>
  <c r="G230" i="24"/>
  <c r="F230" i="24" l="1"/>
  <c r="J230" i="24"/>
  <c r="E230" i="24"/>
  <c r="U230" i="24"/>
  <c r="O230" i="24"/>
  <c r="V230" i="24"/>
  <c r="AG229" i="24"/>
  <c r="K230" i="24" l="1"/>
  <c r="L230" i="24"/>
  <c r="M230" i="24" s="1"/>
  <c r="P230" i="24"/>
  <c r="Q230" i="24" s="1"/>
  <c r="S230" i="24" l="1"/>
  <c r="T230" i="24" s="1"/>
  <c r="AB230" i="24"/>
  <c r="AC230" i="24"/>
  <c r="AA230" i="24"/>
  <c r="R230" i="24"/>
  <c r="W230" i="24" s="1"/>
  <c r="Y230" i="24" l="1"/>
  <c r="AF230" i="24" s="1"/>
  <c r="I231" i="24" s="1"/>
  <c r="X230" i="24"/>
  <c r="AE230" i="24" s="1"/>
  <c r="C231" i="24" s="1"/>
  <c r="AD230" i="24"/>
  <c r="G231" i="24" s="1"/>
  <c r="H231" i="24" l="1"/>
  <c r="J231" i="24" s="1"/>
  <c r="D231" i="24"/>
  <c r="U231" i="24" s="1"/>
  <c r="B231" i="24"/>
  <c r="E231" i="24" s="1"/>
  <c r="AG230" i="24" l="1"/>
  <c r="F231" i="24"/>
  <c r="V231" i="24"/>
  <c r="O231" i="24"/>
  <c r="K231" i="24"/>
  <c r="L231" i="24"/>
  <c r="M231" i="24" s="1"/>
  <c r="P231" i="24"/>
  <c r="Q231" i="24" s="1"/>
  <c r="S231" i="24" l="1"/>
  <c r="T231" i="24" s="1"/>
  <c r="AC231" i="24" s="1"/>
  <c r="AB231" i="24" l="1"/>
  <c r="AA231" i="24"/>
  <c r="R231" i="24"/>
  <c r="Y231" i="24" s="1"/>
  <c r="AF231" i="24" l="1"/>
  <c r="I232" i="24" s="1"/>
  <c r="W231" i="24"/>
  <c r="AD231" i="24" s="1"/>
  <c r="G232" i="24" s="1"/>
  <c r="X231" i="24"/>
  <c r="AE231" i="24" s="1"/>
  <c r="C232" i="24" s="1"/>
  <c r="B232" i="24" l="1"/>
  <c r="E232" i="24" s="1"/>
  <c r="D232" i="24"/>
  <c r="AG231" i="24" s="1"/>
  <c r="H232" i="24"/>
  <c r="J232" i="24" s="1"/>
  <c r="F232" i="24" l="1"/>
  <c r="U232" i="24"/>
  <c r="V232" i="24"/>
  <c r="O232" i="24"/>
  <c r="K232" i="24"/>
  <c r="L232" i="24"/>
  <c r="M232" i="24" s="1"/>
  <c r="P232" i="24"/>
  <c r="Q232" i="24" s="1"/>
  <c r="S232" i="24" l="1"/>
  <c r="T232" i="24" s="1"/>
  <c r="AA232" i="24" s="1"/>
  <c r="AC232" i="24" l="1"/>
  <c r="AB232" i="24"/>
  <c r="R232" i="24"/>
  <c r="W232" i="24" s="1"/>
  <c r="AD232" i="24" l="1"/>
  <c r="G233" i="24" s="1"/>
  <c r="X232" i="24"/>
  <c r="AE232" i="24" s="1"/>
  <c r="Y232" i="24"/>
  <c r="AF232" i="24" s="1"/>
  <c r="D233" i="24" s="1"/>
  <c r="B233" i="24" l="1"/>
  <c r="C233" i="24"/>
  <c r="H233" i="24"/>
  <c r="I233" i="24"/>
  <c r="U233" i="24"/>
  <c r="V233" i="24"/>
  <c r="AG232" i="24"/>
  <c r="E233" i="24" l="1"/>
  <c r="O233" i="24"/>
  <c r="F233" i="24"/>
  <c r="J233" i="24"/>
  <c r="K233" i="24" s="1"/>
  <c r="L233" i="24" l="1"/>
  <c r="M233" i="24" s="1"/>
  <c r="P233" i="24"/>
  <c r="Q233" i="24" s="1"/>
  <c r="S233" i="24" l="1"/>
  <c r="T233" i="24" s="1"/>
  <c r="AA233" i="24" s="1"/>
  <c r="AB233" i="24"/>
  <c r="AC233" i="24"/>
  <c r="R233" i="24"/>
  <c r="W233" i="24" s="1"/>
  <c r="Y233" i="24" l="1"/>
  <c r="AF233" i="24" s="1"/>
  <c r="I234" i="24" s="1"/>
  <c r="X233" i="24"/>
  <c r="AE233" i="24" s="1"/>
  <c r="C234" i="24" s="1"/>
  <c r="AD233" i="24"/>
  <c r="G234" i="24" s="1"/>
  <c r="H234" i="24" l="1"/>
  <c r="J234" i="24" s="1"/>
  <c r="D234" i="24"/>
  <c r="AG233" i="24" s="1"/>
  <c r="B234" i="24"/>
  <c r="F234" i="24" s="1"/>
  <c r="O234" i="24" l="1"/>
  <c r="V234" i="24"/>
  <c r="U234" i="24"/>
  <c r="E234" i="24"/>
  <c r="K234" i="24"/>
  <c r="L234" i="24"/>
  <c r="M234" i="24" s="1"/>
  <c r="P234" i="24"/>
  <c r="Q234" i="24" s="1"/>
  <c r="S234" i="24" l="1"/>
  <c r="T234" i="24" s="1"/>
  <c r="AB234" i="24" s="1"/>
  <c r="AA234" i="24" l="1"/>
  <c r="AC234" i="24"/>
  <c r="R234" i="24"/>
  <c r="Y234" i="24" s="1"/>
  <c r="AF234" i="24" s="1"/>
  <c r="X234" i="24" l="1"/>
  <c r="AE234" i="24" s="1"/>
  <c r="C235" i="24" s="1"/>
  <c r="W234" i="24"/>
  <c r="AD234" i="24" s="1"/>
  <c r="G235" i="24" s="1"/>
  <c r="I235" i="24"/>
  <c r="D235" i="24"/>
  <c r="B235" i="24" l="1"/>
  <c r="F235" i="24" s="1"/>
  <c r="H235" i="24"/>
  <c r="J235" i="24" s="1"/>
  <c r="U235" i="24"/>
  <c r="V235" i="24"/>
  <c r="AG234" i="24"/>
  <c r="E235" i="24" l="1"/>
  <c r="O235" i="24"/>
  <c r="K235" i="24"/>
  <c r="L235" i="24"/>
  <c r="M235" i="24" s="1"/>
  <c r="P235" i="24"/>
  <c r="Q235" i="24" s="1"/>
  <c r="S235" i="24" l="1"/>
  <c r="T235" i="24" s="1"/>
  <c r="AC235" i="24" s="1"/>
  <c r="AB235" i="24" l="1"/>
  <c r="AA235" i="24"/>
  <c r="R235" i="24"/>
  <c r="X235" i="24" s="1"/>
  <c r="AE235" i="24" l="1"/>
  <c r="H236" i="24" s="1"/>
  <c r="Y235" i="24"/>
  <c r="AF235" i="24" s="1"/>
  <c r="D236" i="24" s="1"/>
  <c r="W235" i="24"/>
  <c r="AD235" i="24" s="1"/>
  <c r="B236" i="24" s="1"/>
  <c r="C236" i="24" l="1"/>
  <c r="E236" i="24" s="1"/>
  <c r="G236" i="24"/>
  <c r="I236" i="24"/>
  <c r="U236" i="24"/>
  <c r="V236" i="24"/>
  <c r="AG235" i="24"/>
  <c r="F236" i="24" l="1"/>
  <c r="J236" i="24"/>
  <c r="K236" i="24" s="1"/>
  <c r="O236" i="24"/>
  <c r="L236" i="24" l="1"/>
  <c r="M236" i="24" s="1"/>
  <c r="P236" i="24"/>
  <c r="Q236" i="24" s="1"/>
  <c r="S236" i="24" l="1"/>
  <c r="T236" i="24" s="1"/>
  <c r="AB236" i="24" s="1"/>
  <c r="AA236" i="24"/>
  <c r="AC236" i="24"/>
  <c r="R236" i="24"/>
  <c r="X236" i="24" s="1"/>
  <c r="Y236" i="24" l="1"/>
  <c r="AF236" i="24" s="1"/>
  <c r="I237" i="24" s="1"/>
  <c r="W236" i="24"/>
  <c r="AD236" i="24" s="1"/>
  <c r="G237" i="24" s="1"/>
  <c r="AE236" i="24"/>
  <c r="H237" i="24" s="1"/>
  <c r="D237" i="24" l="1"/>
  <c r="O237" i="24" s="1"/>
  <c r="B237" i="24"/>
  <c r="C237" i="24"/>
  <c r="J237" i="24"/>
  <c r="U237" i="24" l="1"/>
  <c r="V237" i="24"/>
  <c r="AG236" i="24"/>
  <c r="F237" i="24"/>
  <c r="E237" i="24"/>
  <c r="K237" i="24"/>
  <c r="P237" i="24"/>
  <c r="Q237" i="24" s="1"/>
  <c r="L237" i="24"/>
  <c r="M237" i="24" s="1"/>
  <c r="S237" i="24" l="1"/>
  <c r="T237" i="24" s="1"/>
  <c r="AA237" i="24" s="1"/>
  <c r="AB237" i="24"/>
  <c r="AC237" i="24"/>
  <c r="R237" i="24"/>
  <c r="W237" i="24" l="1"/>
  <c r="AD237" i="24" s="1"/>
  <c r="X237" i="24"/>
  <c r="AE237" i="24" s="1"/>
  <c r="Y237" i="24"/>
  <c r="AF237" i="24" s="1"/>
  <c r="D238" i="24" l="1"/>
  <c r="I238" i="24"/>
  <c r="H238" i="24"/>
  <c r="C238" i="24"/>
  <c r="B238" i="24"/>
  <c r="G238" i="24"/>
  <c r="F238" i="24" l="1"/>
  <c r="J238" i="24"/>
  <c r="E238" i="24"/>
  <c r="O238" i="24"/>
  <c r="V238" i="24"/>
  <c r="U238" i="24"/>
  <c r="AG237" i="24"/>
  <c r="P238" i="24" l="1"/>
  <c r="Q238" i="24" s="1"/>
  <c r="L238" i="24"/>
  <c r="M238" i="24" s="1"/>
  <c r="K238" i="24"/>
  <c r="S238" i="24" l="1"/>
  <c r="T238" i="24" s="1"/>
  <c r="AB238" i="24" s="1"/>
  <c r="AC238" i="24"/>
  <c r="AA238" i="24"/>
  <c r="R238" i="24"/>
  <c r="X238" i="24" l="1"/>
  <c r="AE238" i="24" s="1"/>
  <c r="W238" i="24"/>
  <c r="AD238" i="24" s="1"/>
  <c r="Y238" i="24"/>
  <c r="AF238" i="24" s="1"/>
  <c r="I239" i="24" l="1"/>
  <c r="D239" i="24"/>
  <c r="G239" i="24"/>
  <c r="B239" i="24"/>
  <c r="C239" i="24"/>
  <c r="H239" i="24"/>
  <c r="E239" i="24" l="1"/>
  <c r="J239" i="24"/>
  <c r="V239" i="24"/>
  <c r="O239" i="24"/>
  <c r="U239" i="24"/>
  <c r="AG238" i="24"/>
  <c r="F239" i="24"/>
  <c r="L239" i="24" l="1"/>
  <c r="M239" i="24" s="1"/>
  <c r="P239" i="24"/>
  <c r="Q239" i="24" s="1"/>
  <c r="K239" i="24"/>
  <c r="S239" i="24" l="1"/>
  <c r="T239" i="24" s="1"/>
  <c r="AC239" i="24" s="1"/>
  <c r="AA239" i="24"/>
  <c r="AB239" i="24"/>
  <c r="R239" i="24"/>
  <c r="W239" i="24" s="1"/>
  <c r="Y239" i="24" l="1"/>
  <c r="AF239" i="24" s="1"/>
  <c r="X239" i="24"/>
  <c r="AE239" i="24" s="1"/>
  <c r="AD239" i="24"/>
  <c r="H240" i="24" l="1"/>
  <c r="C240" i="24"/>
  <c r="B240" i="24"/>
  <c r="G240" i="24"/>
  <c r="D240" i="24"/>
  <c r="I240" i="24"/>
  <c r="F240" i="24" l="1"/>
  <c r="V240" i="24"/>
  <c r="O240" i="24"/>
  <c r="U240" i="24"/>
  <c r="AG239" i="24"/>
  <c r="J240" i="24"/>
  <c r="E240" i="24"/>
  <c r="K240" i="24" l="1"/>
  <c r="P240" i="24"/>
  <c r="Q240" i="24" s="1"/>
  <c r="L240" i="24"/>
  <c r="M240" i="24" s="1"/>
  <c r="S240" i="24" l="1"/>
  <c r="T240" i="24" s="1"/>
  <c r="AA240" i="24" s="1"/>
  <c r="AC240" i="24"/>
  <c r="R240" i="24"/>
  <c r="AB240" i="24" l="1"/>
  <c r="W240" i="24"/>
  <c r="AD240" i="24" s="1"/>
  <c r="X240" i="24"/>
  <c r="AE240" i="24" s="1"/>
  <c r="Y240" i="24"/>
  <c r="AF240" i="24" s="1"/>
  <c r="I241" i="24" l="1"/>
  <c r="D241" i="24"/>
  <c r="H241" i="24"/>
  <c r="C241" i="24"/>
  <c r="G241" i="24"/>
  <c r="B241" i="24"/>
  <c r="E241" i="24" l="1"/>
  <c r="U241" i="24"/>
  <c r="O241" i="24"/>
  <c r="V241" i="24"/>
  <c r="AG240" i="24"/>
  <c r="F241" i="24"/>
  <c r="J241" i="24"/>
  <c r="K241" i="24" l="1"/>
  <c r="L241" i="24"/>
  <c r="M241" i="24" s="1"/>
  <c r="P241" i="24"/>
  <c r="Q241" i="24" s="1"/>
  <c r="S241" i="24" l="1"/>
  <c r="T241" i="24" s="1"/>
  <c r="AA241" i="24"/>
  <c r="AB241" i="24"/>
  <c r="AC241" i="24"/>
  <c r="R241" i="24"/>
  <c r="X241" i="24" s="1"/>
  <c r="W241" i="24" l="1"/>
  <c r="AD241" i="24" s="1"/>
  <c r="B242" i="24" s="1"/>
  <c r="Y241" i="24"/>
  <c r="AF241" i="24" s="1"/>
  <c r="AE241" i="24"/>
  <c r="G242" i="24" l="1"/>
  <c r="C242" i="24"/>
  <c r="E242" i="24" s="1"/>
  <c r="H242" i="24"/>
  <c r="D242" i="24"/>
  <c r="I242" i="24"/>
  <c r="J242" i="24" l="1"/>
  <c r="K242" i="24" s="1"/>
  <c r="U242" i="24"/>
  <c r="O242" i="24"/>
  <c r="V242" i="24"/>
  <c r="AG241" i="24"/>
  <c r="F242" i="24"/>
  <c r="P242" i="24" l="1"/>
  <c r="Q242" i="24" s="1"/>
  <c r="L242" i="24"/>
  <c r="M242" i="24" s="1"/>
  <c r="S242" i="24" l="1"/>
  <c r="T242" i="24" s="1"/>
  <c r="AB242" i="24" s="1"/>
  <c r="AC242" i="24"/>
  <c r="AA242" i="24"/>
  <c r="R242" i="24"/>
  <c r="W242" i="24" s="1"/>
  <c r="X242" i="24" l="1"/>
  <c r="AE242" i="24" s="1"/>
  <c r="AD242" i="24"/>
  <c r="G243" i="24" s="1"/>
  <c r="Y242" i="24"/>
  <c r="AF242" i="24" s="1"/>
  <c r="I243" i="24" s="1"/>
  <c r="B243" i="24" l="1"/>
  <c r="D243" i="24"/>
  <c r="AG242" i="24" s="1"/>
  <c r="C243" i="24"/>
  <c r="H243" i="24"/>
  <c r="F243" i="24" l="1"/>
  <c r="V243" i="24"/>
  <c r="U243" i="24"/>
  <c r="O243" i="24"/>
  <c r="J243" i="24"/>
  <c r="P243" i="24" s="1"/>
  <c r="Q243" i="24" s="1"/>
  <c r="E243" i="24"/>
  <c r="L243" i="24" l="1"/>
  <c r="M243" i="24" s="1"/>
  <c r="K243" i="24"/>
  <c r="S243" i="24" l="1"/>
  <c r="T243" i="24" s="1"/>
  <c r="AC243" i="24" s="1"/>
  <c r="R243" i="24"/>
  <c r="Y243" i="24" s="1"/>
  <c r="AB243" i="24" l="1"/>
  <c r="AA243" i="24"/>
  <c r="AF243" i="24"/>
  <c r="D244" i="24" s="1"/>
  <c r="X243" i="24"/>
  <c r="AE243" i="24" s="1"/>
  <c r="C244" i="24" s="1"/>
  <c r="W243" i="24"/>
  <c r="AD243" i="24" l="1"/>
  <c r="B244" i="24" s="1"/>
  <c r="I244" i="24"/>
  <c r="H244" i="24"/>
  <c r="G244" i="24"/>
  <c r="V244" i="24"/>
  <c r="U244" i="24"/>
  <c r="AG243" i="24"/>
  <c r="F244" i="24"/>
  <c r="E244" i="24"/>
  <c r="O244" i="24" l="1"/>
  <c r="J244" i="24"/>
  <c r="K244" i="24" s="1"/>
  <c r="P244" i="24" l="1"/>
  <c r="Q244" i="24" s="1"/>
  <c r="L244" i="24"/>
  <c r="M244" i="24" s="1"/>
  <c r="S244" i="24" l="1"/>
  <c r="T244" i="24" s="1"/>
  <c r="AA244" i="24" s="1"/>
  <c r="AB244" i="24"/>
  <c r="AC244" i="24"/>
  <c r="R244" i="24"/>
  <c r="W244" i="24" s="1"/>
  <c r="AD244" i="24" l="1"/>
  <c r="Y244" i="24"/>
  <c r="AF244" i="24" s="1"/>
  <c r="D245" i="24" s="1"/>
  <c r="X244" i="24"/>
  <c r="AE244" i="24" s="1"/>
  <c r="C245" i="24" s="1"/>
  <c r="B245" i="24"/>
  <c r="G245" i="24"/>
  <c r="I245" i="24" l="1"/>
  <c r="H245" i="24"/>
  <c r="V245" i="24"/>
  <c r="U245" i="24"/>
  <c r="AG244" i="24"/>
  <c r="F245" i="24"/>
  <c r="E245" i="24"/>
  <c r="O245" i="24" l="1"/>
  <c r="J245" i="24"/>
  <c r="K245" i="24" s="1"/>
  <c r="P245" i="24" l="1"/>
  <c r="Q245" i="24" s="1"/>
  <c r="L245" i="24"/>
  <c r="M245" i="24" s="1"/>
  <c r="S245" i="24" l="1"/>
  <c r="T245" i="24" s="1"/>
  <c r="AA245" i="24" s="1"/>
  <c r="AB245" i="24"/>
  <c r="AC245" i="24"/>
  <c r="R245" i="24"/>
  <c r="X245" i="24" s="1"/>
  <c r="AE245" i="24" l="1"/>
  <c r="H246" i="24" s="1"/>
  <c r="W245" i="24"/>
  <c r="AD245" i="24" s="1"/>
  <c r="G246" i="24" s="1"/>
  <c r="Y245" i="24"/>
  <c r="AF245" i="24" s="1"/>
  <c r="D246" i="24" s="1"/>
  <c r="C246" i="24"/>
  <c r="B246" i="24" l="1"/>
  <c r="F246" i="24" s="1"/>
  <c r="I246" i="24"/>
  <c r="J246" i="24" s="1"/>
  <c r="V246" i="24"/>
  <c r="U246" i="24"/>
  <c r="AG245" i="24"/>
  <c r="O246" i="24" l="1"/>
  <c r="E246" i="24"/>
  <c r="P246" i="24"/>
  <c r="Q246" i="24" s="1"/>
  <c r="K246" i="24"/>
  <c r="L246" i="24"/>
  <c r="M246" i="24" s="1"/>
  <c r="S246" i="24" l="1"/>
  <c r="T246" i="24" s="1"/>
  <c r="AB246" i="24" s="1"/>
  <c r="AC246" i="24" l="1"/>
  <c r="AA246" i="24"/>
  <c r="R246" i="24"/>
  <c r="X246" i="24" s="1"/>
  <c r="AE246" i="24" s="1"/>
  <c r="W246" i="24" l="1"/>
  <c r="AD246" i="24" s="1"/>
  <c r="G247" i="24" s="1"/>
  <c r="Y246" i="24"/>
  <c r="AF246" i="24" s="1"/>
  <c r="I247" i="24" s="1"/>
  <c r="C247" i="24"/>
  <c r="H247" i="24"/>
  <c r="B247" i="24" l="1"/>
  <c r="F247" i="24" s="1"/>
  <c r="D247" i="24"/>
  <c r="V247" i="24" s="1"/>
  <c r="J247" i="24"/>
  <c r="E247" i="24" l="1"/>
  <c r="U247" i="24"/>
  <c r="O247" i="24"/>
  <c r="AG246" i="24"/>
  <c r="L247" i="24"/>
  <c r="M247" i="24" s="1"/>
  <c r="P247" i="24"/>
  <c r="Q247" i="24" s="1"/>
  <c r="K247" i="24"/>
  <c r="S247" i="24" l="1"/>
  <c r="T247" i="24" s="1"/>
  <c r="AC247" i="24" s="1"/>
  <c r="AB247" i="24" l="1"/>
  <c r="AA247" i="24"/>
  <c r="R247" i="24"/>
  <c r="Y247" i="24" s="1"/>
  <c r="W247" i="24" l="1"/>
  <c r="AD247" i="24" s="1"/>
  <c r="G248" i="24" s="1"/>
  <c r="X247" i="24"/>
  <c r="AE247" i="24" s="1"/>
  <c r="H248" i="24" s="1"/>
  <c r="AF247" i="24"/>
  <c r="I248" i="24" s="1"/>
  <c r="D248" i="24" l="1"/>
  <c r="U248" i="24" s="1"/>
  <c r="B248" i="24"/>
  <c r="C248" i="24"/>
  <c r="J248" i="24"/>
  <c r="E248" i="24" l="1"/>
  <c r="V248" i="24"/>
  <c r="O248" i="24"/>
  <c r="AG247" i="24"/>
  <c r="F248" i="24"/>
  <c r="K248" i="24"/>
  <c r="P248" i="24"/>
  <c r="Q248" i="24" s="1"/>
  <c r="L248" i="24"/>
  <c r="M248" i="24" s="1"/>
  <c r="S248" i="24" l="1"/>
  <c r="T248" i="24" s="1"/>
  <c r="AA248" i="24" s="1"/>
  <c r="AB248" i="24" l="1"/>
  <c r="AC248" i="24"/>
  <c r="R248" i="24"/>
  <c r="X248" i="24" s="1"/>
  <c r="AE248" i="24" l="1"/>
  <c r="H249" i="24" s="1"/>
  <c r="W248" i="24"/>
  <c r="AD248" i="24" s="1"/>
  <c r="B249" i="24" s="1"/>
  <c r="Y248" i="24"/>
  <c r="AF248" i="24" s="1"/>
  <c r="I249" i="24" s="1"/>
  <c r="C249" i="24" l="1"/>
  <c r="E249" i="24" s="1"/>
  <c r="G249" i="24"/>
  <c r="J249" i="24" s="1"/>
  <c r="D249" i="24"/>
  <c r="V249" i="24" s="1"/>
  <c r="F249" i="24" l="1"/>
  <c r="O249" i="24"/>
  <c r="U249" i="24"/>
  <c r="AG248" i="24"/>
  <c r="P249" i="24"/>
  <c r="Q249" i="24" s="1"/>
  <c r="K249" i="24"/>
  <c r="L249" i="24"/>
  <c r="M249" i="24" s="1"/>
  <c r="S249" i="24" l="1"/>
  <c r="T249" i="24" s="1"/>
  <c r="AA249" i="24" s="1"/>
  <c r="AC249" i="24" l="1"/>
  <c r="AB249" i="24"/>
  <c r="R249" i="24"/>
  <c r="W249" i="24" s="1"/>
  <c r="AD249" i="24" l="1"/>
  <c r="G250" i="24" s="1"/>
  <c r="Y249" i="24"/>
  <c r="AF249" i="24" s="1"/>
  <c r="D250" i="24" s="1"/>
  <c r="X249" i="24"/>
  <c r="AE249" i="24" s="1"/>
  <c r="C250" i="24" s="1"/>
  <c r="B250" i="24" l="1"/>
  <c r="F250" i="24" s="1"/>
  <c r="I250" i="24"/>
  <c r="H250" i="24"/>
  <c r="V250" i="24"/>
  <c r="U250" i="24"/>
  <c r="AG249" i="24"/>
  <c r="E250" i="24" l="1"/>
  <c r="J250" i="24"/>
  <c r="P250" i="24" s="1"/>
  <c r="Q250" i="24" s="1"/>
  <c r="O250" i="24"/>
  <c r="L250" i="24" l="1"/>
  <c r="M250" i="24" s="1"/>
  <c r="K250" i="24"/>
  <c r="S250" i="24" l="1"/>
  <c r="T250" i="24" s="1"/>
  <c r="AB250" i="24" s="1"/>
  <c r="AC250" i="24"/>
  <c r="AA250" i="24"/>
  <c r="R250" i="24"/>
  <c r="Y250" i="24" s="1"/>
  <c r="AF250" i="24" l="1"/>
  <c r="I251" i="24" s="1"/>
  <c r="X250" i="24"/>
  <c r="AE250" i="24" s="1"/>
  <c r="H251" i="24" s="1"/>
  <c r="W250" i="24"/>
  <c r="AD250" i="24" s="1"/>
  <c r="B251" i="24" s="1"/>
  <c r="D251" i="24" l="1"/>
  <c r="U251" i="24" s="1"/>
  <c r="C251" i="24"/>
  <c r="F251" i="24" s="1"/>
  <c r="G251" i="24"/>
  <c r="J251" i="24" s="1"/>
  <c r="AG250" i="24" l="1"/>
  <c r="V251" i="24"/>
  <c r="O251" i="24"/>
  <c r="E251" i="24"/>
  <c r="P251" i="24"/>
  <c r="Q251" i="24" s="1"/>
  <c r="K251" i="24"/>
  <c r="L251" i="24"/>
  <c r="M251" i="24" s="1"/>
  <c r="S251" i="24" l="1"/>
  <c r="T251" i="24" s="1"/>
  <c r="AC251" i="24" s="1"/>
  <c r="AB251" i="24" l="1"/>
  <c r="AA251" i="24"/>
  <c r="R251" i="24"/>
  <c r="X251" i="24" s="1"/>
  <c r="AE251" i="24" l="1"/>
  <c r="H252" i="24" s="1"/>
  <c r="W251" i="24"/>
  <c r="AD251" i="24" s="1"/>
  <c r="B252" i="24" s="1"/>
  <c r="Y251" i="24"/>
  <c r="AF251" i="24" s="1"/>
  <c r="I252" i="24" s="1"/>
  <c r="C252" i="24" l="1"/>
  <c r="E252" i="24" s="1"/>
  <c r="D252" i="24"/>
  <c r="AG251" i="24" s="1"/>
  <c r="G252" i="24"/>
  <c r="J252" i="24" s="1"/>
  <c r="F252" i="24" l="1"/>
  <c r="U252" i="24"/>
  <c r="V252" i="24"/>
  <c r="O252" i="24"/>
  <c r="P252" i="24"/>
  <c r="Q252" i="24" s="1"/>
  <c r="K252" i="24"/>
  <c r="L252" i="24"/>
  <c r="M252" i="24" s="1"/>
  <c r="S252" i="24" l="1"/>
  <c r="T252" i="24" s="1"/>
  <c r="AA252" i="24" s="1"/>
  <c r="AC252" i="24" l="1"/>
  <c r="AB252" i="24"/>
  <c r="R252" i="24"/>
  <c r="Y252" i="24" s="1"/>
  <c r="AF252" i="24" l="1"/>
  <c r="D253" i="24" s="1"/>
  <c r="X252" i="24"/>
  <c r="AE252" i="24" s="1"/>
  <c r="C253" i="24" s="1"/>
  <c r="W252" i="24"/>
  <c r="AD252" i="24" s="1"/>
  <c r="G253" i="24" s="1"/>
  <c r="I253" i="24" l="1"/>
  <c r="B253" i="24"/>
  <c r="F253" i="24" s="1"/>
  <c r="H253" i="24"/>
  <c r="U253" i="24"/>
  <c r="V253" i="24"/>
  <c r="AG252" i="24"/>
  <c r="J253" i="24" l="1"/>
  <c r="P253" i="24" s="1"/>
  <c r="Q253" i="24" s="1"/>
  <c r="E253" i="24"/>
  <c r="O253" i="24"/>
  <c r="K253" i="24" l="1"/>
  <c r="L253" i="24"/>
  <c r="M253" i="24" s="1"/>
  <c r="S253" i="24" l="1"/>
  <c r="T253" i="24" s="1"/>
  <c r="AA253" i="24" s="1"/>
  <c r="AB253" i="24"/>
  <c r="AC253" i="24"/>
  <c r="R253" i="24"/>
  <c r="Y253" i="24" s="1"/>
  <c r="AF253" i="24" l="1"/>
  <c r="D254" i="24" s="1"/>
  <c r="X253" i="24"/>
  <c r="AE253" i="24" s="1"/>
  <c r="H254" i="24" s="1"/>
  <c r="W253" i="24"/>
  <c r="AD253" i="24" s="1"/>
  <c r="B254" i="24" s="1"/>
  <c r="I254" i="24" l="1"/>
  <c r="C254" i="24"/>
  <c r="F254" i="24" s="1"/>
  <c r="G254" i="24"/>
  <c r="U254" i="24"/>
  <c r="V254" i="24"/>
  <c r="AG253" i="24"/>
  <c r="J254" i="24" l="1"/>
  <c r="K254" i="24" s="1"/>
  <c r="O254" i="24"/>
  <c r="E254" i="24"/>
  <c r="L254" i="24" l="1"/>
  <c r="M254" i="24" s="1"/>
  <c r="P254" i="24"/>
  <c r="Q254" i="24" s="1"/>
  <c r="S254" i="24" l="1"/>
  <c r="T254" i="24" s="1"/>
  <c r="AB254" i="24" s="1"/>
  <c r="AC254" i="24"/>
  <c r="AA254" i="24"/>
  <c r="R254" i="24"/>
  <c r="X254" i="24" s="1"/>
  <c r="AE254" i="24" l="1"/>
  <c r="H255" i="24" s="1"/>
  <c r="Y254" i="24"/>
  <c r="AF254" i="24" s="1"/>
  <c r="I255" i="24" s="1"/>
  <c r="W254" i="24"/>
  <c r="AD254" i="24" s="1"/>
  <c r="B255" i="24" s="1"/>
  <c r="C255" i="24" l="1"/>
  <c r="F255" i="24" s="1"/>
  <c r="G255" i="24"/>
  <c r="J255" i="24" s="1"/>
  <c r="D255" i="24"/>
  <c r="AG254" i="24" s="1"/>
  <c r="E255" i="24" l="1"/>
  <c r="O255" i="24"/>
  <c r="V255" i="24"/>
  <c r="U255" i="24"/>
  <c r="L255" i="24"/>
  <c r="M255" i="24" s="1"/>
  <c r="K255" i="24"/>
  <c r="P255" i="24"/>
  <c r="Q255" i="24" s="1"/>
  <c r="S255" i="24" l="1"/>
  <c r="T255" i="24" s="1"/>
  <c r="AC255" i="24" s="1"/>
  <c r="AB255" i="24" l="1"/>
  <c r="AA255" i="24"/>
  <c r="R255" i="24"/>
  <c r="X255" i="24" s="1"/>
  <c r="AE255" i="24" s="1"/>
  <c r="Y255" i="24" l="1"/>
  <c r="AF255" i="24" s="1"/>
  <c r="I256" i="24" s="1"/>
  <c r="W255" i="24"/>
  <c r="AD255" i="24" s="1"/>
  <c r="G256" i="24" s="1"/>
  <c r="C256" i="24"/>
  <c r="H256" i="24"/>
  <c r="D256" i="24" l="1"/>
  <c r="AG255" i="24" s="1"/>
  <c r="B256" i="24"/>
  <c r="F256" i="24" s="1"/>
  <c r="J256" i="24"/>
  <c r="V256" i="24" l="1"/>
  <c r="U256" i="24"/>
  <c r="O256" i="24"/>
  <c r="E256" i="24"/>
  <c r="L256" i="24"/>
  <c r="M256" i="24" s="1"/>
  <c r="K256" i="24"/>
  <c r="P256" i="24"/>
  <c r="Q256" i="24" s="1"/>
  <c r="S256" i="24" l="1"/>
  <c r="T256" i="24" s="1"/>
  <c r="AA256" i="24" s="1"/>
  <c r="AC256" i="24" l="1"/>
  <c r="AB256" i="24"/>
  <c r="R256" i="24"/>
  <c r="Y256" i="24" s="1"/>
  <c r="AF256" i="24" l="1"/>
  <c r="D257" i="24" s="1"/>
  <c r="W256" i="24"/>
  <c r="AD256" i="24" s="1"/>
  <c r="G257" i="24" s="1"/>
  <c r="X256" i="24"/>
  <c r="AE256" i="24" s="1"/>
  <c r="H257" i="24" s="1"/>
  <c r="I257" i="24" l="1"/>
  <c r="O257" i="24" s="1"/>
  <c r="C257" i="24"/>
  <c r="B257" i="24"/>
  <c r="V257" i="24"/>
  <c r="U257" i="24"/>
  <c r="AG256" i="24"/>
  <c r="J257" i="24" l="1"/>
  <c r="P257" i="24" s="1"/>
  <c r="Q257" i="24" s="1"/>
  <c r="F257" i="24"/>
  <c r="E257" i="24"/>
  <c r="L257" i="24" l="1"/>
  <c r="M257" i="24" s="1"/>
  <c r="K257" i="24"/>
  <c r="S257" i="24" l="1"/>
  <c r="T257" i="24" s="1"/>
  <c r="AA257" i="24" s="1"/>
  <c r="AB257" i="24"/>
  <c r="AC257" i="24"/>
  <c r="R257" i="24"/>
  <c r="W257" i="24" s="1"/>
  <c r="AD257" i="24" l="1"/>
  <c r="B258" i="24" s="1"/>
  <c r="X257" i="24"/>
  <c r="AE257" i="24" s="1"/>
  <c r="C258" i="24" s="1"/>
  <c r="Y257" i="24"/>
  <c r="AF257" i="24" s="1"/>
  <c r="D258" i="24" s="1"/>
  <c r="G258" i="24" l="1"/>
  <c r="I258" i="24"/>
  <c r="H258" i="24"/>
  <c r="E258" i="24"/>
  <c r="U258" i="24"/>
  <c r="V258" i="24"/>
  <c r="AG257" i="24"/>
  <c r="F258" i="24"/>
  <c r="O258" i="24" l="1"/>
  <c r="J258" i="24"/>
  <c r="L258" i="24" s="1"/>
  <c r="M258" i="24" s="1"/>
  <c r="S258" i="24" l="1"/>
  <c r="T258" i="24" s="1"/>
  <c r="AB258" i="24" s="1"/>
  <c r="P258" i="24"/>
  <c r="Q258" i="24" s="1"/>
  <c r="K258" i="24"/>
  <c r="AC258" i="24" l="1"/>
  <c r="AA258" i="24"/>
  <c r="R258" i="24"/>
  <c r="X258" i="24" s="1"/>
  <c r="Y258" i="24" l="1"/>
  <c r="AF258" i="24" s="1"/>
  <c r="D259" i="24" s="1"/>
  <c r="W258" i="24"/>
  <c r="AD258" i="24" s="1"/>
  <c r="G259" i="24" s="1"/>
  <c r="AE258" i="24"/>
  <c r="H259" i="24" s="1"/>
  <c r="B259" i="24" l="1"/>
  <c r="C259" i="24"/>
  <c r="I259" i="24"/>
  <c r="J259" i="24" s="1"/>
  <c r="U259" i="24"/>
  <c r="V259" i="24"/>
  <c r="AG258" i="24"/>
  <c r="E259" i="24" l="1"/>
  <c r="F259" i="24"/>
  <c r="O259" i="24"/>
  <c r="L259" i="24"/>
  <c r="M259" i="24" s="1"/>
  <c r="K259" i="24"/>
  <c r="P259" i="24"/>
  <c r="Q259" i="24" s="1"/>
  <c r="S259" i="24" l="1"/>
  <c r="T259" i="24" s="1"/>
  <c r="AC259" i="24" s="1"/>
  <c r="AA259" i="24" l="1"/>
  <c r="AB259" i="24"/>
  <c r="R259" i="24"/>
  <c r="W259" i="24" s="1"/>
  <c r="AD259" i="24" l="1"/>
  <c r="B260" i="24" s="1"/>
  <c r="Y259" i="24"/>
  <c r="AF259" i="24" s="1"/>
  <c r="I260" i="24" s="1"/>
  <c r="X259" i="24"/>
  <c r="AE259" i="24" s="1"/>
  <c r="C260" i="24" s="1"/>
  <c r="G260" i="24" l="1"/>
  <c r="H260" i="24"/>
  <c r="D260" i="24"/>
  <c r="AG259" i="24" s="1"/>
  <c r="F260" i="24"/>
  <c r="E260" i="24"/>
  <c r="J260" i="24" l="1"/>
  <c r="P260" i="24" s="1"/>
  <c r="Q260" i="24" s="1"/>
  <c r="U260" i="24"/>
  <c r="V260" i="24"/>
  <c r="O260" i="24"/>
  <c r="K260" i="24" l="1"/>
  <c r="L260" i="24"/>
  <c r="M260" i="24" s="1"/>
  <c r="S260" i="24" l="1"/>
  <c r="T260" i="24" s="1"/>
  <c r="AA260" i="24" s="1"/>
  <c r="AC260" i="24"/>
  <c r="R260" i="24"/>
  <c r="X260" i="24" s="1"/>
  <c r="AB260" i="24" l="1"/>
  <c r="AE260" i="24" s="1"/>
  <c r="W260" i="24"/>
  <c r="AD260" i="24" s="1"/>
  <c r="G261" i="24" s="1"/>
  <c r="Y260" i="24"/>
  <c r="AF260" i="24" s="1"/>
  <c r="D261" i="24" s="1"/>
  <c r="H261" i="24" l="1"/>
  <c r="C261" i="24"/>
  <c r="I261" i="24"/>
  <c r="J261" i="24" s="1"/>
  <c r="B261" i="24"/>
  <c r="F261" i="24" s="1"/>
  <c r="V261" i="24"/>
  <c r="U261" i="24"/>
  <c r="AG260" i="24"/>
  <c r="O261" i="24" l="1"/>
  <c r="E261" i="24"/>
  <c r="L261" i="24"/>
  <c r="M261" i="24" s="1"/>
  <c r="K261" i="24"/>
  <c r="P261" i="24"/>
  <c r="Q261" i="24" s="1"/>
  <c r="S261" i="24" l="1"/>
  <c r="T261" i="24" s="1"/>
  <c r="AA261" i="24" s="1"/>
  <c r="AB261" i="24" l="1"/>
  <c r="AC261" i="24"/>
  <c r="R261" i="24"/>
  <c r="W261" i="24" s="1"/>
  <c r="AD261" i="24" l="1"/>
  <c r="G262" i="24" s="1"/>
  <c r="X261" i="24"/>
  <c r="AE261" i="24" s="1"/>
  <c r="H262" i="24" s="1"/>
  <c r="Y261" i="24"/>
  <c r="AF261" i="24" s="1"/>
  <c r="D262" i="24" s="1"/>
  <c r="B262" i="24" l="1"/>
  <c r="C262" i="24"/>
  <c r="I262" i="24"/>
  <c r="O262" i="24" s="1"/>
  <c r="U262" i="24"/>
  <c r="V262" i="24"/>
  <c r="AG261" i="24"/>
  <c r="E262" i="24" l="1"/>
  <c r="F262" i="24"/>
  <c r="J262" i="24"/>
  <c r="L262" i="24" s="1"/>
  <c r="M262" i="24" s="1"/>
  <c r="S262" i="24" l="1"/>
  <c r="T262" i="24" s="1"/>
  <c r="AB262" i="24" s="1"/>
  <c r="AC262" i="24"/>
  <c r="AA262" i="24"/>
  <c r="P262" i="24"/>
  <c r="K262" i="24"/>
  <c r="Q262" i="24" l="1"/>
  <c r="R262" i="24" s="1"/>
  <c r="X262" i="24" l="1"/>
  <c r="AE262" i="24" s="1"/>
  <c r="C263" i="24" s="1"/>
  <c r="W262" i="24"/>
  <c r="AD262" i="24" s="1"/>
  <c r="B263" i="24" s="1"/>
  <c r="Y262" i="24"/>
  <c r="AF262" i="24" s="1"/>
  <c r="D263" i="24" s="1"/>
  <c r="H263" i="24" l="1"/>
  <c r="G263" i="24"/>
  <c r="I263" i="24"/>
  <c r="U263" i="24"/>
  <c r="V263" i="24"/>
  <c r="AG262" i="24"/>
  <c r="F263" i="24"/>
  <c r="E263" i="24"/>
  <c r="J263" i="24" l="1"/>
  <c r="L263" i="24" s="1"/>
  <c r="M263" i="24" s="1"/>
  <c r="O263" i="24"/>
  <c r="S263" i="24" l="1"/>
  <c r="T263" i="24" s="1"/>
  <c r="AC263" i="24" s="1"/>
  <c r="P263" i="24"/>
  <c r="Q263" i="24" s="1"/>
  <c r="K263" i="24"/>
  <c r="AA263" i="24" l="1"/>
  <c r="AB263" i="24"/>
  <c r="R263" i="24"/>
  <c r="W263" i="24" s="1"/>
  <c r="AD263" i="24" s="1"/>
  <c r="X263" i="24" l="1"/>
  <c r="AE263" i="24" s="1"/>
  <c r="Y263" i="24"/>
  <c r="AF263" i="24" s="1"/>
  <c r="I264" i="24" s="1"/>
  <c r="D264" i="24"/>
  <c r="U264" i="24" s="1"/>
  <c r="G264" i="24"/>
  <c r="B264" i="24"/>
  <c r="H264" i="24"/>
  <c r="C264" i="24"/>
  <c r="AG263" i="24" l="1"/>
  <c r="V264" i="24"/>
  <c r="F264" i="24"/>
  <c r="E264" i="24"/>
  <c r="O264" i="24"/>
  <c r="J264" i="24"/>
  <c r="L264" i="24" l="1"/>
  <c r="M264" i="24" s="1"/>
  <c r="K264" i="24"/>
  <c r="P264" i="24"/>
  <c r="Q264" i="24" s="1"/>
  <c r="S264" i="24" l="1"/>
  <c r="T264" i="24" s="1"/>
  <c r="AA264" i="24" s="1"/>
  <c r="AB264" i="24"/>
  <c r="AC264" i="24"/>
  <c r="R264" i="24"/>
  <c r="Y264" i="24" s="1"/>
  <c r="W264" i="24" l="1"/>
  <c r="AD264" i="24" s="1"/>
  <c r="X264" i="24"/>
  <c r="AE264" i="24" s="1"/>
  <c r="AF264" i="24"/>
  <c r="I265" i="24" l="1"/>
  <c r="D265" i="24"/>
  <c r="C265" i="24"/>
  <c r="H265" i="24"/>
  <c r="B265" i="24"/>
  <c r="G265" i="24"/>
  <c r="F265" i="24" l="1"/>
  <c r="J265" i="24"/>
  <c r="V265" i="24"/>
  <c r="O265" i="24"/>
  <c r="U265" i="24"/>
  <c r="AG264" i="24"/>
  <c r="E265" i="24"/>
  <c r="L265" i="24" l="1"/>
  <c r="M265" i="24" s="1"/>
  <c r="K265" i="24"/>
  <c r="P265" i="24"/>
  <c r="Q265" i="24" s="1"/>
  <c r="S265" i="24" l="1"/>
  <c r="T265" i="24" s="1"/>
  <c r="AA265" i="24"/>
  <c r="AB265" i="24"/>
  <c r="AC265" i="24"/>
  <c r="R265" i="24"/>
  <c r="X265" i="24" s="1"/>
  <c r="Y265" i="24" l="1"/>
  <c r="AF265" i="24" s="1"/>
  <c r="W265" i="24"/>
  <c r="AD265" i="24" s="1"/>
  <c r="AE265" i="24"/>
  <c r="G266" i="24" l="1"/>
  <c r="B266" i="24"/>
  <c r="H266" i="24"/>
  <c r="C266" i="24"/>
  <c r="D266" i="24"/>
  <c r="I266" i="24"/>
  <c r="F266" i="24" l="1"/>
  <c r="E266" i="24"/>
  <c r="O266" i="24"/>
  <c r="U266" i="24"/>
  <c r="V266" i="24"/>
  <c r="AG265" i="24"/>
  <c r="J266" i="24"/>
  <c r="L266" i="24" l="1"/>
  <c r="M266" i="24" s="1"/>
  <c r="K266" i="24"/>
  <c r="P266" i="24"/>
  <c r="Q266" i="24" s="1"/>
  <c r="S266" i="24" l="1"/>
  <c r="T266" i="24" s="1"/>
  <c r="AB266" i="24"/>
  <c r="AC266" i="24"/>
  <c r="AA266" i="24"/>
  <c r="R266" i="24"/>
  <c r="W266" i="24" s="1"/>
  <c r="X266" i="24" l="1"/>
  <c r="AE266" i="24" s="1"/>
  <c r="Y266" i="24"/>
  <c r="AF266" i="24" s="1"/>
  <c r="AD266" i="24"/>
  <c r="B267" i="24" l="1"/>
  <c r="G267" i="24"/>
  <c r="C267" i="24"/>
  <c r="H267" i="24"/>
  <c r="D267" i="24"/>
  <c r="I267" i="24"/>
  <c r="F267" i="24" l="1"/>
  <c r="J267" i="24"/>
  <c r="V267" i="24"/>
  <c r="O267" i="24"/>
  <c r="U267" i="24"/>
  <c r="AG266" i="24"/>
  <c r="E267" i="24"/>
  <c r="L267" i="24" l="1"/>
  <c r="M267" i="24" s="1"/>
  <c r="K267" i="24"/>
  <c r="P267" i="24"/>
  <c r="Q267" i="24" s="1"/>
  <c r="S267" i="24" l="1"/>
  <c r="T267" i="24" s="1"/>
  <c r="AC267" i="24"/>
  <c r="AA267" i="24"/>
  <c r="AB267" i="24"/>
  <c r="R267" i="24"/>
  <c r="W267" i="24" s="1"/>
  <c r="Y267" i="24" l="1"/>
  <c r="AF267" i="24" s="1"/>
  <c r="X267" i="24"/>
  <c r="AE267" i="24" s="1"/>
  <c r="AD267" i="24"/>
  <c r="H268" i="24" l="1"/>
  <c r="C268" i="24"/>
  <c r="G268" i="24"/>
  <c r="B268" i="24"/>
  <c r="D268" i="24"/>
  <c r="I268" i="24"/>
  <c r="F268" i="24" l="1"/>
  <c r="O268" i="24"/>
  <c r="U268" i="24"/>
  <c r="V268" i="24"/>
  <c r="AG267" i="24"/>
  <c r="E268" i="24"/>
  <c r="J268" i="24"/>
  <c r="L268" i="24" l="1"/>
  <c r="M268" i="24" s="1"/>
  <c r="K268" i="24"/>
  <c r="P268" i="24"/>
  <c r="Q268" i="24" s="1"/>
  <c r="S268" i="24" l="1"/>
  <c r="T268" i="24" s="1"/>
  <c r="AA268" i="24" s="1"/>
  <c r="AB268" i="24"/>
  <c r="R268" i="24"/>
  <c r="Y268" i="24" s="1"/>
  <c r="AC268" i="24" l="1"/>
  <c r="AF268" i="24" s="1"/>
  <c r="W268" i="24"/>
  <c r="AD268" i="24" s="1"/>
  <c r="X268" i="24"/>
  <c r="AE268" i="24" s="1"/>
  <c r="I269" i="24" l="1"/>
  <c r="D269" i="24"/>
  <c r="H269" i="24"/>
  <c r="C269" i="24"/>
  <c r="B269" i="24"/>
  <c r="G269" i="24"/>
  <c r="F269" i="24" l="1"/>
  <c r="J269" i="24"/>
  <c r="V269" i="24"/>
  <c r="O269" i="24"/>
  <c r="U269" i="24"/>
  <c r="AG268" i="24"/>
  <c r="E269" i="24"/>
  <c r="L269" i="24" l="1"/>
  <c r="M269" i="24" s="1"/>
  <c r="K269" i="24"/>
  <c r="P269" i="24"/>
  <c r="Q269" i="24" s="1"/>
  <c r="S269" i="24" l="1"/>
  <c r="T269" i="24" s="1"/>
  <c r="AB269" i="24" s="1"/>
  <c r="R269" i="24"/>
  <c r="W269" i="24" s="1"/>
  <c r="AC269" i="24" l="1"/>
  <c r="AA269" i="24"/>
  <c r="AD269" i="24" s="1"/>
  <c r="Y269" i="24"/>
  <c r="AF269" i="24" s="1"/>
  <c r="X269" i="24"/>
  <c r="AE269" i="24" s="1"/>
  <c r="G270" i="24" l="1"/>
  <c r="B270" i="24"/>
  <c r="C270" i="24"/>
  <c r="H270" i="24"/>
  <c r="D270" i="24"/>
  <c r="I270" i="24"/>
  <c r="F270" i="24" l="1"/>
  <c r="E270" i="24"/>
  <c r="O270" i="24"/>
  <c r="U270" i="24"/>
  <c r="V270" i="24"/>
  <c r="AG269" i="24"/>
  <c r="J270" i="24"/>
  <c r="L270" i="24" l="1"/>
  <c r="M270" i="24" s="1"/>
  <c r="K270" i="24"/>
  <c r="P270" i="24"/>
  <c r="Q270" i="24" s="1"/>
  <c r="S270" i="24" l="1"/>
  <c r="T270" i="24" s="1"/>
  <c r="AB270" i="24"/>
  <c r="AC270" i="24"/>
  <c r="AA270" i="24"/>
  <c r="R270" i="24"/>
  <c r="W270" i="24" s="1"/>
  <c r="X270" i="24" l="1"/>
  <c r="AE270" i="24" s="1"/>
  <c r="Y270" i="24"/>
  <c r="AF270" i="24" s="1"/>
  <c r="AD270" i="24"/>
  <c r="B271" i="24" l="1"/>
  <c r="G271" i="24"/>
  <c r="D271" i="24"/>
  <c r="I271" i="24"/>
  <c r="H271" i="24"/>
  <c r="C271" i="24"/>
  <c r="V271" i="24" l="1"/>
  <c r="O271" i="24"/>
  <c r="U271" i="24"/>
  <c r="AG270" i="24"/>
  <c r="F271" i="24"/>
  <c r="J271" i="24"/>
  <c r="E271" i="24"/>
  <c r="L271" i="24" l="1"/>
  <c r="M271" i="24" s="1"/>
  <c r="K271" i="24"/>
  <c r="P271" i="24"/>
  <c r="Q271" i="24" s="1"/>
  <c r="S271" i="24" l="1"/>
  <c r="T271" i="24" s="1"/>
  <c r="AC271" i="24" s="1"/>
  <c r="AA271" i="24"/>
  <c r="AB271" i="24"/>
  <c r="R271" i="24"/>
  <c r="W271" i="24" s="1"/>
  <c r="Y271" i="24" l="1"/>
  <c r="AF271" i="24" s="1"/>
  <c r="X271" i="24"/>
  <c r="AE271" i="24" s="1"/>
  <c r="AD271" i="24"/>
  <c r="I272" i="24" l="1"/>
  <c r="D272" i="24"/>
  <c r="B272" i="24"/>
  <c r="G272" i="24"/>
  <c r="C272" i="24"/>
  <c r="H272" i="24"/>
  <c r="J272" i="24" l="1"/>
  <c r="E272" i="24"/>
  <c r="O272" i="24"/>
  <c r="U272" i="24"/>
  <c r="V272" i="24"/>
  <c r="AG271" i="24"/>
  <c r="F272" i="24"/>
  <c r="L272" i="24" l="1"/>
  <c r="M272" i="24" s="1"/>
  <c r="K272" i="24"/>
  <c r="P272" i="24"/>
  <c r="Q272" i="24" s="1"/>
  <c r="S272" i="24" l="1"/>
  <c r="T272" i="24" s="1"/>
  <c r="AA272" i="24"/>
  <c r="AB272" i="24"/>
  <c r="AC272" i="24"/>
  <c r="R272" i="24"/>
  <c r="Y272" i="24" s="1"/>
  <c r="W272" i="24" l="1"/>
  <c r="AD272" i="24" s="1"/>
  <c r="G273" i="24" s="1"/>
  <c r="X272" i="24"/>
  <c r="AE272" i="24" s="1"/>
  <c r="AF272" i="24"/>
  <c r="B273" i="24" l="1"/>
  <c r="D273" i="24"/>
  <c r="I273" i="24"/>
  <c r="H273" i="24"/>
  <c r="C273" i="24"/>
  <c r="J273" i="24" l="1"/>
  <c r="L273" i="24" s="1"/>
  <c r="M273" i="24" s="1"/>
  <c r="F273" i="24"/>
  <c r="E273" i="24"/>
  <c r="V273" i="24"/>
  <c r="O273" i="24"/>
  <c r="U273" i="24"/>
  <c r="AG272" i="24"/>
  <c r="P273" i="24" l="1"/>
  <c r="Q273" i="24" s="1"/>
  <c r="K273" i="24"/>
  <c r="S273" i="24"/>
  <c r="T273" i="24" s="1"/>
  <c r="AA273" i="24" s="1"/>
  <c r="AC273" i="24" l="1"/>
  <c r="AB273" i="24"/>
  <c r="R273" i="24"/>
  <c r="X273" i="24" s="1"/>
  <c r="W273" i="24" l="1"/>
  <c r="AD273" i="24" s="1"/>
  <c r="B274" i="24" s="1"/>
  <c r="Y273" i="24"/>
  <c r="AF273" i="24" s="1"/>
  <c r="I274" i="24" s="1"/>
  <c r="AE273" i="24"/>
  <c r="H274" i="24" s="1"/>
  <c r="D274" i="24" l="1"/>
  <c r="AG273" i="24" s="1"/>
  <c r="C274" i="24"/>
  <c r="E274" i="24" s="1"/>
  <c r="G274" i="24"/>
  <c r="J274" i="24" s="1"/>
  <c r="V274" i="24" l="1"/>
  <c r="U274" i="24"/>
  <c r="F274" i="24"/>
  <c r="O274" i="24"/>
  <c r="L274" i="24"/>
  <c r="M274" i="24" s="1"/>
  <c r="K274" i="24"/>
  <c r="P274" i="24"/>
  <c r="Q274" i="24" s="1"/>
  <c r="S274" i="24" l="1"/>
  <c r="T274" i="24" s="1"/>
  <c r="AB274" i="24" s="1"/>
  <c r="AC274" i="24" l="1"/>
  <c r="AA274" i="24"/>
  <c r="R274" i="24"/>
  <c r="X274" i="24" s="1"/>
  <c r="AE274" i="24" l="1"/>
  <c r="H275" i="24" s="1"/>
  <c r="Y274" i="24"/>
  <c r="AF274" i="24" s="1"/>
  <c r="I275" i="24" s="1"/>
  <c r="W274" i="24"/>
  <c r="AD274" i="24" s="1"/>
  <c r="B275" i="24" s="1"/>
  <c r="C275" i="24" l="1"/>
  <c r="F275" i="24" s="1"/>
  <c r="D275" i="24"/>
  <c r="AG274" i="24" s="1"/>
  <c r="G275" i="24"/>
  <c r="J275" i="24" s="1"/>
  <c r="V275" i="24" l="1"/>
  <c r="U275" i="24"/>
  <c r="O275" i="24"/>
  <c r="E275" i="24"/>
  <c r="L275" i="24"/>
  <c r="M275" i="24" s="1"/>
  <c r="K275" i="24"/>
  <c r="P275" i="24"/>
  <c r="Q275" i="24" s="1"/>
  <c r="S275" i="24" l="1"/>
  <c r="T275" i="24" s="1"/>
  <c r="AC275" i="24" s="1"/>
  <c r="AB275" i="24" l="1"/>
  <c r="AA275" i="24"/>
  <c r="R275" i="24"/>
  <c r="Y275" i="24" s="1"/>
  <c r="AF275" i="24" l="1"/>
  <c r="I276" i="24" s="1"/>
  <c r="W275" i="24"/>
  <c r="AD275" i="24" s="1"/>
  <c r="G276" i="24" s="1"/>
  <c r="X275" i="24"/>
  <c r="AE275" i="24" s="1"/>
  <c r="H276" i="24" s="1"/>
  <c r="D276" i="24" l="1"/>
  <c r="U276" i="24" s="1"/>
  <c r="C276" i="24"/>
  <c r="B276" i="24"/>
  <c r="J276" i="24"/>
  <c r="O276" i="24" l="1"/>
  <c r="AG275" i="24"/>
  <c r="V276" i="24"/>
  <c r="E276" i="24"/>
  <c r="F276" i="24"/>
  <c r="K276" i="24"/>
  <c r="L276" i="24"/>
  <c r="M276" i="24" s="1"/>
  <c r="P276" i="24"/>
  <c r="Q276" i="24" s="1"/>
  <c r="S276" i="24" l="1"/>
  <c r="T276" i="24" s="1"/>
  <c r="AA276" i="24" s="1"/>
  <c r="AB276" i="24" l="1"/>
  <c r="AC276" i="24"/>
  <c r="R276" i="24"/>
  <c r="X276" i="24" s="1"/>
  <c r="AE276" i="24" s="1"/>
  <c r="W276" i="24" l="1"/>
  <c r="AD276" i="24" s="1"/>
  <c r="G277" i="24" s="1"/>
  <c r="Y276" i="24"/>
  <c r="AF276" i="24" s="1"/>
  <c r="D277" i="24" s="1"/>
  <c r="U277" i="24" s="1"/>
  <c r="H277" i="24"/>
  <c r="C277" i="24"/>
  <c r="B277" i="24" l="1"/>
  <c r="F277" i="24" s="1"/>
  <c r="AG276" i="24"/>
  <c r="V277" i="24"/>
  <c r="I277" i="24"/>
  <c r="J277" i="24" s="1"/>
  <c r="P277" i="24" s="1"/>
  <c r="Q277" i="24" s="1"/>
  <c r="E277" i="24" l="1"/>
  <c r="O277" i="24"/>
  <c r="L277" i="24"/>
  <c r="M277" i="24" s="1"/>
  <c r="K277" i="24"/>
  <c r="S277" i="24" l="1"/>
  <c r="T277" i="24" s="1"/>
  <c r="AA277" i="24" s="1"/>
  <c r="AB277" i="24" l="1"/>
  <c r="AC277" i="24"/>
  <c r="R277" i="24"/>
  <c r="X277" i="24" s="1"/>
  <c r="W277" i="24" l="1"/>
  <c r="AD277" i="24" s="1"/>
  <c r="G278" i="24" s="1"/>
  <c r="Y277" i="24"/>
  <c r="AF277" i="24" s="1"/>
  <c r="I278" i="24" s="1"/>
  <c r="AE277" i="24"/>
  <c r="C278" i="24" s="1"/>
  <c r="B278" i="24" l="1"/>
  <c r="E278" i="24" s="1"/>
  <c r="D278" i="24"/>
  <c r="V278" i="24" s="1"/>
  <c r="H278" i="24"/>
  <c r="J278" i="24" s="1"/>
  <c r="K278" i="24" s="1"/>
  <c r="F278" i="24" l="1"/>
  <c r="AG277" i="24"/>
  <c r="O278" i="24"/>
  <c r="U278" i="24"/>
  <c r="P278" i="24"/>
  <c r="Q278" i="24" s="1"/>
  <c r="L278" i="24"/>
  <c r="M278" i="24" s="1"/>
  <c r="S278" i="24" l="1"/>
  <c r="T278" i="24" s="1"/>
  <c r="AB278" i="24" s="1"/>
  <c r="AC278" i="24" l="1"/>
  <c r="AA278" i="24"/>
  <c r="R278" i="24"/>
  <c r="X278" i="24" s="1"/>
  <c r="AE278" i="24" l="1"/>
  <c r="H279" i="24" s="1"/>
  <c r="W278" i="24"/>
  <c r="AD278" i="24" s="1"/>
  <c r="G279" i="24" s="1"/>
  <c r="Y278" i="24"/>
  <c r="AF278" i="24" s="1"/>
  <c r="I279" i="24" s="1"/>
  <c r="C279" i="24" l="1"/>
  <c r="B279" i="24"/>
  <c r="J279" i="24"/>
  <c r="K279" i="24" s="1"/>
  <c r="D279" i="24"/>
  <c r="U279" i="24" s="1"/>
  <c r="F279" i="24" l="1"/>
  <c r="E279" i="24"/>
  <c r="L279" i="24"/>
  <c r="M279" i="24" s="1"/>
  <c r="P279" i="24"/>
  <c r="Q279" i="24" s="1"/>
  <c r="V279" i="24"/>
  <c r="O279" i="24"/>
  <c r="AG278" i="24"/>
  <c r="S279" i="24" l="1"/>
  <c r="T279" i="24" s="1"/>
  <c r="AC279" i="24" s="1"/>
  <c r="AB279" i="24" l="1"/>
  <c r="AA279" i="24"/>
  <c r="R279" i="24"/>
  <c r="X279" i="24" s="1"/>
  <c r="Y279" i="24" l="1"/>
  <c r="AF279" i="24" s="1"/>
  <c r="D280" i="24" s="1"/>
  <c r="U280" i="24" s="1"/>
  <c r="W279" i="24"/>
  <c r="AD279" i="24" s="1"/>
  <c r="G280" i="24" s="1"/>
  <c r="AE279" i="24"/>
  <c r="H280" i="24" s="1"/>
  <c r="C280" i="24" l="1"/>
  <c r="B280" i="24"/>
  <c r="V280" i="24"/>
  <c r="I280" i="24"/>
  <c r="J280" i="24" s="1"/>
  <c r="K280" i="24" s="1"/>
  <c r="AG279" i="24"/>
  <c r="E280" i="24" l="1"/>
  <c r="F280" i="24"/>
  <c r="P280" i="24"/>
  <c r="Q280" i="24" s="1"/>
  <c r="O280" i="24"/>
  <c r="L280" i="24"/>
  <c r="M280" i="24" s="1"/>
  <c r="S280" i="24" l="1"/>
  <c r="T280" i="24" s="1"/>
  <c r="AA280" i="24" s="1"/>
  <c r="AB280" i="24" l="1"/>
  <c r="AC280" i="24"/>
  <c r="R280" i="24"/>
  <c r="W280" i="24" s="1"/>
  <c r="Y280" i="24" l="1"/>
  <c r="AF280" i="24" s="1"/>
  <c r="I281" i="24" s="1"/>
  <c r="AD280" i="24"/>
  <c r="B281" i="24" s="1"/>
  <c r="X280" i="24"/>
  <c r="AE280" i="24" s="1"/>
  <c r="H281" i="24" s="1"/>
  <c r="D281" i="24" l="1"/>
  <c r="V281" i="24" s="1"/>
  <c r="G281" i="24"/>
  <c r="J281" i="24" s="1"/>
  <c r="L281" i="24" s="1"/>
  <c r="M281" i="24" s="1"/>
  <c r="C281" i="24"/>
  <c r="E281" i="24" s="1"/>
  <c r="AG280" i="24" l="1"/>
  <c r="U281" i="24"/>
  <c r="O281" i="24"/>
  <c r="S281" i="24" s="1"/>
  <c r="T281" i="24" s="1"/>
  <c r="AA281" i="24" s="1"/>
  <c r="F281" i="24"/>
  <c r="P281" i="24"/>
  <c r="Q281" i="24" s="1"/>
  <c r="K281" i="24"/>
  <c r="AC281" i="24" l="1"/>
  <c r="AB281" i="24"/>
  <c r="R281" i="24"/>
  <c r="X281" i="24" s="1"/>
  <c r="AE281" i="24" l="1"/>
  <c r="H282" i="24" s="1"/>
  <c r="W281" i="24"/>
  <c r="AD281" i="24" s="1"/>
  <c r="B282" i="24" s="1"/>
  <c r="Y281" i="24"/>
  <c r="AF281" i="24" s="1"/>
  <c r="I282" i="24" s="1"/>
  <c r="C282" i="24" l="1"/>
  <c r="E282" i="24" s="1"/>
  <c r="D282" i="24"/>
  <c r="AG281" i="24" s="1"/>
  <c r="G282" i="24"/>
  <c r="J282" i="24" s="1"/>
  <c r="F282" i="24" l="1"/>
  <c r="U282" i="24"/>
  <c r="V282" i="24"/>
  <c r="O282" i="24"/>
  <c r="L282" i="24"/>
  <c r="M282" i="24" s="1"/>
  <c r="K282" i="24"/>
  <c r="P282" i="24"/>
  <c r="Q282" i="24" s="1"/>
  <c r="S282" i="24" l="1"/>
  <c r="T282" i="24" s="1"/>
  <c r="AB282" i="24" s="1"/>
  <c r="AA282" i="24" l="1"/>
  <c r="AC282" i="24"/>
  <c r="R282" i="24"/>
  <c r="Y282" i="24" s="1"/>
  <c r="AF282" i="24" l="1"/>
  <c r="I283" i="24" s="1"/>
  <c r="X282" i="24"/>
  <c r="AE282" i="24" s="1"/>
  <c r="H283" i="24" s="1"/>
  <c r="W282" i="24"/>
  <c r="AD282" i="24" s="1"/>
  <c r="G283" i="24" s="1"/>
  <c r="D283" i="24" l="1"/>
  <c r="V283" i="24" s="1"/>
  <c r="B283" i="24"/>
  <c r="C283" i="24"/>
  <c r="J283" i="24"/>
  <c r="K283" i="24" s="1"/>
  <c r="O283" i="24" l="1"/>
  <c r="AG282" i="24"/>
  <c r="U283" i="24"/>
  <c r="E283" i="24"/>
  <c r="F283" i="24"/>
  <c r="P283" i="24"/>
  <c r="Q283" i="24" s="1"/>
  <c r="L283" i="24"/>
  <c r="M283" i="24" s="1"/>
  <c r="S283" i="24" l="1"/>
  <c r="T283" i="24" s="1"/>
  <c r="AC283" i="24" s="1"/>
  <c r="AA283" i="24" l="1"/>
  <c r="AB283" i="24"/>
  <c r="R283" i="24"/>
  <c r="Y283" i="24" s="1"/>
  <c r="AF283" i="24" s="1"/>
  <c r="W283" i="24" l="1"/>
  <c r="AD283" i="24" s="1"/>
  <c r="B284" i="24" s="1"/>
  <c r="X283" i="24"/>
  <c r="AE283" i="24" s="1"/>
  <c r="C284" i="24" s="1"/>
  <c r="I284" i="24"/>
  <c r="D284" i="24"/>
  <c r="E284" i="24" l="1"/>
  <c r="G284" i="24"/>
  <c r="F284" i="24"/>
  <c r="H284" i="24"/>
  <c r="U284" i="24"/>
  <c r="V284" i="24"/>
  <c r="AG283" i="24"/>
  <c r="J284" i="24" l="1"/>
  <c r="L284" i="24" s="1"/>
  <c r="M284" i="24" s="1"/>
  <c r="O284" i="24"/>
  <c r="P284" i="24" l="1"/>
  <c r="Q284" i="24" s="1"/>
  <c r="S284" i="24"/>
  <c r="T284" i="24" s="1"/>
  <c r="AA284" i="24" s="1"/>
  <c r="K284" i="24"/>
  <c r="AC284" i="24" l="1"/>
  <c r="AB284" i="24"/>
  <c r="R284" i="24"/>
  <c r="X284" i="24" s="1"/>
  <c r="AE284" i="24" s="1"/>
  <c r="H285" i="24" s="1"/>
  <c r="Y284" i="24" l="1"/>
  <c r="AF284" i="24" s="1"/>
  <c r="D285" i="24" s="1"/>
  <c r="V285" i="24" s="1"/>
  <c r="W284" i="24"/>
  <c r="AD284" i="24" s="1"/>
  <c r="B285" i="24" s="1"/>
  <c r="C285" i="24"/>
  <c r="U285" i="24" l="1"/>
  <c r="AG284" i="24"/>
  <c r="G285" i="24"/>
  <c r="I285" i="24"/>
  <c r="F285" i="24"/>
  <c r="E285" i="24"/>
  <c r="O285" i="24" l="1"/>
  <c r="J285" i="24"/>
  <c r="P285" i="24" s="1"/>
  <c r="Q285" i="24" s="1"/>
  <c r="L285" i="24" l="1"/>
  <c r="M285" i="24" s="1"/>
  <c r="K285" i="24"/>
  <c r="S285" i="24" l="1"/>
  <c r="R285" i="24" s="1"/>
  <c r="X285" i="24" s="1"/>
  <c r="T285" i="24"/>
  <c r="AA285" i="24" s="1"/>
  <c r="W285" i="24" l="1"/>
  <c r="AC285" i="24"/>
  <c r="AB285" i="24"/>
  <c r="AE285" i="24" s="1"/>
  <c r="C286" i="24" s="1"/>
  <c r="Y285" i="24"/>
  <c r="AD285" i="24"/>
  <c r="G286" i="24" s="1"/>
  <c r="AF285" i="24" l="1"/>
  <c r="I286" i="24" s="1"/>
  <c r="H286" i="24"/>
  <c r="J286" i="24" s="1"/>
  <c r="K286" i="24" s="1"/>
  <c r="B286" i="24"/>
  <c r="F286" i="24" s="1"/>
  <c r="D286" i="24"/>
  <c r="U286" i="24" s="1"/>
  <c r="L286" i="24" l="1"/>
  <c r="M286" i="24" s="1"/>
  <c r="E286" i="24"/>
  <c r="P286" i="24"/>
  <c r="Q286" i="24" s="1"/>
  <c r="V286" i="24"/>
  <c r="O286" i="24"/>
  <c r="AG285" i="24"/>
  <c r="S286" i="24" l="1"/>
  <c r="R286" i="24" s="1"/>
  <c r="W286" i="24" s="1"/>
  <c r="T286" i="24" l="1"/>
  <c r="X286" i="24"/>
  <c r="Y286" i="24"/>
  <c r="AB286" i="24" l="1"/>
  <c r="AC286" i="24"/>
  <c r="AA286" i="24"/>
  <c r="AD286" i="24" s="1"/>
  <c r="G287" i="24" s="1"/>
  <c r="AF286" i="24"/>
  <c r="AE286" i="24"/>
  <c r="C287" i="24" s="1"/>
  <c r="B287" i="24" l="1"/>
  <c r="F287" i="24" s="1"/>
  <c r="H287" i="24"/>
  <c r="I287" i="24"/>
  <c r="D287" i="24"/>
  <c r="E287" i="24" l="1"/>
  <c r="J287" i="24"/>
  <c r="P287" i="24" s="1"/>
  <c r="Q287" i="24" s="1"/>
  <c r="O287" i="24"/>
  <c r="U287" i="24"/>
  <c r="AG286" i="24"/>
  <c r="V287" i="24"/>
  <c r="K287" i="24" l="1"/>
  <c r="L287" i="24"/>
  <c r="M287" i="24" s="1"/>
  <c r="S287" i="24" l="1"/>
  <c r="R287" i="24" s="1"/>
  <c r="Y287" i="24" s="1"/>
  <c r="T287" i="24"/>
  <c r="AC287" i="24" s="1"/>
  <c r="AB287" i="24" l="1"/>
  <c r="AA287" i="24"/>
  <c r="W287" i="24"/>
  <c r="X287" i="24"/>
  <c r="AF287" i="24"/>
  <c r="I288" i="24" s="1"/>
  <c r="AE287" i="24" l="1"/>
  <c r="H288" i="24" s="1"/>
  <c r="AD287" i="24"/>
  <c r="D288" i="24"/>
  <c r="V288" i="24" s="1"/>
  <c r="G288" i="24"/>
  <c r="B288" i="24"/>
  <c r="C288" i="24" l="1"/>
  <c r="AG287" i="24"/>
  <c r="U288" i="24"/>
  <c r="F288" i="24"/>
  <c r="E288" i="24"/>
  <c r="J288" i="24"/>
  <c r="O288" i="24"/>
  <c r="L288" i="24" l="1"/>
  <c r="M288" i="24" s="1"/>
  <c r="P288" i="24"/>
  <c r="Q288" i="24" s="1"/>
  <c r="K288" i="24"/>
  <c r="S288" i="24" l="1"/>
  <c r="T288" i="24" s="1"/>
  <c r="AA288" i="24"/>
  <c r="AB288" i="24"/>
  <c r="AC288" i="24"/>
  <c r="R288" i="24"/>
  <c r="Y288" i="24" l="1"/>
  <c r="AF288" i="24" s="1"/>
  <c r="X288" i="24"/>
  <c r="AE288" i="24" s="1"/>
  <c r="W288" i="24"/>
  <c r="AD288" i="24" s="1"/>
  <c r="B289" i="24" l="1"/>
  <c r="G289" i="24"/>
  <c r="D289" i="24"/>
  <c r="U289" i="24" s="1"/>
  <c r="I289" i="24"/>
  <c r="C289" i="24"/>
  <c r="H289" i="24"/>
  <c r="E289" i="24" l="1"/>
  <c r="F289" i="24"/>
  <c r="J289" i="24"/>
  <c r="P289" i="24" s="1"/>
  <c r="Q289" i="24" s="1"/>
  <c r="AG288" i="24"/>
  <c r="V289" i="24"/>
  <c r="O289" i="24"/>
  <c r="L289" i="24" l="1"/>
  <c r="M289" i="24" s="1"/>
  <c r="K289" i="24"/>
  <c r="S289" i="24" l="1"/>
  <c r="T289" i="24"/>
  <c r="AA289" i="24" s="1"/>
  <c r="R289" i="24"/>
  <c r="X289" i="24" s="1"/>
  <c r="AB289" i="24" l="1"/>
  <c r="AC289" i="24"/>
  <c r="W289" i="24"/>
  <c r="AD289" i="24" s="1"/>
  <c r="G290" i="24" s="1"/>
  <c r="Y289" i="24"/>
  <c r="AE289" i="24"/>
  <c r="B290" i="24" l="1"/>
  <c r="C290" i="24"/>
  <c r="H290" i="24"/>
  <c r="AF289" i="24"/>
  <c r="F290" i="24" l="1"/>
  <c r="E290" i="24"/>
  <c r="I290" i="24"/>
  <c r="J290" i="24" s="1"/>
  <c r="D290" i="24"/>
  <c r="P290" i="24" l="1"/>
  <c r="Q290" i="24" s="1"/>
  <c r="L290" i="24"/>
  <c r="M290" i="24" s="1"/>
  <c r="K290" i="24"/>
  <c r="V290" i="24"/>
  <c r="U290" i="24"/>
  <c r="O290" i="24"/>
  <c r="AG289" i="24"/>
  <c r="S290" i="24" l="1"/>
  <c r="T290" i="24" s="1"/>
  <c r="AB290" i="24" s="1"/>
  <c r="AA290" i="24" l="1"/>
  <c r="AC290" i="24"/>
  <c r="R290" i="24"/>
  <c r="Y290" i="24" s="1"/>
  <c r="W290" i="24" l="1"/>
  <c r="AD290" i="24" s="1"/>
  <c r="X290" i="24"/>
  <c r="AE290" i="24" s="1"/>
  <c r="AF290" i="24"/>
  <c r="B291" i="24" l="1"/>
  <c r="G291" i="24"/>
  <c r="D291" i="24"/>
  <c r="I291" i="24"/>
  <c r="C291" i="24"/>
  <c r="H291" i="24"/>
  <c r="F291" i="24" l="1"/>
  <c r="J291" i="24"/>
  <c r="L291" i="24" s="1"/>
  <c r="M291" i="24" s="1"/>
  <c r="AG290" i="24"/>
  <c r="V291" i="24"/>
  <c r="U291" i="24"/>
  <c r="O291" i="24"/>
  <c r="E291" i="24"/>
  <c r="P291" i="24" l="1"/>
  <c r="Q291" i="24" s="1"/>
  <c r="K291" i="24"/>
  <c r="S291" i="24"/>
  <c r="T291" i="24" s="1"/>
  <c r="AC291" i="24" s="1"/>
  <c r="AA291" i="24" l="1"/>
  <c r="AB291" i="24"/>
  <c r="R291" i="24"/>
  <c r="X291" i="24" l="1"/>
  <c r="AE291" i="24" s="1"/>
  <c r="W291" i="24"/>
  <c r="AD291" i="24" s="1"/>
  <c r="Y291" i="24"/>
  <c r="AF291" i="24" s="1"/>
  <c r="D292" i="24" l="1"/>
  <c r="I292" i="24"/>
  <c r="G292" i="24"/>
  <c r="B292" i="24"/>
  <c r="H292" i="24"/>
  <c r="C292" i="24"/>
  <c r="E292" i="24" l="1"/>
  <c r="U292" i="24"/>
  <c r="AG291" i="24"/>
  <c r="O292" i="24"/>
  <c r="V292" i="24"/>
  <c r="J292" i="24"/>
  <c r="F292" i="24"/>
  <c r="P292" i="24" l="1"/>
  <c r="Q292" i="24" s="1"/>
  <c r="K292" i="24"/>
  <c r="L292" i="24"/>
  <c r="M292" i="24" s="1"/>
  <c r="S292" i="24" l="1"/>
  <c r="T292" i="24" s="1"/>
  <c r="AA292" i="24" s="1"/>
  <c r="AB292" i="24"/>
  <c r="AC292" i="24"/>
  <c r="R292" i="24"/>
  <c r="Y292" i="24" s="1"/>
  <c r="W292" i="24" l="1"/>
  <c r="AD292" i="24" s="1"/>
  <c r="B293" i="24" s="1"/>
  <c r="X292" i="24"/>
  <c r="AE292" i="24" s="1"/>
  <c r="AF292" i="24"/>
  <c r="G293" i="24" l="1"/>
  <c r="C293" i="24"/>
  <c r="E293" i="24" s="1"/>
  <c r="H293" i="24"/>
  <c r="I293" i="24"/>
  <c r="D293" i="24"/>
  <c r="J293" i="24" l="1"/>
  <c r="P293" i="24" s="1"/>
  <c r="Q293" i="24" s="1"/>
  <c r="F293" i="24"/>
  <c r="V293" i="24"/>
  <c r="AG292" i="24"/>
  <c r="U293" i="24"/>
  <c r="O293" i="24"/>
  <c r="L293" i="24" l="1"/>
  <c r="M293" i="24" s="1"/>
  <c r="K293" i="24"/>
  <c r="S293" i="24" l="1"/>
  <c r="T293" i="24" s="1"/>
  <c r="AA293" i="24"/>
  <c r="AB293" i="24"/>
  <c r="AC293" i="24"/>
  <c r="R293" i="24"/>
  <c r="Y293" i="24" l="1"/>
  <c r="AF293" i="24" s="1"/>
  <c r="X293" i="24"/>
  <c r="AE293" i="24" s="1"/>
  <c r="W293" i="24"/>
  <c r="AD293" i="24" s="1"/>
  <c r="B294" i="24" l="1"/>
  <c r="G294" i="24"/>
  <c r="H294" i="24"/>
  <c r="C294" i="24"/>
  <c r="I294" i="24"/>
  <c r="D294" i="24"/>
  <c r="E294" i="24" l="1"/>
  <c r="F294" i="24"/>
  <c r="U294" i="24"/>
  <c r="V294" i="24"/>
  <c r="AG293" i="24"/>
  <c r="O294" i="24"/>
  <c r="J294" i="24"/>
  <c r="P294" i="24" l="1"/>
  <c r="Q294" i="24" s="1"/>
  <c r="K294" i="24"/>
  <c r="L294" i="24"/>
  <c r="M294" i="24" s="1"/>
  <c r="S294" i="24" l="1"/>
  <c r="T294" i="24" s="1"/>
  <c r="AB294" i="24" s="1"/>
  <c r="R294" i="24"/>
  <c r="AA294" i="24" l="1"/>
  <c r="AC294" i="24"/>
  <c r="Y294" i="24"/>
  <c r="W294" i="24"/>
  <c r="AD294" i="24" s="1"/>
  <c r="X294" i="24"/>
  <c r="AE294" i="24" s="1"/>
  <c r="AF294" i="24" l="1"/>
  <c r="H295" i="24"/>
  <c r="C295" i="24"/>
  <c r="G295" i="24"/>
  <c r="B295" i="24"/>
  <c r="I295" i="24"/>
  <c r="D295" i="24"/>
  <c r="E295" i="24" l="1"/>
  <c r="J295" i="24"/>
  <c r="P295" i="24" s="1"/>
  <c r="Q295" i="24" s="1"/>
  <c r="F295" i="24"/>
  <c r="V295" i="24"/>
  <c r="O295" i="24"/>
  <c r="U295" i="24"/>
  <c r="AG294" i="24"/>
  <c r="L295" i="24" l="1"/>
  <c r="M295" i="24" s="1"/>
  <c r="K295" i="24"/>
  <c r="S295" i="24" l="1"/>
  <c r="T295" i="24"/>
  <c r="AC295" i="24" s="1"/>
  <c r="R295" i="24"/>
  <c r="Y295" i="24" s="1"/>
  <c r="AA295" i="24" l="1"/>
  <c r="AB295" i="24"/>
  <c r="AF295" i="24"/>
  <c r="I296" i="24" s="1"/>
  <c r="X295" i="24"/>
  <c r="W295" i="24"/>
  <c r="D296" i="24" l="1"/>
  <c r="V296" i="24" s="1"/>
  <c r="AE295" i="24"/>
  <c r="H296" i="24" s="1"/>
  <c r="AD295" i="24"/>
  <c r="G296" i="24" s="1"/>
  <c r="U296" i="24" l="1"/>
  <c r="AG295" i="24"/>
  <c r="C296" i="24"/>
  <c r="B296" i="24"/>
  <c r="J296" i="24"/>
  <c r="L296" i="24" s="1"/>
  <c r="M296" i="24" s="1"/>
  <c r="O296" i="24"/>
  <c r="E296" i="24" l="1"/>
  <c r="F296" i="24"/>
  <c r="P296" i="24"/>
  <c r="Q296" i="24" s="1"/>
  <c r="S296" i="24"/>
  <c r="T296" i="24" s="1"/>
  <c r="AA296" i="24" s="1"/>
  <c r="K296" i="24"/>
  <c r="AC296" i="24" l="1"/>
  <c r="AB296" i="24"/>
  <c r="R296" i="24"/>
  <c r="W296" i="24" s="1"/>
  <c r="AD296" i="24" s="1"/>
  <c r="G297" i="24" l="1"/>
  <c r="B297" i="24"/>
  <c r="X296" i="24"/>
  <c r="AE296" i="24" s="1"/>
  <c r="C297" i="24" s="1"/>
  <c r="Y296" i="24"/>
  <c r="AF296" i="24" s="1"/>
  <c r="I297" i="24" s="1"/>
  <c r="E297" i="24" l="1"/>
  <c r="H297" i="24"/>
  <c r="J297" i="24" s="1"/>
  <c r="K297" i="24" s="1"/>
  <c r="D297" i="24"/>
  <c r="V297" i="24" s="1"/>
  <c r="F297" i="24"/>
  <c r="L297" i="24" l="1"/>
  <c r="M297" i="24" s="1"/>
  <c r="P297" i="24"/>
  <c r="Q297" i="24" s="1"/>
  <c r="U297" i="24"/>
  <c r="AG296" i="24"/>
  <c r="O297" i="24"/>
  <c r="S297" i="24" l="1"/>
  <c r="T297" i="24" s="1"/>
  <c r="AA297" i="24" s="1"/>
  <c r="AB297" i="24" l="1"/>
  <c r="AC297" i="24"/>
  <c r="R297" i="24"/>
  <c r="X297" i="24" s="1"/>
  <c r="AE297" i="24" l="1"/>
  <c r="H298" i="24" s="1"/>
  <c r="W297" i="24"/>
  <c r="AD297" i="24" s="1"/>
  <c r="G298" i="24" s="1"/>
  <c r="Y297" i="24"/>
  <c r="AF297" i="24" s="1"/>
  <c r="C298" i="24" l="1"/>
  <c r="B298" i="24"/>
  <c r="I298" i="24"/>
  <c r="J298" i="24" s="1"/>
  <c r="D298" i="24"/>
  <c r="E298" i="24" l="1"/>
  <c r="F298" i="24"/>
  <c r="L298" i="24"/>
  <c r="M298" i="24" s="1"/>
  <c r="K298" i="24"/>
  <c r="P298" i="24"/>
  <c r="Q298" i="24" s="1"/>
  <c r="V298" i="24"/>
  <c r="O298" i="24"/>
  <c r="U298" i="24"/>
  <c r="AG297" i="24"/>
  <c r="S298" i="24" l="1"/>
  <c r="T298" i="24" s="1"/>
  <c r="AB298" i="24" s="1"/>
  <c r="AA298" i="24" l="1"/>
  <c r="AC298" i="24"/>
  <c r="R298" i="24"/>
  <c r="W298" i="24" l="1"/>
  <c r="AD298" i="24" s="1"/>
  <c r="X298" i="24"/>
  <c r="AE298" i="24" s="1"/>
  <c r="Y298" i="24"/>
  <c r="AF298" i="24" s="1"/>
  <c r="B299" i="24" l="1"/>
  <c r="G299" i="24"/>
  <c r="D299" i="24"/>
  <c r="I299" i="24"/>
  <c r="C299" i="24"/>
  <c r="H299" i="24"/>
  <c r="F299" i="24" l="1"/>
  <c r="AG298" i="24"/>
  <c r="V299" i="24"/>
  <c r="U299" i="24"/>
  <c r="J299" i="24"/>
  <c r="O299" i="24" s="1"/>
  <c r="E299" i="24"/>
  <c r="K299" i="24" l="1"/>
  <c r="L299" i="24"/>
  <c r="M299" i="24" s="1"/>
  <c r="P299" i="24"/>
  <c r="Q299" i="24" s="1"/>
  <c r="S299" i="24" l="1"/>
  <c r="T299" i="24" s="1"/>
  <c r="AC299" i="24" s="1"/>
  <c r="AA299" i="24"/>
  <c r="AB299" i="24"/>
  <c r="R299" i="24"/>
  <c r="X299" i="24" s="1"/>
  <c r="Y299" i="24" l="1"/>
  <c r="AF299" i="24" s="1"/>
  <c r="I300" i="24" s="1"/>
  <c r="W299" i="24"/>
  <c r="AD299" i="24" s="1"/>
  <c r="AE299" i="24"/>
  <c r="D300" i="24" l="1"/>
  <c r="U300" i="24" s="1"/>
  <c r="B300" i="24"/>
  <c r="G300" i="24"/>
  <c r="C300" i="24"/>
  <c r="H300" i="24"/>
  <c r="AG299" i="24" l="1"/>
  <c r="V300" i="24"/>
  <c r="O300" i="24"/>
  <c r="F300" i="24"/>
  <c r="J300" i="24"/>
  <c r="E300" i="24"/>
  <c r="L300" i="24" l="1"/>
  <c r="M300" i="24" s="1"/>
  <c r="P300" i="24"/>
  <c r="Q300" i="24" s="1"/>
  <c r="K300" i="24"/>
  <c r="S300" i="24" l="1"/>
  <c r="T300" i="24" s="1"/>
  <c r="AA300" i="24" s="1"/>
  <c r="R300" i="24"/>
  <c r="W300" i="24" s="1"/>
  <c r="AC300" i="24" l="1"/>
  <c r="AB300" i="24"/>
  <c r="X300" i="24"/>
  <c r="Y300" i="24"/>
  <c r="AF300" i="24" s="1"/>
  <c r="AD300" i="24"/>
  <c r="AE300" i="24" l="1"/>
  <c r="G301" i="24"/>
  <c r="B301" i="24"/>
  <c r="I301" i="24"/>
  <c r="D301" i="24"/>
  <c r="C301" i="24"/>
  <c r="H301" i="24"/>
  <c r="F301" i="24" l="1"/>
  <c r="V301" i="24"/>
  <c r="AG300" i="24"/>
  <c r="U301" i="24"/>
  <c r="E301" i="24"/>
  <c r="J301" i="24"/>
  <c r="O301" i="24" s="1"/>
  <c r="P301" i="24" l="1"/>
  <c r="Q301" i="24" s="1"/>
  <c r="L301" i="24"/>
  <c r="M301" i="24" s="1"/>
  <c r="K301" i="24"/>
  <c r="S301" i="24" l="1"/>
  <c r="T301" i="24" s="1"/>
  <c r="AA301" i="24"/>
  <c r="AB301" i="24"/>
  <c r="AC301" i="24"/>
  <c r="R301" i="24"/>
  <c r="Y301" i="24" l="1"/>
  <c r="AF301" i="24" s="1"/>
  <c r="W301" i="24"/>
  <c r="AD301" i="24" s="1"/>
  <c r="X301" i="24"/>
  <c r="AE301" i="24" s="1"/>
  <c r="H302" i="24" l="1"/>
  <c r="C302" i="24"/>
  <c r="G302" i="24"/>
  <c r="B302" i="24"/>
  <c r="D302" i="24"/>
  <c r="I302" i="24"/>
  <c r="E302" i="24" l="1"/>
  <c r="J302" i="24"/>
  <c r="P302" i="24" s="1"/>
  <c r="Q302" i="24" s="1"/>
  <c r="F302" i="24"/>
  <c r="V302" i="24"/>
  <c r="AG301" i="24"/>
  <c r="U302" i="24"/>
  <c r="O302" i="24" l="1"/>
  <c r="L302" i="24"/>
  <c r="M302" i="24" s="1"/>
  <c r="K302" i="24"/>
  <c r="S302" i="24" l="1"/>
  <c r="AC302" i="24"/>
  <c r="AA302" i="24"/>
  <c r="T302" i="24"/>
  <c r="AB302" i="24" s="1"/>
  <c r="R302" i="24"/>
  <c r="W302" i="24" s="1"/>
  <c r="X302" i="24" l="1"/>
  <c r="Y302" i="24"/>
  <c r="AD302" i="24"/>
  <c r="AE302" i="24" l="1"/>
  <c r="H303" i="24" s="1"/>
  <c r="AF302" i="24"/>
  <c r="I303" i="24" s="1"/>
  <c r="B303" i="24"/>
  <c r="G303" i="24"/>
  <c r="C303" i="24" l="1"/>
  <c r="E303" i="24" s="1"/>
  <c r="D303" i="24"/>
  <c r="U303" i="24" s="1"/>
  <c r="J303" i="24"/>
  <c r="P303" i="24" s="1"/>
  <c r="Q303" i="24" s="1"/>
  <c r="F303" i="24" l="1"/>
  <c r="O303" i="24"/>
  <c r="AG302" i="24"/>
  <c r="V303" i="24"/>
  <c r="L303" i="24"/>
  <c r="M303" i="24" s="1"/>
  <c r="K303" i="24"/>
  <c r="S303" i="24" l="1"/>
  <c r="T303" i="24" s="1"/>
  <c r="AC303" i="24" s="1"/>
  <c r="AB303" i="24" l="1"/>
  <c r="AA303" i="24"/>
  <c r="R303" i="24"/>
  <c r="X303" i="24" s="1"/>
  <c r="AE303" i="24" l="1"/>
  <c r="H304" i="24" s="1"/>
  <c r="Y303" i="24"/>
  <c r="AF303" i="24" s="1"/>
  <c r="W303" i="24"/>
  <c r="AD303" i="24" s="1"/>
  <c r="B304" i="24" s="1"/>
  <c r="C304" i="24" l="1"/>
  <c r="E304" i="24" s="1"/>
  <c r="G304" i="24"/>
  <c r="I304" i="24"/>
  <c r="D304" i="24"/>
  <c r="F304" i="24" l="1"/>
  <c r="J304" i="24"/>
  <c r="L304" i="24" s="1"/>
  <c r="M304" i="24" s="1"/>
  <c r="U304" i="24"/>
  <c r="AG303" i="24"/>
  <c r="V304" i="24"/>
  <c r="O304" i="24" l="1"/>
  <c r="S304" i="24" s="1"/>
  <c r="T304" i="24" s="1"/>
  <c r="AB304" i="24" s="1"/>
  <c r="P304" i="24"/>
  <c r="Q304" i="24" s="1"/>
  <c r="K304" i="24"/>
  <c r="AC304" i="24" l="1"/>
  <c r="AA304" i="24"/>
  <c r="R304" i="24"/>
  <c r="W304" i="24" l="1"/>
  <c r="AD304" i="24" s="1"/>
  <c r="X304" i="24"/>
  <c r="AE304" i="24" s="1"/>
  <c r="Y304" i="24"/>
  <c r="AF304" i="24" s="1"/>
  <c r="B305" i="24" l="1"/>
  <c r="G305" i="24"/>
  <c r="D305" i="24"/>
  <c r="I305" i="24"/>
  <c r="C305" i="24"/>
  <c r="H305" i="24"/>
  <c r="F305" i="24" l="1"/>
  <c r="U305" i="24"/>
  <c r="AG304" i="24"/>
  <c r="V305" i="24"/>
  <c r="J305" i="24"/>
  <c r="O305" i="24" s="1"/>
  <c r="E305" i="24"/>
  <c r="P305" i="24" l="1"/>
  <c r="Q305" i="24" s="1"/>
  <c r="K305" i="24"/>
  <c r="L305" i="24"/>
  <c r="M305" i="24" s="1"/>
  <c r="S305" i="24" l="1"/>
  <c r="T305" i="24" s="1"/>
  <c r="AA305" i="24"/>
  <c r="AB305" i="24"/>
  <c r="AC305" i="24"/>
  <c r="R305" i="24"/>
  <c r="X305" i="24" l="1"/>
  <c r="AE305" i="24" s="1"/>
  <c r="W305" i="24"/>
  <c r="AD305" i="24" s="1"/>
  <c r="Y305" i="24"/>
  <c r="AF305" i="24" s="1"/>
  <c r="H306" i="24" l="1"/>
  <c r="C306" i="24"/>
  <c r="G306" i="24"/>
  <c r="B306" i="24"/>
  <c r="D306" i="24"/>
  <c r="I306" i="24"/>
  <c r="E306" i="24" l="1"/>
  <c r="J306" i="24"/>
  <c r="K306" i="24" s="1"/>
  <c r="F306" i="24"/>
  <c r="AG305" i="24"/>
  <c r="U306" i="24"/>
  <c r="V306" i="24"/>
  <c r="O306" i="24"/>
  <c r="L306" i="24" l="1"/>
  <c r="M306" i="24" s="1"/>
  <c r="P306" i="24"/>
  <c r="Q306" i="24" s="1"/>
  <c r="S306" i="24" l="1"/>
  <c r="T306" i="24" s="1"/>
  <c r="AB306" i="24" s="1"/>
  <c r="AC306" i="24"/>
  <c r="AA306" i="24"/>
  <c r="R306" i="24"/>
  <c r="W306" i="24" s="1"/>
  <c r="X306" i="24" l="1"/>
  <c r="AE306" i="24" s="1"/>
  <c r="C307" i="24" s="1"/>
  <c r="Y306" i="24"/>
  <c r="AF306" i="24" s="1"/>
  <c r="AD306" i="24"/>
  <c r="B307" i="24" s="1"/>
  <c r="G307" i="24" l="1"/>
  <c r="F307" i="24"/>
  <c r="H307" i="24"/>
  <c r="E307" i="24"/>
  <c r="I307" i="24"/>
  <c r="D307" i="24"/>
  <c r="J307" i="24" l="1"/>
  <c r="P307" i="24" s="1"/>
  <c r="Q307" i="24" s="1"/>
  <c r="AG306" i="24"/>
  <c r="V307" i="24"/>
  <c r="O307" i="24"/>
  <c r="U307" i="24"/>
  <c r="L307" i="24" l="1"/>
  <c r="M307" i="24" s="1"/>
  <c r="K307" i="24"/>
  <c r="S307" i="24" l="1"/>
  <c r="T307" i="24" s="1"/>
  <c r="AC307" i="24"/>
  <c r="AA307" i="24"/>
  <c r="AB307" i="24"/>
  <c r="R307" i="24"/>
  <c r="Y307" i="24" s="1"/>
  <c r="X307" i="24" l="1"/>
  <c r="AE307" i="24" s="1"/>
  <c r="H308" i="24" s="1"/>
  <c r="W307" i="24"/>
  <c r="AD307" i="24" s="1"/>
  <c r="B308" i="24" s="1"/>
  <c r="AF307" i="24"/>
  <c r="I308" i="24" s="1"/>
  <c r="D308" i="24" l="1"/>
  <c r="AG307" i="24" s="1"/>
  <c r="G308" i="24"/>
  <c r="J308" i="24" s="1"/>
  <c r="C308" i="24"/>
  <c r="F308" i="24" s="1"/>
  <c r="U308" i="24" l="1"/>
  <c r="V308" i="24"/>
  <c r="O308" i="24"/>
  <c r="E308" i="24"/>
  <c r="K308" i="24"/>
  <c r="L308" i="24"/>
  <c r="M308" i="24" s="1"/>
  <c r="P308" i="24"/>
  <c r="Q308" i="24" s="1"/>
  <c r="S308" i="24" l="1"/>
  <c r="T308" i="24" s="1"/>
  <c r="AA308" i="24" s="1"/>
  <c r="AC308" i="24" l="1"/>
  <c r="AB308" i="24"/>
  <c r="R308" i="24"/>
  <c r="X308" i="24" s="1"/>
  <c r="AE308" i="24" l="1"/>
  <c r="H309" i="24" s="1"/>
  <c r="W308" i="24"/>
  <c r="AD308" i="24" s="1"/>
  <c r="G309" i="24" s="1"/>
  <c r="Y308" i="24"/>
  <c r="AF308" i="24" s="1"/>
  <c r="I309" i="24" s="1"/>
  <c r="C309" i="24"/>
  <c r="D309" i="24" l="1"/>
  <c r="B309" i="24"/>
  <c r="E309" i="24" s="1"/>
  <c r="J309" i="24"/>
  <c r="O309" i="24" l="1"/>
  <c r="AG308" i="24"/>
  <c r="V309" i="24"/>
  <c r="U309" i="24"/>
  <c r="F309" i="24"/>
  <c r="L309" i="24"/>
  <c r="M309" i="24" s="1"/>
  <c r="P309" i="24"/>
  <c r="Q309" i="24" s="1"/>
  <c r="K309" i="24"/>
  <c r="S309" i="24" l="1"/>
  <c r="T309" i="24" s="1"/>
  <c r="AA309" i="24"/>
  <c r="AB309" i="24"/>
  <c r="AC309" i="24"/>
  <c r="R309" i="24"/>
  <c r="X309" i="24" s="1"/>
  <c r="W309" i="24" l="1"/>
  <c r="AD309" i="24" s="1"/>
  <c r="Y309" i="24"/>
  <c r="AF309" i="24" s="1"/>
  <c r="I310" i="24" s="1"/>
  <c r="AE309" i="24"/>
  <c r="D310" i="24" l="1"/>
  <c r="V310" i="24" s="1"/>
  <c r="H310" i="24"/>
  <c r="C310" i="24"/>
  <c r="G310" i="24"/>
  <c r="B310" i="24"/>
  <c r="U310" i="24" l="1"/>
  <c r="AG309" i="24"/>
  <c r="E310" i="24"/>
  <c r="J310" i="24"/>
  <c r="P310" i="24" s="1"/>
  <c r="Q310" i="24" s="1"/>
  <c r="F310" i="24"/>
  <c r="O310" i="24" l="1"/>
  <c r="L310" i="24"/>
  <c r="M310" i="24" s="1"/>
  <c r="K310" i="24"/>
  <c r="S310" i="24" l="1"/>
  <c r="T310" i="24" s="1"/>
  <c r="AB310" i="24" s="1"/>
  <c r="AC310" i="24"/>
  <c r="AA310" i="24"/>
  <c r="R310" i="24"/>
  <c r="W310" i="24" s="1"/>
  <c r="Y310" i="24" l="1"/>
  <c r="AF310" i="24" s="1"/>
  <c r="I311" i="24" s="1"/>
  <c r="X310" i="24"/>
  <c r="AE310" i="24" s="1"/>
  <c r="H311" i="24" s="1"/>
  <c r="AD310" i="24"/>
  <c r="B311" i="24" s="1"/>
  <c r="D311" i="24" l="1"/>
  <c r="AG310" i="24" s="1"/>
  <c r="C311" i="24"/>
  <c r="F311" i="24" s="1"/>
  <c r="G311" i="24"/>
  <c r="J311" i="24" s="1"/>
  <c r="E311" i="24" l="1"/>
  <c r="V311" i="24"/>
  <c r="U311" i="24"/>
  <c r="O311" i="24"/>
  <c r="L311" i="24"/>
  <c r="M311" i="24" s="1"/>
  <c r="K311" i="24"/>
  <c r="P311" i="24"/>
  <c r="Q311" i="24" s="1"/>
  <c r="S311" i="24" l="1"/>
  <c r="T311" i="24" s="1"/>
  <c r="AC311" i="24" s="1"/>
  <c r="AB311" i="24" l="1"/>
  <c r="AA311" i="24"/>
  <c r="R311" i="24"/>
  <c r="X311" i="24" s="1"/>
  <c r="W311" i="24" l="1"/>
  <c r="AD311" i="24" s="1"/>
  <c r="B312" i="24" s="1"/>
  <c r="AE311" i="24"/>
  <c r="H312" i="24" s="1"/>
  <c r="Y311" i="24"/>
  <c r="AF311" i="24" s="1"/>
  <c r="D312" i="24" s="1"/>
  <c r="U312" i="24" s="1"/>
  <c r="C312" i="24" l="1"/>
  <c r="F312" i="24" s="1"/>
  <c r="G312" i="24"/>
  <c r="AG311" i="24"/>
  <c r="V312" i="24"/>
  <c r="I312" i="24"/>
  <c r="E312" i="24" l="1"/>
  <c r="J312" i="24"/>
  <c r="O312" i="24" s="1"/>
  <c r="P312" i="24" l="1"/>
  <c r="Q312" i="24" s="1"/>
  <c r="L312" i="24"/>
  <c r="M312" i="24" s="1"/>
  <c r="K312" i="24"/>
  <c r="S312" i="24" l="1"/>
  <c r="T312" i="24" s="1"/>
  <c r="AA312" i="24" s="1"/>
  <c r="R312" i="24"/>
  <c r="AC312" i="24" l="1"/>
  <c r="AB312" i="24"/>
  <c r="W312" i="24"/>
  <c r="AD312" i="24" s="1"/>
  <c r="X312" i="24"/>
  <c r="Y312" i="24"/>
  <c r="AF312" i="24" s="1"/>
  <c r="AE312" i="24" l="1"/>
  <c r="C313" i="24"/>
  <c r="H313" i="24"/>
  <c r="I313" i="24"/>
  <c r="D313" i="24"/>
  <c r="G313" i="24"/>
  <c r="B313" i="24"/>
  <c r="J313" i="24" l="1"/>
  <c r="P313" i="24" s="1"/>
  <c r="Q313" i="24" s="1"/>
  <c r="F313" i="24"/>
  <c r="AG312" i="24"/>
  <c r="U313" i="24"/>
  <c r="V313" i="24"/>
  <c r="E313" i="24"/>
  <c r="O313" i="24" l="1"/>
  <c r="K313" i="24"/>
  <c r="L313" i="24"/>
  <c r="M313" i="24" s="1"/>
  <c r="S313" i="24" l="1"/>
  <c r="AA313" i="24"/>
  <c r="AB313" i="24"/>
  <c r="AC313" i="24"/>
  <c r="T313" i="24"/>
  <c r="R313" i="24"/>
  <c r="X313" i="24" s="1"/>
  <c r="W313" i="24" l="1"/>
  <c r="Y313" i="24"/>
  <c r="AE313" i="24"/>
  <c r="AF313" i="24" l="1"/>
  <c r="D314" i="24" s="1"/>
  <c r="AG313" i="24" s="1"/>
  <c r="AD313" i="24"/>
  <c r="G314" i="24" s="1"/>
  <c r="H314" i="24"/>
  <c r="C314" i="24"/>
  <c r="B314" i="24" l="1"/>
  <c r="F314" i="24" s="1"/>
  <c r="U314" i="24"/>
  <c r="V314" i="24"/>
  <c r="I314" i="24"/>
  <c r="E314" i="24" l="1"/>
  <c r="J314" i="24"/>
  <c r="L314" i="24" s="1"/>
  <c r="M314" i="24" s="1"/>
  <c r="O314" i="24" l="1"/>
  <c r="S314" i="24" s="1"/>
  <c r="T314" i="24" s="1"/>
  <c r="AB314" i="24" s="1"/>
  <c r="P314" i="24"/>
  <c r="K314" i="24"/>
  <c r="AA314" i="24" l="1"/>
  <c r="AC314" i="24"/>
  <c r="Q314" i="24"/>
  <c r="R314" i="24" s="1"/>
  <c r="X314" i="24" l="1"/>
  <c r="AE314" i="24" s="1"/>
  <c r="H315" i="24" s="1"/>
  <c r="W314" i="24"/>
  <c r="AD314" i="24" s="1"/>
  <c r="G315" i="24" s="1"/>
  <c r="Y314" i="24"/>
  <c r="AF314" i="24" s="1"/>
  <c r="I315" i="24" s="1"/>
  <c r="C315" i="24" l="1"/>
  <c r="D315" i="24"/>
  <c r="U315" i="24" s="1"/>
  <c r="B315" i="24"/>
  <c r="J315" i="24"/>
  <c r="K315" i="24" s="1"/>
  <c r="F315" i="24" l="1"/>
  <c r="E315" i="24"/>
  <c r="V315" i="24"/>
  <c r="O315" i="24"/>
  <c r="AG314" i="24"/>
  <c r="L315" i="24"/>
  <c r="M315" i="24" s="1"/>
  <c r="P315" i="24"/>
  <c r="Q315" i="24" s="1"/>
  <c r="S315" i="24" l="1"/>
  <c r="T315" i="24" s="1"/>
  <c r="AC315" i="24" s="1"/>
  <c r="AB315" i="24" l="1"/>
  <c r="AA315" i="24"/>
  <c r="R315" i="24"/>
  <c r="X315" i="24" s="1"/>
  <c r="AE315" i="24" l="1"/>
  <c r="H316" i="24" s="1"/>
  <c r="Y315" i="24"/>
  <c r="AF315" i="24" s="1"/>
  <c r="I316" i="24" s="1"/>
  <c r="W315" i="24"/>
  <c r="AD315" i="24" s="1"/>
  <c r="G316" i="24" s="1"/>
  <c r="C316" i="24"/>
  <c r="D316" i="24" l="1"/>
  <c r="U316" i="24" s="1"/>
  <c r="B316" i="24"/>
  <c r="F316" i="24" s="1"/>
  <c r="J316" i="24"/>
  <c r="L316" i="24" s="1"/>
  <c r="M316" i="24" s="1"/>
  <c r="V316" i="24"/>
  <c r="AG315" i="24" l="1"/>
  <c r="O316" i="24"/>
  <c r="S316" i="24" s="1"/>
  <c r="T316" i="24" s="1"/>
  <c r="AA316" i="24" s="1"/>
  <c r="E316" i="24"/>
  <c r="P316" i="24"/>
  <c r="Q316" i="24" s="1"/>
  <c r="K316" i="24"/>
  <c r="AC316" i="24" l="1"/>
  <c r="AB316" i="24"/>
  <c r="R316" i="24"/>
  <c r="X316" i="24" s="1"/>
  <c r="W316" i="24" l="1"/>
  <c r="AD316" i="24" s="1"/>
  <c r="Y316" i="24"/>
  <c r="AF316" i="24" s="1"/>
  <c r="I317" i="24" s="1"/>
  <c r="AE316" i="24"/>
  <c r="H317" i="24" s="1"/>
  <c r="D317" i="24" l="1"/>
  <c r="V317" i="24" s="1"/>
  <c r="G317" i="24"/>
  <c r="J317" i="24" s="1"/>
  <c r="P317" i="24" s="1"/>
  <c r="Q317" i="24" s="1"/>
  <c r="B317" i="24"/>
  <c r="C317" i="24"/>
  <c r="U317" i="24" l="1"/>
  <c r="AG316" i="24"/>
  <c r="F317" i="24"/>
  <c r="O317" i="24"/>
  <c r="E317" i="24"/>
  <c r="K317" i="24"/>
  <c r="L317" i="24"/>
  <c r="M317" i="24" s="1"/>
  <c r="S317" i="24" l="1"/>
  <c r="T317" i="24" s="1"/>
  <c r="AA317" i="24" s="1"/>
  <c r="AC317" i="24" l="1"/>
  <c r="AB317" i="24"/>
  <c r="R317" i="24"/>
  <c r="X317" i="24" s="1"/>
  <c r="Y317" i="24" l="1"/>
  <c r="AF317" i="24" s="1"/>
  <c r="I318" i="24" s="1"/>
  <c r="W317" i="24"/>
  <c r="AD317" i="24" s="1"/>
  <c r="AE317" i="24"/>
  <c r="D318" i="24" l="1"/>
  <c r="U318" i="24" s="1"/>
  <c r="C318" i="24"/>
  <c r="H318" i="24"/>
  <c r="B318" i="24"/>
  <c r="G318" i="24"/>
  <c r="V318" i="24" l="1"/>
  <c r="AG317" i="24"/>
  <c r="J318" i="24"/>
  <c r="P318" i="24" s="1"/>
  <c r="Q318" i="24" s="1"/>
  <c r="E318" i="24"/>
  <c r="F318" i="24"/>
  <c r="O318" i="24" l="1"/>
  <c r="K318" i="24"/>
  <c r="L318" i="24"/>
  <c r="M318" i="24" s="1"/>
  <c r="S318" i="24" l="1"/>
  <c r="T318" i="24" s="1"/>
  <c r="AB318" i="24"/>
  <c r="AC318" i="24"/>
  <c r="AA318" i="24"/>
  <c r="R318" i="24"/>
  <c r="Y318" i="24" l="1"/>
  <c r="AF318" i="24" s="1"/>
  <c r="W318" i="24"/>
  <c r="AD318" i="24" s="1"/>
  <c r="B319" i="24" s="1"/>
  <c r="X318" i="24"/>
  <c r="AE318" i="24" s="1"/>
  <c r="G319" i="24" l="1"/>
  <c r="D319" i="24"/>
  <c r="I319" i="24"/>
  <c r="H319" i="24"/>
  <c r="C319" i="24"/>
  <c r="E319" i="24" s="1"/>
  <c r="J319" i="24" l="1"/>
  <c r="K319" i="24" s="1"/>
  <c r="O319" i="24"/>
  <c r="F319" i="24"/>
  <c r="AG318" i="24"/>
  <c r="V319" i="24"/>
  <c r="U319" i="24"/>
  <c r="L319" i="24" l="1"/>
  <c r="M319" i="24" s="1"/>
  <c r="P319" i="24"/>
  <c r="Q319" i="24" s="1"/>
  <c r="S319" i="24" l="1"/>
  <c r="T319" i="24" s="1"/>
  <c r="AC319" i="24"/>
  <c r="AA319" i="24"/>
  <c r="AB319" i="24"/>
  <c r="R319" i="24"/>
  <c r="X319" i="24" s="1"/>
  <c r="AE319" i="24" l="1"/>
  <c r="C320" i="24" s="1"/>
  <c r="Y319" i="24"/>
  <c r="AF319" i="24" s="1"/>
  <c r="I320" i="24" s="1"/>
  <c r="W319" i="24"/>
  <c r="AD319" i="24" s="1"/>
  <c r="G320" i="24" s="1"/>
  <c r="H320" i="24" l="1"/>
  <c r="J320" i="24" s="1"/>
  <c r="K320" i="24" s="1"/>
  <c r="D320" i="24"/>
  <c r="B320" i="24"/>
  <c r="F320" i="24" s="1"/>
  <c r="O320" i="24" l="1"/>
  <c r="U320" i="24"/>
  <c r="AG319" i="24"/>
  <c r="V320" i="24"/>
  <c r="E320" i="24"/>
  <c r="P320" i="24"/>
  <c r="Q320" i="24" s="1"/>
  <c r="L320" i="24"/>
  <c r="M320" i="24" s="1"/>
  <c r="S320" i="24" l="1"/>
  <c r="T320" i="24" s="1"/>
  <c r="AA320" i="24" s="1"/>
  <c r="AB320" i="24" l="1"/>
  <c r="AC320" i="24"/>
  <c r="R320" i="24"/>
  <c r="W320" i="24" s="1"/>
  <c r="X320" i="24" l="1"/>
  <c r="AE320" i="24" s="1"/>
  <c r="H321" i="24" s="1"/>
  <c r="Y320" i="24"/>
  <c r="AF320" i="24" s="1"/>
  <c r="D321" i="24" s="1"/>
  <c r="U321" i="24" s="1"/>
  <c r="AD320" i="24"/>
  <c r="G321" i="24" s="1"/>
  <c r="AG320" i="24" l="1"/>
  <c r="I321" i="24"/>
  <c r="V321" i="24"/>
  <c r="B321" i="24"/>
  <c r="C321" i="24"/>
  <c r="J321" i="24" l="1"/>
  <c r="K321" i="24" s="1"/>
  <c r="F321" i="24"/>
  <c r="E321" i="24"/>
  <c r="O321" i="24" l="1"/>
  <c r="L321" i="24"/>
  <c r="M321" i="24" s="1"/>
  <c r="P321" i="24"/>
  <c r="Q321" i="24" s="1"/>
  <c r="S321" i="24" l="1"/>
  <c r="T321" i="24" s="1"/>
  <c r="AA321" i="24" s="1"/>
  <c r="AB321" i="24"/>
  <c r="AC321" i="24"/>
  <c r="R321" i="24"/>
  <c r="X321" i="24" s="1"/>
  <c r="AE321" i="24" l="1"/>
  <c r="C322" i="24" s="1"/>
  <c r="W321" i="24"/>
  <c r="AD321" i="24" s="1"/>
  <c r="G322" i="24" s="1"/>
  <c r="Y321" i="24"/>
  <c r="AF321" i="24" s="1"/>
  <c r="I322" i="24" s="1"/>
  <c r="H322" i="24" l="1"/>
  <c r="J322" i="24" s="1"/>
  <c r="L322" i="24" s="1"/>
  <c r="M322" i="24" s="1"/>
  <c r="B322" i="24"/>
  <c r="E322" i="24" s="1"/>
  <c r="D322" i="24"/>
  <c r="AG321" i="24" s="1"/>
  <c r="F322" i="24" l="1"/>
  <c r="V322" i="24"/>
  <c r="K322" i="24"/>
  <c r="P322" i="24"/>
  <c r="Q322" i="24" s="1"/>
  <c r="O322" i="24"/>
  <c r="S322" i="24" s="1"/>
  <c r="T322" i="24" s="1"/>
  <c r="U322" i="24"/>
  <c r="AB322" i="24" l="1"/>
  <c r="AC322" i="24"/>
  <c r="AA322" i="24"/>
  <c r="R322" i="24"/>
  <c r="W322" i="24" s="1"/>
  <c r="AD322" i="24" l="1"/>
  <c r="B323" i="24" s="1"/>
  <c r="X322" i="24"/>
  <c r="AE322" i="24" s="1"/>
  <c r="H323" i="24" s="1"/>
  <c r="Y322" i="24"/>
  <c r="AF322" i="24" s="1"/>
  <c r="I323" i="24" s="1"/>
  <c r="G323" i="24" l="1"/>
  <c r="J323" i="24" s="1"/>
  <c r="P323" i="24" s="1"/>
  <c r="Q323" i="24" s="1"/>
  <c r="C323" i="24"/>
  <c r="E323" i="24" s="1"/>
  <c r="D323" i="24"/>
  <c r="V323" i="24" s="1"/>
  <c r="F323" i="24" l="1"/>
  <c r="AG322" i="24"/>
  <c r="O323" i="24"/>
  <c r="U323" i="24"/>
  <c r="L323" i="24"/>
  <c r="M323" i="24" s="1"/>
  <c r="K323" i="24"/>
  <c r="S323" i="24" l="1"/>
  <c r="T323" i="24" s="1"/>
  <c r="AC323" i="24" s="1"/>
  <c r="AB323" i="24" l="1"/>
  <c r="AA323" i="24"/>
  <c r="R323" i="24"/>
  <c r="X323" i="24" s="1"/>
  <c r="AE323" i="24" l="1"/>
  <c r="H324" i="24" s="1"/>
  <c r="Y323" i="24"/>
  <c r="AF323" i="24" s="1"/>
  <c r="I324" i="24" s="1"/>
  <c r="W323" i="24"/>
  <c r="AD323" i="24" s="1"/>
  <c r="B324" i="24" s="1"/>
  <c r="C324" i="24" l="1"/>
  <c r="E324" i="24" s="1"/>
  <c r="G324" i="24"/>
  <c r="J324" i="24" s="1"/>
  <c r="K324" i="24" s="1"/>
  <c r="D324" i="24"/>
  <c r="U324" i="24" s="1"/>
  <c r="F324" i="24" l="1"/>
  <c r="V324" i="24"/>
  <c r="AG323" i="24"/>
  <c r="O324" i="24"/>
  <c r="L324" i="24"/>
  <c r="M324" i="24" s="1"/>
  <c r="P324" i="24"/>
  <c r="Q324" i="24" s="1"/>
  <c r="S324" i="24" l="1"/>
  <c r="T324" i="24" s="1"/>
  <c r="AA324" i="24" s="1"/>
  <c r="AB324" i="24" l="1"/>
  <c r="AC324" i="24"/>
  <c r="R324" i="24"/>
  <c r="X324" i="24" s="1"/>
  <c r="AE324" i="24" s="1"/>
  <c r="H325" i="24" s="1"/>
  <c r="Y324" i="24" l="1"/>
  <c r="AF324" i="24" s="1"/>
  <c r="I325" i="24" s="1"/>
  <c r="W324" i="24"/>
  <c r="AD324" i="24" s="1"/>
  <c r="B325" i="24" s="1"/>
  <c r="C325" i="24"/>
  <c r="D325" i="24" l="1"/>
  <c r="V325" i="24" s="1"/>
  <c r="G325" i="24"/>
  <c r="J325" i="24" s="1"/>
  <c r="P325" i="24" s="1"/>
  <c r="Q325" i="24" s="1"/>
  <c r="F325" i="24"/>
  <c r="E325" i="24"/>
  <c r="U325" i="24" l="1"/>
  <c r="AG324" i="24"/>
  <c r="O325" i="24"/>
  <c r="L325" i="24"/>
  <c r="M325" i="24" s="1"/>
  <c r="K325" i="24"/>
  <c r="S325" i="24" l="1"/>
  <c r="T325" i="24" s="1"/>
  <c r="AA325" i="24" s="1"/>
  <c r="AC325" i="24" l="1"/>
  <c r="AB325" i="24"/>
  <c r="R325" i="24"/>
  <c r="W325" i="24" s="1"/>
  <c r="AD325" i="24" s="1"/>
  <c r="X325" i="24" l="1"/>
  <c r="AE325" i="24" s="1"/>
  <c r="C326" i="24" s="1"/>
  <c r="Y325" i="24"/>
  <c r="AF325" i="24" s="1"/>
  <c r="D326" i="24" s="1"/>
  <c r="V326" i="24" s="1"/>
  <c r="G326" i="24"/>
  <c r="B326" i="24"/>
  <c r="E326" i="24" l="1"/>
  <c r="U326" i="24"/>
  <c r="AG325" i="24"/>
  <c r="I326" i="24"/>
  <c r="H326" i="24"/>
  <c r="F326" i="24"/>
  <c r="J326" i="24" l="1"/>
  <c r="K326" i="24" s="1"/>
  <c r="O326" i="24"/>
  <c r="P326" i="24" l="1"/>
  <c r="Q326" i="24" s="1"/>
  <c r="L326" i="24"/>
  <c r="M326" i="24" s="1"/>
  <c r="S326" i="24" l="1"/>
  <c r="T326" i="24" s="1"/>
  <c r="AB326" i="24"/>
  <c r="AC326" i="24"/>
  <c r="AA326" i="24"/>
  <c r="R326" i="24"/>
  <c r="Y326" i="24" s="1"/>
  <c r="X326" i="24" l="1"/>
  <c r="AE326" i="24" s="1"/>
  <c r="H327" i="24" s="1"/>
  <c r="W326" i="24"/>
  <c r="AD326" i="24" s="1"/>
  <c r="G327" i="24" s="1"/>
  <c r="AF326" i="24"/>
  <c r="I327" i="24" s="1"/>
  <c r="C327" i="24" l="1"/>
  <c r="D327" i="24"/>
  <c r="AG326" i="24" s="1"/>
  <c r="B327" i="24"/>
  <c r="J327" i="24"/>
  <c r="P327" i="24" s="1"/>
  <c r="Q327" i="24" s="1"/>
  <c r="E327" i="24" l="1"/>
  <c r="U327" i="24"/>
  <c r="O327" i="24"/>
  <c r="V327" i="24"/>
  <c r="F327" i="24"/>
  <c r="L327" i="24"/>
  <c r="M327" i="24" s="1"/>
  <c r="K327" i="24"/>
  <c r="S327" i="24" l="1"/>
  <c r="T327" i="24" s="1"/>
  <c r="AC327" i="24" s="1"/>
  <c r="AA327" i="24" l="1"/>
  <c r="AB327" i="24"/>
  <c r="R327" i="24"/>
  <c r="Y327" i="24" s="1"/>
  <c r="W327" i="24" l="1"/>
  <c r="AD327" i="24" s="1"/>
  <c r="B328" i="24" s="1"/>
  <c r="X327" i="24"/>
  <c r="AE327" i="24" s="1"/>
  <c r="H328" i="24" s="1"/>
  <c r="AF327" i="24"/>
  <c r="D328" i="24" s="1"/>
  <c r="G328" i="24" l="1"/>
  <c r="C328" i="24"/>
  <c r="F328" i="24" s="1"/>
  <c r="I328" i="24"/>
  <c r="U328" i="24"/>
  <c r="AG327" i="24"/>
  <c r="V328" i="24"/>
  <c r="E328" i="24" l="1"/>
  <c r="J328" i="24"/>
  <c r="L328" i="24" s="1"/>
  <c r="M328" i="24" s="1"/>
  <c r="O328" i="24" l="1"/>
  <c r="S328" i="24" s="1"/>
  <c r="T328" i="24" s="1"/>
  <c r="P328" i="24"/>
  <c r="Q328" i="24" s="1"/>
  <c r="K328" i="24"/>
  <c r="AA328" i="24" l="1"/>
  <c r="AC328" i="24"/>
  <c r="AB328" i="24"/>
  <c r="R328" i="24"/>
  <c r="Y328" i="24" s="1"/>
  <c r="W328" i="24" l="1"/>
  <c r="AD328" i="24" s="1"/>
  <c r="G329" i="24" s="1"/>
  <c r="AF328" i="24"/>
  <c r="D329" i="24" s="1"/>
  <c r="U329" i="24" s="1"/>
  <c r="X328" i="24"/>
  <c r="AE328" i="24" s="1"/>
  <c r="H329" i="24" s="1"/>
  <c r="B329" i="24" l="1"/>
  <c r="I329" i="24"/>
  <c r="J329" i="24" s="1"/>
  <c r="AG328" i="24"/>
  <c r="V329" i="24"/>
  <c r="C329" i="24"/>
  <c r="O329" i="24" l="1"/>
  <c r="F329" i="24"/>
  <c r="E329" i="24"/>
  <c r="K329" i="24"/>
  <c r="L329" i="24"/>
  <c r="M329" i="24" s="1"/>
  <c r="P329" i="24"/>
  <c r="Q329" i="24" s="1"/>
  <c r="S329" i="24" l="1"/>
  <c r="T329" i="24" s="1"/>
  <c r="AA329" i="24" s="1"/>
  <c r="AC329" i="24" l="1"/>
  <c r="AB329" i="24"/>
  <c r="R329" i="24"/>
  <c r="W329" i="24" s="1"/>
  <c r="AD329" i="24" s="1"/>
  <c r="B330" i="24" s="1"/>
  <c r="Y329" i="24" l="1"/>
  <c r="AF329" i="24" s="1"/>
  <c r="D330" i="24" s="1"/>
  <c r="U330" i="24" s="1"/>
  <c r="X329" i="24"/>
  <c r="AE329" i="24" s="1"/>
  <c r="H330" i="24" s="1"/>
  <c r="G330" i="24"/>
  <c r="I330" i="24" l="1"/>
  <c r="C330" i="24"/>
  <c r="E330" i="24" s="1"/>
  <c r="V330" i="24"/>
  <c r="AG329" i="24"/>
  <c r="J330" i="24" l="1"/>
  <c r="L330" i="24" s="1"/>
  <c r="M330" i="24" s="1"/>
  <c r="F330" i="24"/>
  <c r="O330" i="24" l="1"/>
  <c r="S330" i="24" s="1"/>
  <c r="T330" i="24" s="1"/>
  <c r="AB330" i="24" s="1"/>
  <c r="P330" i="24"/>
  <c r="K330" i="24"/>
  <c r="AC330" i="24" l="1"/>
  <c r="AA330" i="24"/>
  <c r="Q330" i="24"/>
  <c r="R330" i="24" s="1"/>
  <c r="X330" i="24" l="1"/>
  <c r="AE330" i="24" s="1"/>
  <c r="H331" i="24" s="1"/>
  <c r="Y330" i="24"/>
  <c r="AF330" i="24" s="1"/>
  <c r="I331" i="24" s="1"/>
  <c r="W330" i="24"/>
  <c r="AD330" i="24" s="1"/>
  <c r="G331" i="24" s="1"/>
  <c r="C331" i="24" l="1"/>
  <c r="D331" i="24"/>
  <c r="V331" i="24" s="1"/>
  <c r="B331" i="24"/>
  <c r="J331" i="24"/>
  <c r="E331" i="24" l="1"/>
  <c r="F331" i="24"/>
  <c r="O331" i="24"/>
  <c r="AG330" i="24"/>
  <c r="U331" i="24"/>
  <c r="P331" i="24"/>
  <c r="Q331" i="24" s="1"/>
  <c r="K331" i="24"/>
  <c r="L331" i="24"/>
  <c r="M331" i="24" s="1"/>
  <c r="S331" i="24" l="1"/>
  <c r="T331" i="24" s="1"/>
  <c r="AC331" i="24" s="1"/>
  <c r="AB331" i="24" l="1"/>
  <c r="AA331" i="24"/>
  <c r="R331" i="24"/>
  <c r="W331" i="24" s="1"/>
  <c r="AD331" i="24" l="1"/>
  <c r="Y331" i="24"/>
  <c r="X331" i="24"/>
  <c r="AE331" i="24" s="1"/>
  <c r="C332" i="24" s="1"/>
  <c r="AF331" i="24"/>
  <c r="I332" i="24" s="1"/>
  <c r="B332" i="24"/>
  <c r="G332" i="24"/>
  <c r="D332" i="24" l="1"/>
  <c r="U332" i="24" s="1"/>
  <c r="H332" i="24"/>
  <c r="J332" i="24" s="1"/>
  <c r="P332" i="24" s="1"/>
  <c r="Q332" i="24" s="1"/>
  <c r="E332" i="24"/>
  <c r="F332" i="24"/>
  <c r="AG331" i="24"/>
  <c r="V332" i="24" l="1"/>
  <c r="O332" i="24"/>
  <c r="K332" i="24"/>
  <c r="L332" i="24"/>
  <c r="M332" i="24" s="1"/>
  <c r="S332" i="24" l="1"/>
  <c r="R332" i="24" s="1"/>
  <c r="T332" i="24"/>
  <c r="AA332" i="24" s="1"/>
  <c r="AB332" i="24" l="1"/>
  <c r="AC332" i="24"/>
  <c r="X332" i="24"/>
  <c r="W332" i="24"/>
  <c r="Y332" i="24"/>
  <c r="AE332" i="24" l="1"/>
  <c r="C333" i="24" s="1"/>
  <c r="AF332" i="24"/>
  <c r="AD332" i="24"/>
  <c r="H333" i="24" l="1"/>
  <c r="B333" i="24"/>
  <c r="E333" i="24" s="1"/>
  <c r="G333" i="24"/>
  <c r="I333" i="24"/>
  <c r="D333" i="24"/>
  <c r="J333" i="24" l="1"/>
  <c r="O333" i="24" s="1"/>
  <c r="U333" i="24"/>
  <c r="V333" i="24"/>
  <c r="AG332" i="24"/>
  <c r="F333" i="24"/>
  <c r="L333" i="24" l="1"/>
  <c r="M333" i="24" s="1"/>
  <c r="P333" i="24"/>
  <c r="Q333" i="24" s="1"/>
  <c r="K333" i="24"/>
  <c r="S333" i="24" l="1"/>
  <c r="T333" i="24" s="1"/>
  <c r="AA333" i="24" s="1"/>
  <c r="R333" i="24" l="1"/>
  <c r="W333" i="24" s="1"/>
  <c r="AD333" i="24" s="1"/>
  <c r="AC333" i="24"/>
  <c r="AB333" i="24"/>
  <c r="Y333" i="24"/>
  <c r="AF333" i="24" s="1"/>
  <c r="X333" i="24"/>
  <c r="AE333" i="24" l="1"/>
  <c r="B334" i="24"/>
  <c r="G334" i="24"/>
  <c r="H334" i="24"/>
  <c r="C334" i="24"/>
  <c r="I334" i="24"/>
  <c r="D334" i="24"/>
  <c r="E334" i="24" l="1"/>
  <c r="U334" i="24"/>
  <c r="V334" i="24"/>
  <c r="AG333" i="24"/>
  <c r="F334" i="24"/>
  <c r="J334" i="24"/>
  <c r="O334" i="24" s="1"/>
  <c r="P334" i="24" l="1"/>
  <c r="Q334" i="24" s="1"/>
  <c r="K334" i="24"/>
  <c r="L334" i="24"/>
  <c r="M334" i="24" s="1"/>
  <c r="S334" i="24" l="1"/>
  <c r="T334" i="24" s="1"/>
  <c r="AB334" i="24" s="1"/>
  <c r="R334" i="24"/>
  <c r="X334" i="24" s="1"/>
  <c r="AA334" i="24" l="1"/>
  <c r="AC334" i="24"/>
  <c r="Y334" i="24"/>
  <c r="AF334" i="24" s="1"/>
  <c r="I335" i="24" s="1"/>
  <c r="W334" i="24"/>
  <c r="AD334" i="24" s="1"/>
  <c r="AE334" i="24"/>
  <c r="H335" i="24" s="1"/>
  <c r="D335" i="24" l="1"/>
  <c r="V335" i="24" s="1"/>
  <c r="C335" i="24"/>
  <c r="B335" i="24"/>
  <c r="G335" i="24"/>
  <c r="J335" i="24" s="1"/>
  <c r="U335" i="24" l="1"/>
  <c r="AG334" i="24"/>
  <c r="E335" i="24"/>
  <c r="O335" i="24"/>
  <c r="L335" i="24"/>
  <c r="M335" i="24" s="1"/>
  <c r="P335" i="24"/>
  <c r="Q335" i="24" s="1"/>
  <c r="K335" i="24"/>
  <c r="F335" i="24"/>
  <c r="S335" i="24" l="1"/>
  <c r="T335" i="24" s="1"/>
  <c r="AC335" i="24" s="1"/>
  <c r="AB335" i="24" l="1"/>
  <c r="AA335" i="24"/>
  <c r="R335" i="24"/>
  <c r="W335" i="24" s="1"/>
  <c r="AD335" i="24" l="1"/>
  <c r="G336" i="24" s="1"/>
  <c r="X335" i="24"/>
  <c r="AE335" i="24" s="1"/>
  <c r="H336" i="24" s="1"/>
  <c r="Y335" i="24"/>
  <c r="AF335" i="24" s="1"/>
  <c r="I336" i="24" s="1"/>
  <c r="B336" i="24" l="1"/>
  <c r="D336" i="24"/>
  <c r="AG335" i="24" s="1"/>
  <c r="J336" i="24"/>
  <c r="K336" i="24" s="1"/>
  <c r="C336" i="24"/>
  <c r="E336" i="24" l="1"/>
  <c r="V336" i="24"/>
  <c r="O336" i="24"/>
  <c r="U336" i="24"/>
  <c r="L336" i="24"/>
  <c r="M336" i="24" s="1"/>
  <c r="P336" i="24"/>
  <c r="Q336" i="24" s="1"/>
  <c r="F336" i="24"/>
  <c r="S336" i="24" l="1"/>
  <c r="T336" i="24" s="1"/>
  <c r="AA336" i="24" s="1"/>
  <c r="AB336" i="24" l="1"/>
  <c r="AC336" i="24"/>
  <c r="R336" i="24"/>
  <c r="Y336" i="24" s="1"/>
  <c r="W336" i="24" l="1"/>
  <c r="AD336" i="24" s="1"/>
  <c r="B337" i="24" s="1"/>
  <c r="X336" i="24"/>
  <c r="AE336" i="24" s="1"/>
  <c r="C337" i="24" s="1"/>
  <c r="AF336" i="24"/>
  <c r="D337" i="24" s="1"/>
  <c r="AG336" i="24" s="1"/>
  <c r="H337" i="24" l="1"/>
  <c r="F337" i="24"/>
  <c r="E337" i="24"/>
  <c r="U337" i="24"/>
  <c r="V337" i="24"/>
  <c r="I337" i="24"/>
  <c r="G337" i="24"/>
  <c r="J337" i="24" l="1"/>
  <c r="K337" i="24" s="1"/>
  <c r="O337" i="24" l="1"/>
  <c r="P337" i="24"/>
  <c r="Q337" i="24" s="1"/>
  <c r="L337" i="24"/>
  <c r="M337" i="24" s="1"/>
  <c r="S337" i="24" l="1"/>
  <c r="T337" i="24" s="1"/>
  <c r="AA337" i="24" s="1"/>
  <c r="AB337" i="24"/>
  <c r="AC337" i="24"/>
  <c r="R337" i="24"/>
  <c r="Y337" i="24" s="1"/>
  <c r="AF337" i="24" l="1"/>
  <c r="I338" i="24" s="1"/>
  <c r="X337" i="24"/>
  <c r="AE337" i="24" s="1"/>
  <c r="H338" i="24" s="1"/>
  <c r="W337" i="24"/>
  <c r="AD337" i="24" s="1"/>
  <c r="G338" i="24" s="1"/>
  <c r="D338" i="24"/>
  <c r="U338" i="24" s="1"/>
  <c r="B338" i="24" l="1"/>
  <c r="C338" i="24"/>
  <c r="V338" i="24"/>
  <c r="AG337" i="24"/>
  <c r="J338" i="24"/>
  <c r="O338" i="24" s="1"/>
  <c r="E338" i="24" l="1"/>
  <c r="F338" i="24"/>
  <c r="K338" i="24"/>
  <c r="L338" i="24"/>
  <c r="M338" i="24" s="1"/>
  <c r="P338" i="24"/>
  <c r="Q338" i="24" s="1"/>
  <c r="S338" i="24" l="1"/>
  <c r="T338" i="24" s="1"/>
  <c r="AB338" i="24" s="1"/>
  <c r="AA338" i="24"/>
  <c r="R338" i="24"/>
  <c r="Y338" i="24" s="1"/>
  <c r="AC338" i="24" l="1"/>
  <c r="AF338" i="24" s="1"/>
  <c r="I339" i="24" s="1"/>
  <c r="W338" i="24"/>
  <c r="AD338" i="24" s="1"/>
  <c r="G339" i="24" s="1"/>
  <c r="X338" i="24"/>
  <c r="AE338" i="24" s="1"/>
  <c r="D339" i="24" l="1"/>
  <c r="U339" i="24" s="1"/>
  <c r="B339" i="24"/>
  <c r="H339" i="24"/>
  <c r="J339" i="24" s="1"/>
  <c r="L339" i="24" s="1"/>
  <c r="M339" i="24" s="1"/>
  <c r="C339" i="24"/>
  <c r="AG338" i="24" l="1"/>
  <c r="V339" i="24"/>
  <c r="K339" i="24"/>
  <c r="P339" i="24"/>
  <c r="Q339" i="24" s="1"/>
  <c r="E339" i="24"/>
  <c r="F339" i="24"/>
  <c r="O339" i="24"/>
  <c r="S339" i="24" s="1"/>
  <c r="T339" i="24" l="1"/>
  <c r="R339" i="24"/>
  <c r="Y339" i="24" s="1"/>
  <c r="AC339" i="24" l="1"/>
  <c r="AB339" i="24"/>
  <c r="AA339" i="24"/>
  <c r="W339" i="24"/>
  <c r="X339" i="24"/>
  <c r="AF339" i="24"/>
  <c r="I340" i="24" l="1"/>
  <c r="D340" i="24"/>
  <c r="V340" i="24" s="1"/>
  <c r="AE339" i="24"/>
  <c r="AD339" i="24"/>
  <c r="U340" i="24" l="1"/>
  <c r="B340" i="24"/>
  <c r="G340" i="24"/>
  <c r="C340" i="24"/>
  <c r="H340" i="24"/>
  <c r="AG339" i="24"/>
  <c r="J340" i="24" l="1"/>
  <c r="K340" i="24" s="1"/>
  <c r="E340" i="24"/>
  <c r="F340" i="24"/>
  <c r="O340" i="24" l="1"/>
  <c r="P340" i="24"/>
  <c r="Q340" i="24" s="1"/>
  <c r="L340" i="24"/>
  <c r="M340" i="24" s="1"/>
  <c r="S340" i="24" l="1"/>
  <c r="T340" i="24" s="1"/>
  <c r="AA340" i="24"/>
  <c r="AB340" i="24"/>
  <c r="AC340" i="24"/>
  <c r="R340" i="24"/>
  <c r="Y340" i="24" l="1"/>
  <c r="AF340" i="24" s="1"/>
  <c r="X340" i="24"/>
  <c r="AE340" i="24" s="1"/>
  <c r="W340" i="24"/>
  <c r="AD340" i="24" s="1"/>
  <c r="H341" i="24" l="1"/>
  <c r="C341" i="24"/>
  <c r="B341" i="24"/>
  <c r="G341" i="24"/>
  <c r="D341" i="24"/>
  <c r="I341" i="24"/>
  <c r="J341" i="24" l="1"/>
  <c r="P341" i="24" s="1"/>
  <c r="Q341" i="24" s="1"/>
  <c r="F341" i="24"/>
  <c r="E341" i="24"/>
  <c r="O341" i="24"/>
  <c r="AG340" i="24"/>
  <c r="U341" i="24"/>
  <c r="V341" i="24"/>
  <c r="K341" i="24" l="1"/>
  <c r="L341" i="24"/>
  <c r="M341" i="24" s="1"/>
  <c r="S341" i="24" l="1"/>
  <c r="T341" i="24"/>
  <c r="AA341" i="24" s="1"/>
  <c r="R341" i="24"/>
  <c r="AC341" i="24" l="1"/>
  <c r="AB341" i="24"/>
  <c r="W341" i="24"/>
  <c r="Y341" i="24"/>
  <c r="X341" i="24"/>
  <c r="AE341" i="24" l="1"/>
  <c r="C342" i="24" s="1"/>
  <c r="AF341" i="24"/>
  <c r="I342" i="24" s="1"/>
  <c r="AD341" i="24"/>
  <c r="H342" i="24" l="1"/>
  <c r="D342" i="24"/>
  <c r="AG341" i="24" s="1"/>
  <c r="B342" i="24"/>
  <c r="E342" i="24" s="1"/>
  <c r="G342" i="24"/>
  <c r="J342" i="24" l="1"/>
  <c r="P342" i="24" s="1"/>
  <c r="Q342" i="24" s="1"/>
  <c r="V342" i="24"/>
  <c r="U342" i="24"/>
  <c r="F342" i="24"/>
  <c r="O342" i="24"/>
  <c r="K342" i="24" l="1"/>
  <c r="L342" i="24"/>
  <c r="M342" i="24" s="1"/>
  <c r="S342" i="24" l="1"/>
  <c r="T342" i="24" s="1"/>
  <c r="AB342" i="24" s="1"/>
  <c r="AC342" i="24"/>
  <c r="AA342" i="24"/>
  <c r="R342" i="24"/>
  <c r="W342" i="24" s="1"/>
  <c r="Y342" i="24" l="1"/>
  <c r="AF342" i="24" s="1"/>
  <c r="I343" i="24" s="1"/>
  <c r="X342" i="24"/>
  <c r="AE342" i="24" s="1"/>
  <c r="H343" i="24" s="1"/>
  <c r="AD342" i="24"/>
  <c r="G343" i="24" s="1"/>
  <c r="B343" i="24" l="1"/>
  <c r="C343" i="24"/>
  <c r="D343" i="24"/>
  <c r="U343" i="24" s="1"/>
  <c r="J343" i="24"/>
  <c r="E343" i="24" l="1"/>
  <c r="F343" i="24"/>
  <c r="O343" i="24"/>
  <c r="AG342" i="24"/>
  <c r="V343" i="24"/>
  <c r="L343" i="24"/>
  <c r="M343" i="24" s="1"/>
  <c r="P343" i="24"/>
  <c r="Q343" i="24" s="1"/>
  <c r="K343" i="24"/>
  <c r="S343" i="24" l="1"/>
  <c r="T343" i="24" s="1"/>
  <c r="AC343" i="24" s="1"/>
  <c r="AA343" i="24" l="1"/>
  <c r="AB343" i="24"/>
  <c r="R343" i="24"/>
  <c r="Y343" i="24" s="1"/>
  <c r="AF343" i="24" s="1"/>
  <c r="I344" i="24" s="1"/>
  <c r="X343" i="24" l="1"/>
  <c r="AE343" i="24" s="1"/>
  <c r="H344" i="24" s="1"/>
  <c r="W343" i="24"/>
  <c r="AD343" i="24" s="1"/>
  <c r="G344" i="24" s="1"/>
  <c r="D344" i="24"/>
  <c r="U344" i="24" s="1"/>
  <c r="C344" i="24" l="1"/>
  <c r="B344" i="24"/>
  <c r="V344" i="24"/>
  <c r="AG343" i="24"/>
  <c r="J344" i="24"/>
  <c r="O344" i="24"/>
  <c r="F344" i="24" l="1"/>
  <c r="E344" i="24"/>
  <c r="P344" i="24"/>
  <c r="Q344" i="24" s="1"/>
  <c r="K344" i="24"/>
  <c r="L344" i="24"/>
  <c r="M344" i="24" s="1"/>
  <c r="S344" i="24" l="1"/>
  <c r="T344" i="24" s="1"/>
  <c r="AA344" i="24"/>
  <c r="AB344" i="24"/>
  <c r="AC344" i="24"/>
  <c r="R344" i="24"/>
  <c r="X344" i="24" l="1"/>
  <c r="AE344" i="24" s="1"/>
  <c r="W344" i="24"/>
  <c r="AD344" i="24" s="1"/>
  <c r="Y344" i="24"/>
  <c r="AF344" i="24" s="1"/>
  <c r="I345" i="24" l="1"/>
  <c r="D345" i="24"/>
  <c r="B345" i="24"/>
  <c r="G345" i="24"/>
  <c r="H345" i="24"/>
  <c r="C345" i="24"/>
  <c r="J345" i="24" l="1"/>
  <c r="K345" i="24" s="1"/>
  <c r="E345" i="24"/>
  <c r="U345" i="24"/>
  <c r="V345" i="24"/>
  <c r="O345" i="24"/>
  <c r="AG344" i="24"/>
  <c r="F345" i="24"/>
  <c r="L345" i="24" l="1"/>
  <c r="M345" i="24" s="1"/>
  <c r="P345" i="24"/>
  <c r="Q345" i="24" s="1"/>
  <c r="S345" i="24" l="1"/>
  <c r="AA345" i="24"/>
  <c r="AB345" i="24"/>
  <c r="AC345" i="24"/>
  <c r="T345" i="24"/>
  <c r="R345" i="24"/>
  <c r="W345" i="24" l="1"/>
  <c r="X345" i="24"/>
  <c r="Y345" i="24"/>
  <c r="AF345" i="24" l="1"/>
  <c r="I346" i="24" s="1"/>
  <c r="AE345" i="24"/>
  <c r="AD345" i="24"/>
  <c r="D346" i="24" l="1"/>
  <c r="AG345" i="24" s="1"/>
  <c r="G346" i="24"/>
  <c r="B346" i="24"/>
  <c r="C346" i="24"/>
  <c r="H346" i="24"/>
  <c r="V346" i="24" l="1"/>
  <c r="U346" i="24"/>
  <c r="F346" i="24"/>
  <c r="E346" i="24"/>
  <c r="J346" i="24"/>
  <c r="O346" i="24" s="1"/>
  <c r="L346" i="24" l="1"/>
  <c r="M346" i="24" s="1"/>
  <c r="P346" i="24"/>
  <c r="Q346" i="24" s="1"/>
  <c r="K346" i="24"/>
  <c r="S346" i="24" l="1"/>
  <c r="T346" i="24" s="1"/>
  <c r="AB346" i="24" s="1"/>
  <c r="AA346" i="24"/>
  <c r="R346" i="24"/>
  <c r="X346" i="24" s="1"/>
  <c r="AC346" i="24" l="1"/>
  <c r="Y346" i="24"/>
  <c r="AF346" i="24" s="1"/>
  <c r="I347" i="24" s="1"/>
  <c r="W346" i="24"/>
  <c r="AD346" i="24" s="1"/>
  <c r="AE346" i="24"/>
  <c r="D347" i="24" l="1"/>
  <c r="AG346" i="24" s="1"/>
  <c r="C347" i="24"/>
  <c r="H347" i="24"/>
  <c r="B347" i="24"/>
  <c r="G347" i="24"/>
  <c r="E347" i="24" l="1"/>
  <c r="V347" i="24"/>
  <c r="U347" i="24"/>
  <c r="J347" i="24"/>
  <c r="L347" i="24" s="1"/>
  <c r="M347" i="24" s="1"/>
  <c r="F347" i="24"/>
  <c r="O347" i="24" l="1"/>
  <c r="S347" i="24" s="1"/>
  <c r="T347" i="24" s="1"/>
  <c r="AC347" i="24" s="1"/>
  <c r="P347" i="24"/>
  <c r="Q347" i="24" s="1"/>
  <c r="K347" i="24"/>
  <c r="AB347" i="24" l="1"/>
  <c r="AA347" i="24"/>
  <c r="R347" i="24"/>
  <c r="W347" i="24" s="1"/>
  <c r="AD347" i="24" s="1"/>
  <c r="B348" i="24" s="1"/>
  <c r="X347" i="24" l="1"/>
  <c r="AE347" i="24" s="1"/>
  <c r="C348" i="24" s="1"/>
  <c r="Y347" i="24"/>
  <c r="AF347" i="24" s="1"/>
  <c r="I348" i="24" s="1"/>
  <c r="G348" i="24"/>
  <c r="H348" i="24" l="1"/>
  <c r="J348" i="24" s="1"/>
  <c r="P348" i="24" s="1"/>
  <c r="Q348" i="24" s="1"/>
  <c r="D348" i="24"/>
  <c r="V348" i="24" s="1"/>
  <c r="E348" i="24"/>
  <c r="F348" i="24"/>
  <c r="O348" i="24" l="1"/>
  <c r="U348" i="24"/>
  <c r="AG347" i="24"/>
  <c r="K348" i="24"/>
  <c r="L348" i="24"/>
  <c r="M348" i="24" s="1"/>
  <c r="S348" i="24" l="1"/>
  <c r="R348" i="24" s="1"/>
  <c r="Y348" i="24" s="1"/>
  <c r="T348" i="24" l="1"/>
  <c r="W348" i="24"/>
  <c r="X348" i="24"/>
  <c r="AA348" i="24" l="1"/>
  <c r="AC348" i="24"/>
  <c r="AF348" i="24" s="1"/>
  <c r="AB348" i="24"/>
  <c r="AE348" i="24" s="1"/>
  <c r="AD348" i="24"/>
  <c r="G349" i="24" s="1"/>
  <c r="B349" i="24" l="1"/>
  <c r="C349" i="24"/>
  <c r="H349" i="24"/>
  <c r="I349" i="24"/>
  <c r="D349" i="24"/>
  <c r="E349" i="24" l="1"/>
  <c r="F349" i="24"/>
  <c r="J349" i="24"/>
  <c r="P349" i="24" s="1"/>
  <c r="Q349" i="24" s="1"/>
  <c r="U349" i="24"/>
  <c r="AG348" i="24"/>
  <c r="V349" i="24"/>
  <c r="O349" i="24"/>
  <c r="L349" i="24" l="1"/>
  <c r="M349" i="24" s="1"/>
  <c r="K349" i="24"/>
  <c r="S349" i="24" l="1"/>
  <c r="T349" i="24"/>
  <c r="AA349" i="24" s="1"/>
  <c r="R349" i="24"/>
  <c r="X349" i="24" s="1"/>
  <c r="AB349" i="24" l="1"/>
  <c r="AC349" i="24"/>
  <c r="W349" i="24"/>
  <c r="AD349" i="24" s="1"/>
  <c r="G350" i="24" s="1"/>
  <c r="Y349" i="24"/>
  <c r="AE349" i="24"/>
  <c r="H350" i="24" s="1"/>
  <c r="B350" i="24" l="1"/>
  <c r="AF349" i="24"/>
  <c r="D350" i="24" s="1"/>
  <c r="AG349" i="24" s="1"/>
  <c r="C350" i="24"/>
  <c r="F350" i="24" l="1"/>
  <c r="V350" i="24"/>
  <c r="U350" i="24"/>
  <c r="I350" i="24"/>
  <c r="E350" i="24"/>
  <c r="J350" i="24" l="1"/>
  <c r="O350" i="24"/>
  <c r="L350" i="24" l="1"/>
  <c r="M350" i="24" s="1"/>
  <c r="K350" i="24"/>
  <c r="P350" i="24"/>
  <c r="Q350" i="24" s="1"/>
  <c r="S350" i="24" l="1"/>
  <c r="T350" i="24" s="1"/>
  <c r="AB350" i="24" s="1"/>
  <c r="AC350" i="24"/>
  <c r="AA350" i="24"/>
  <c r="R350" i="24"/>
  <c r="X350" i="24" s="1"/>
  <c r="AE350" i="24" l="1"/>
  <c r="C351" i="24" s="1"/>
  <c r="Y350" i="24"/>
  <c r="AF350" i="24" s="1"/>
  <c r="W350" i="24"/>
  <c r="AD350" i="24" s="1"/>
  <c r="H351" i="24" l="1"/>
  <c r="I351" i="24"/>
  <c r="D351" i="24"/>
  <c r="G351" i="24"/>
  <c r="B351" i="24"/>
  <c r="J351" i="24" l="1"/>
  <c r="K351" i="24" s="1"/>
  <c r="E351" i="24"/>
  <c r="F351" i="24"/>
  <c r="O351" i="24"/>
  <c r="V351" i="24"/>
  <c r="AG350" i="24"/>
  <c r="U351" i="24"/>
  <c r="P351" i="24" l="1"/>
  <c r="Q351" i="24" s="1"/>
  <c r="L351" i="24"/>
  <c r="M351" i="24" s="1"/>
  <c r="S351" i="24" l="1"/>
  <c r="T351" i="24"/>
  <c r="AC351" i="24" s="1"/>
  <c r="R351" i="24"/>
  <c r="W351" i="24" s="1"/>
  <c r="AB351" i="24" l="1"/>
  <c r="AA351" i="24"/>
  <c r="AD351" i="24" s="1"/>
  <c r="X351" i="24"/>
  <c r="Y351" i="24"/>
  <c r="B352" i="24" l="1"/>
  <c r="G352" i="24"/>
  <c r="AF351" i="24"/>
  <c r="AE351" i="24"/>
  <c r="I352" i="24" l="1"/>
  <c r="D352" i="24"/>
  <c r="C352" i="24"/>
  <c r="F352" i="24" s="1"/>
  <c r="H352" i="24"/>
  <c r="J352" i="24" l="1"/>
  <c r="P352" i="24" s="1"/>
  <c r="Q352" i="24" s="1"/>
  <c r="E352" i="24"/>
  <c r="V352" i="24"/>
  <c r="U352" i="24"/>
  <c r="AG351" i="24"/>
  <c r="O352" i="24" l="1"/>
  <c r="L352" i="24"/>
  <c r="M352" i="24" s="1"/>
  <c r="K352" i="24"/>
  <c r="S352" i="24" l="1"/>
  <c r="AB352" i="24"/>
  <c r="AC352" i="24"/>
  <c r="T352" i="24"/>
  <c r="AA352" i="24" s="1"/>
  <c r="R352" i="24"/>
  <c r="W352" i="24" s="1"/>
  <c r="Y352" i="24" l="1"/>
  <c r="AF352" i="24" s="1"/>
  <c r="X352" i="24"/>
  <c r="AD352" i="24"/>
  <c r="AE352" i="24" l="1"/>
  <c r="H353" i="24" s="1"/>
  <c r="I353" i="24"/>
  <c r="D353" i="24"/>
  <c r="V353" i="24" s="1"/>
  <c r="G353" i="24"/>
  <c r="B353" i="24"/>
  <c r="C353" i="24" l="1"/>
  <c r="F353" i="24" s="1"/>
  <c r="AG352" i="24"/>
  <c r="U353" i="24"/>
  <c r="J353" i="24"/>
  <c r="L353" i="24" s="1"/>
  <c r="M353" i="24" s="1"/>
  <c r="O353" i="24" l="1"/>
  <c r="S353" i="24" s="1"/>
  <c r="T353" i="24" s="1"/>
  <c r="AA353" i="24" s="1"/>
  <c r="E353" i="24"/>
  <c r="K353" i="24"/>
  <c r="P353" i="24"/>
  <c r="Q353" i="24" s="1"/>
  <c r="AC353" i="24" l="1"/>
  <c r="AB353" i="24"/>
  <c r="R353" i="24"/>
  <c r="X353" i="24" s="1"/>
  <c r="AE353" i="24" s="1"/>
  <c r="Y353" i="24" l="1"/>
  <c r="AF353" i="24" s="1"/>
  <c r="W353" i="24"/>
  <c r="AD353" i="24" s="1"/>
  <c r="G354" i="24" s="1"/>
  <c r="C354" i="24"/>
  <c r="H354" i="24"/>
  <c r="I354" i="24" l="1"/>
  <c r="J354" i="24" s="1"/>
  <c r="D354" i="24"/>
  <c r="AG353" i="24" s="1"/>
  <c r="B354" i="24"/>
  <c r="F354" i="24" s="1"/>
  <c r="E354" i="24" l="1"/>
  <c r="L354" i="24"/>
  <c r="M354" i="24" s="1"/>
  <c r="P354" i="24"/>
  <c r="Q354" i="24" s="1"/>
  <c r="K354" i="24"/>
  <c r="O354" i="24"/>
  <c r="U354" i="24"/>
  <c r="V354" i="24"/>
  <c r="S354" i="24" l="1"/>
  <c r="T354" i="24" l="1"/>
  <c r="R354" i="24"/>
  <c r="AB354" i="24" l="1"/>
  <c r="AA354" i="24"/>
  <c r="AC354" i="24"/>
  <c r="W354" i="24"/>
  <c r="X354" i="24"/>
  <c r="Y354" i="24"/>
  <c r="AF354" i="24" l="1"/>
  <c r="AE354" i="24"/>
  <c r="AD354" i="24"/>
  <c r="G355" i="24" l="1"/>
  <c r="B355" i="24"/>
  <c r="C355" i="24"/>
  <c r="H355" i="24"/>
  <c r="D355" i="24"/>
  <c r="I355" i="24"/>
  <c r="F355" i="24" l="1"/>
  <c r="E355" i="24"/>
  <c r="V355" i="24"/>
  <c r="AG354" i="24"/>
  <c r="U355" i="24"/>
  <c r="J355" i="24"/>
  <c r="O355" i="24" s="1"/>
  <c r="P355" i="24" l="1"/>
  <c r="Q355" i="24" s="1"/>
  <c r="K355" i="24"/>
  <c r="L355" i="24"/>
  <c r="M355" i="24" s="1"/>
  <c r="S355" i="24" l="1"/>
  <c r="T355" i="24" s="1"/>
  <c r="AC355" i="24" s="1"/>
  <c r="AA355" i="24"/>
  <c r="AB355" i="24"/>
  <c r="R355" i="24"/>
  <c r="W355" i="24" l="1"/>
  <c r="AD355" i="24" s="1"/>
  <c r="X355" i="24"/>
  <c r="AE355" i="24" s="1"/>
  <c r="Y355" i="24"/>
  <c r="AF355" i="24" s="1"/>
  <c r="I356" i="24" l="1"/>
  <c r="D356" i="24"/>
  <c r="H356" i="24"/>
  <c r="C356" i="24"/>
  <c r="G356" i="24"/>
  <c r="B356" i="24"/>
  <c r="F356" i="24" l="1"/>
  <c r="V356" i="24"/>
  <c r="AG355" i="24"/>
  <c r="U356" i="24"/>
  <c r="E356" i="24"/>
  <c r="J356" i="24"/>
  <c r="O356" i="24" s="1"/>
  <c r="P356" i="24" l="1"/>
  <c r="Q356" i="24" s="1"/>
  <c r="L356" i="24"/>
  <c r="M356" i="24" s="1"/>
  <c r="K356" i="24"/>
  <c r="S356" i="24" l="1"/>
  <c r="T356" i="24" s="1"/>
  <c r="AA356" i="24" s="1"/>
  <c r="R356" i="24"/>
  <c r="AC356" i="24" l="1"/>
  <c r="AB356" i="24"/>
  <c r="X356" i="24"/>
  <c r="Y356" i="24"/>
  <c r="AF356" i="24" s="1"/>
  <c r="W356" i="24"/>
  <c r="AD356" i="24" s="1"/>
  <c r="AE356" i="24" l="1"/>
  <c r="H357" i="24" s="1"/>
  <c r="B357" i="24"/>
  <c r="G357" i="24"/>
  <c r="I357" i="24"/>
  <c r="D357" i="24"/>
  <c r="C357" i="24"/>
  <c r="F357" i="24" l="1"/>
  <c r="V357" i="24"/>
  <c r="AG356" i="24"/>
  <c r="U357" i="24"/>
  <c r="J357" i="24"/>
  <c r="O357" i="24" s="1"/>
  <c r="E357" i="24"/>
  <c r="K357" i="24" l="1"/>
  <c r="L357" i="24"/>
  <c r="M357" i="24" s="1"/>
  <c r="P357" i="24"/>
  <c r="Q357" i="24" s="1"/>
  <c r="S357" i="24" l="1"/>
  <c r="T357" i="24" s="1"/>
  <c r="AA357" i="24" s="1"/>
  <c r="AC357" i="24"/>
  <c r="R357" i="24"/>
  <c r="Y357" i="24" s="1"/>
  <c r="AB357" i="24" l="1"/>
  <c r="X357" i="24"/>
  <c r="AE357" i="24" s="1"/>
  <c r="AF357" i="24"/>
  <c r="I358" i="24" s="1"/>
  <c r="W357" i="24"/>
  <c r="AD357" i="24" s="1"/>
  <c r="D358" i="24" l="1"/>
  <c r="AG357" i="24" s="1"/>
  <c r="C358" i="24"/>
  <c r="H358" i="24"/>
  <c r="G358" i="24"/>
  <c r="B358" i="24"/>
  <c r="U358" i="24" l="1"/>
  <c r="V358" i="24"/>
  <c r="E358" i="24"/>
  <c r="J358" i="24"/>
  <c r="O358" i="24" s="1"/>
  <c r="F358" i="24"/>
  <c r="L358" i="24" l="1"/>
  <c r="M358" i="24" s="1"/>
  <c r="K358" i="24"/>
  <c r="P358" i="24"/>
  <c r="Q358" i="24" s="1"/>
  <c r="S358" i="24" l="1"/>
  <c r="T358" i="24" s="1"/>
  <c r="AB358" i="24" s="1"/>
  <c r="AC358" i="24"/>
  <c r="AA358" i="24"/>
  <c r="R358" i="24"/>
  <c r="Y358" i="24" s="1"/>
  <c r="W358" i="24" l="1"/>
  <c r="AD358" i="24" s="1"/>
  <c r="X358" i="24"/>
  <c r="AE358" i="24" s="1"/>
  <c r="AF358" i="24"/>
  <c r="I359" i="24" s="1"/>
  <c r="D359" i="24" l="1"/>
  <c r="AG358" i="24" s="1"/>
  <c r="C359" i="24"/>
  <c r="H359" i="24"/>
  <c r="B359" i="24"/>
  <c r="G359" i="24"/>
  <c r="V359" i="24" l="1"/>
  <c r="U359" i="24"/>
  <c r="J359" i="24"/>
  <c r="L359" i="24" s="1"/>
  <c r="M359" i="24" s="1"/>
  <c r="F359" i="24"/>
  <c r="E359" i="24"/>
  <c r="O359" i="24" l="1"/>
  <c r="S359" i="24" s="1"/>
  <c r="T359" i="24" s="1"/>
  <c r="AC359" i="24" s="1"/>
  <c r="P359" i="24"/>
  <c r="Q359" i="24" s="1"/>
  <c r="K359" i="24"/>
  <c r="AA359" i="24" l="1"/>
  <c r="AB359" i="24"/>
  <c r="R359" i="24"/>
  <c r="X359" i="24" s="1"/>
  <c r="Y359" i="24" l="1"/>
  <c r="AF359" i="24" s="1"/>
  <c r="D360" i="24" s="1"/>
  <c r="W359" i="24"/>
  <c r="AD359" i="24" s="1"/>
  <c r="G360" i="24" s="1"/>
  <c r="AE359" i="24"/>
  <c r="C360" i="24" s="1"/>
  <c r="B360" i="24" l="1"/>
  <c r="F360" i="24" s="1"/>
  <c r="H360" i="24"/>
  <c r="I360" i="24"/>
  <c r="U360" i="24"/>
  <c r="AG359" i="24"/>
  <c r="V360" i="24"/>
  <c r="E360" i="24" l="1"/>
  <c r="J360" i="24"/>
  <c r="P360" i="24" s="1"/>
  <c r="Q360" i="24" s="1"/>
  <c r="O360" i="24" l="1"/>
  <c r="L360" i="24"/>
  <c r="M360" i="24" s="1"/>
  <c r="K360" i="24"/>
  <c r="S360" i="24" l="1"/>
  <c r="T360" i="24" s="1"/>
  <c r="AA360" i="24" s="1"/>
  <c r="R360" i="24"/>
  <c r="W360" i="24" s="1"/>
  <c r="AB360" i="24" l="1"/>
  <c r="AC360" i="24"/>
  <c r="AD360" i="24"/>
  <c r="G361" i="24" s="1"/>
  <c r="Y360" i="24"/>
  <c r="X360" i="24"/>
  <c r="AE360" i="24" s="1"/>
  <c r="H361" i="24" s="1"/>
  <c r="AF360" i="24" l="1"/>
  <c r="I361" i="24" s="1"/>
  <c r="B361" i="24"/>
  <c r="D361" i="24"/>
  <c r="AG360" i="24" s="1"/>
  <c r="C361" i="24"/>
  <c r="J361" i="24"/>
  <c r="F361" i="24" l="1"/>
  <c r="O361" i="24"/>
  <c r="U361" i="24"/>
  <c r="V361" i="24"/>
  <c r="E361" i="24"/>
  <c r="K361" i="24"/>
  <c r="L361" i="24"/>
  <c r="M361" i="24" s="1"/>
  <c r="P361" i="24"/>
  <c r="Q361" i="24" s="1"/>
  <c r="S361" i="24" l="1"/>
  <c r="T361" i="24" s="1"/>
  <c r="AA361" i="24" s="1"/>
  <c r="AB361" i="24" l="1"/>
  <c r="AC361" i="24"/>
  <c r="R361" i="24"/>
  <c r="W361" i="24" s="1"/>
  <c r="AD361" i="24" l="1"/>
  <c r="G362" i="24" s="1"/>
  <c r="X361" i="24"/>
  <c r="AE361" i="24" s="1"/>
  <c r="C362" i="24" s="1"/>
  <c r="Y361" i="24"/>
  <c r="AF361" i="24" s="1"/>
  <c r="I362" i="24" s="1"/>
  <c r="B362" i="24" l="1"/>
  <c r="E362" i="24" s="1"/>
  <c r="H362" i="24"/>
  <c r="J362" i="24" s="1"/>
  <c r="P362" i="24" s="1"/>
  <c r="Q362" i="24" s="1"/>
  <c r="D362" i="24"/>
  <c r="V362" i="24" s="1"/>
  <c r="F362" i="24" l="1"/>
  <c r="U362" i="24"/>
  <c r="O362" i="24"/>
  <c r="AG361" i="24"/>
  <c r="L362" i="24"/>
  <c r="M362" i="24" s="1"/>
  <c r="K362" i="24"/>
  <c r="S362" i="24" l="1"/>
  <c r="T362" i="24" s="1"/>
  <c r="AB362" i="24" s="1"/>
  <c r="AA362" i="24" l="1"/>
  <c r="AC362" i="24"/>
  <c r="R362" i="24"/>
  <c r="X362" i="24" s="1"/>
  <c r="Y362" i="24" l="1"/>
  <c r="AF362" i="24" s="1"/>
  <c r="D363" i="24" s="1"/>
  <c r="AE362" i="24"/>
  <c r="C363" i="24" s="1"/>
  <c r="W362" i="24"/>
  <c r="AD362" i="24" s="1"/>
  <c r="G363" i="24" s="1"/>
  <c r="H363" i="24" l="1"/>
  <c r="I363" i="24"/>
  <c r="B363" i="24"/>
  <c r="E363" i="24" s="1"/>
  <c r="AG362" i="24"/>
  <c r="U363" i="24"/>
  <c r="V363" i="24"/>
  <c r="J363" i="24" l="1"/>
  <c r="K363" i="24" s="1"/>
  <c r="F363" i="24"/>
  <c r="O363" i="24" l="1"/>
  <c r="P363" i="24"/>
  <c r="Q363" i="24" s="1"/>
  <c r="L363" i="24"/>
  <c r="M363" i="24" s="1"/>
  <c r="S363" i="24" l="1"/>
  <c r="T363" i="24" s="1"/>
  <c r="AC363" i="24"/>
  <c r="AA363" i="24"/>
  <c r="AB363" i="24"/>
  <c r="R363" i="24"/>
  <c r="X363" i="24" s="1"/>
  <c r="AE363" i="24" l="1"/>
  <c r="Y363" i="24"/>
  <c r="AF363" i="24" s="1"/>
  <c r="I364" i="24" s="1"/>
  <c r="W363" i="24"/>
  <c r="AD363" i="24" s="1"/>
  <c r="B364" i="24" s="1"/>
  <c r="C364" i="24"/>
  <c r="H364" i="24"/>
  <c r="D364" i="24" l="1"/>
  <c r="AG363" i="24" s="1"/>
  <c r="G364" i="24"/>
  <c r="J364" i="24" s="1"/>
  <c r="F364" i="24"/>
  <c r="E364" i="24"/>
  <c r="U364" i="24" l="1"/>
  <c r="O364" i="24"/>
  <c r="V364" i="24"/>
  <c r="K364" i="24"/>
  <c r="L364" i="24"/>
  <c r="M364" i="24" s="1"/>
  <c r="P364" i="24"/>
  <c r="Q364" i="24" s="1"/>
  <c r="S364" i="24" l="1"/>
  <c r="T364" i="24" s="1"/>
  <c r="AA364" i="24" s="1"/>
  <c r="AB364" i="24" l="1"/>
  <c r="AC364" i="24"/>
  <c r="R364" i="24"/>
  <c r="W364" i="24" s="1"/>
  <c r="Y364" i="24" l="1"/>
  <c r="AF364" i="24" s="1"/>
  <c r="D365" i="24" s="1"/>
  <c r="AG364" i="24" s="1"/>
  <c r="X364" i="24"/>
  <c r="AE364" i="24" s="1"/>
  <c r="C365" i="24" s="1"/>
  <c r="AD364" i="24"/>
  <c r="B365" i="24" s="1"/>
  <c r="I365" i="24" l="1"/>
  <c r="G365" i="24"/>
  <c r="H365" i="24"/>
  <c r="V365" i="24"/>
  <c r="U365" i="24"/>
  <c r="F365" i="24"/>
  <c r="E365" i="24"/>
  <c r="J365" i="24" l="1"/>
  <c r="P365" i="24" s="1"/>
  <c r="Q365" i="24" s="1"/>
  <c r="O365" i="24" l="1"/>
  <c r="K365" i="24"/>
  <c r="L365" i="24"/>
  <c r="M365" i="24" s="1"/>
  <c r="S365" i="24" l="1"/>
  <c r="T365" i="24" s="1"/>
  <c r="AA365" i="24"/>
  <c r="AB365" i="24"/>
  <c r="AC365" i="24"/>
  <c r="R365" i="24"/>
  <c r="X365" i="24" s="1"/>
  <c r="AE365" i="24" l="1"/>
  <c r="H366" i="24" s="1"/>
  <c r="Y365" i="24"/>
  <c r="AF365" i="24" s="1"/>
  <c r="I366" i="24" s="1"/>
  <c r="W365" i="24"/>
  <c r="AD365" i="24" s="1"/>
  <c r="G366" i="24" s="1"/>
  <c r="C366" i="24"/>
  <c r="D366" i="24" l="1"/>
  <c r="AG365" i="24" s="1"/>
  <c r="J366" i="24"/>
  <c r="P366" i="24" s="1"/>
  <c r="Q366" i="24" s="1"/>
  <c r="B366" i="24"/>
  <c r="E366" i="24" s="1"/>
  <c r="U366" i="24" l="1"/>
  <c r="V366" i="24"/>
  <c r="O366" i="24"/>
  <c r="L366" i="24"/>
  <c r="M366" i="24" s="1"/>
  <c r="K366" i="24"/>
  <c r="F366" i="24"/>
  <c r="S366" i="24" l="1"/>
  <c r="T366" i="24" s="1"/>
  <c r="AB366" i="24" s="1"/>
  <c r="AC366" i="24" l="1"/>
  <c r="AA366" i="24"/>
  <c r="R366" i="24"/>
  <c r="Y366" i="24" s="1"/>
  <c r="AF366" i="24" s="1"/>
  <c r="I367" i="24" s="1"/>
  <c r="X366" i="24" l="1"/>
  <c r="AE366" i="24" s="1"/>
  <c r="C367" i="24" s="1"/>
  <c r="W366" i="24"/>
  <c r="AD366" i="24" s="1"/>
  <c r="B367" i="24" s="1"/>
  <c r="D367" i="24"/>
  <c r="V367" i="24" s="1"/>
  <c r="H367" i="24" l="1"/>
  <c r="G367" i="24"/>
  <c r="U367" i="24"/>
  <c r="AG366" i="24"/>
  <c r="F367" i="24"/>
  <c r="E367" i="24"/>
  <c r="J367" i="24" l="1"/>
  <c r="P367" i="24" s="1"/>
  <c r="Q367" i="24" s="1"/>
  <c r="O367" i="24"/>
  <c r="L367" i="24" l="1"/>
  <c r="M367" i="24" s="1"/>
  <c r="K367" i="24"/>
  <c r="S367" i="24" l="1"/>
  <c r="T367" i="24" s="1"/>
  <c r="AC367" i="24"/>
  <c r="AA367" i="24"/>
  <c r="AB367" i="24"/>
  <c r="R367" i="24"/>
  <c r="Y367" i="24" s="1"/>
  <c r="X367" i="24" l="1"/>
  <c r="AE367" i="24" s="1"/>
  <c r="H368" i="24" s="1"/>
  <c r="W367" i="24"/>
  <c r="AD367" i="24" s="1"/>
  <c r="G368" i="24" s="1"/>
  <c r="AF367" i="24"/>
  <c r="I368" i="24" s="1"/>
  <c r="C368" i="24" l="1"/>
  <c r="J368" i="24"/>
  <c r="P368" i="24" s="1"/>
  <c r="Q368" i="24" s="1"/>
  <c r="D368" i="24"/>
  <c r="V368" i="24" s="1"/>
  <c r="B368" i="24"/>
  <c r="E368" i="24" l="1"/>
  <c r="K368" i="24"/>
  <c r="L368" i="24"/>
  <c r="M368" i="24" s="1"/>
  <c r="AG367" i="24"/>
  <c r="O368" i="24"/>
  <c r="F368" i="24"/>
  <c r="U368" i="24"/>
  <c r="S368" i="24" l="1"/>
  <c r="T368" i="24" s="1"/>
  <c r="AA368" i="24" s="1"/>
  <c r="AC368" i="24" l="1"/>
  <c r="AB368" i="24"/>
  <c r="R368" i="24"/>
  <c r="W368" i="24" s="1"/>
  <c r="AD368" i="24" s="1"/>
  <c r="Y368" i="24" l="1"/>
  <c r="AF368" i="24" s="1"/>
  <c r="D369" i="24" s="1"/>
  <c r="AG368" i="24" s="1"/>
  <c r="G369" i="24"/>
  <c r="B369" i="24"/>
  <c r="X368" i="24"/>
  <c r="AE368" i="24" s="1"/>
  <c r="C369" i="24" s="1"/>
  <c r="F369" i="24" l="1"/>
  <c r="V369" i="24"/>
  <c r="U369" i="24"/>
  <c r="I369" i="24"/>
  <c r="E369" i="24"/>
  <c r="H369" i="24"/>
  <c r="J369" i="24" l="1"/>
  <c r="L369" i="24" s="1"/>
  <c r="M369" i="24" s="1"/>
  <c r="O369" i="24" l="1"/>
  <c r="S369" i="24" s="1"/>
  <c r="T369" i="24" s="1"/>
  <c r="AA369" i="24" s="1"/>
  <c r="P369" i="24"/>
  <c r="Q369" i="24" s="1"/>
  <c r="K369" i="24"/>
  <c r="AC369" i="24" l="1"/>
  <c r="AB369" i="24"/>
  <c r="R369" i="24"/>
  <c r="W369" i="24" s="1"/>
  <c r="AD369" i="24" l="1"/>
  <c r="G370" i="24" s="1"/>
  <c r="Y369" i="24"/>
  <c r="AF369" i="24" s="1"/>
  <c r="I370" i="24" s="1"/>
  <c r="X369" i="24"/>
  <c r="AE369" i="24" s="1"/>
  <c r="H370" i="24" s="1"/>
  <c r="B370" i="24" l="1"/>
  <c r="J370" i="24"/>
  <c r="K370" i="24" s="1"/>
  <c r="C370" i="24"/>
  <c r="D370" i="24"/>
  <c r="V370" i="24" s="1"/>
  <c r="E370" i="24" l="1"/>
  <c r="P370" i="24"/>
  <c r="Q370" i="24" s="1"/>
  <c r="L370" i="24"/>
  <c r="M370" i="24" s="1"/>
  <c r="O370" i="24"/>
  <c r="AG369" i="24"/>
  <c r="F370" i="24"/>
  <c r="U370" i="24"/>
  <c r="S370" i="24" l="1"/>
  <c r="T370" i="24" s="1"/>
  <c r="AB370" i="24" s="1"/>
  <c r="AC370" i="24" l="1"/>
  <c r="AA370" i="24"/>
  <c r="R370" i="24"/>
  <c r="X370" i="24" s="1"/>
  <c r="Y370" i="24" l="1"/>
  <c r="AF370" i="24" s="1"/>
  <c r="D371" i="24" s="1"/>
  <c r="V371" i="24" s="1"/>
  <c r="W370" i="24"/>
  <c r="AD370" i="24" s="1"/>
  <c r="B371" i="24" s="1"/>
  <c r="AE370" i="24"/>
  <c r="H371" i="24" s="1"/>
  <c r="I371" i="24" l="1"/>
  <c r="AG370" i="24"/>
  <c r="U371" i="24"/>
  <c r="C371" i="24"/>
  <c r="E371" i="24" s="1"/>
  <c r="G371" i="24"/>
  <c r="J371" i="24" l="1"/>
  <c r="L371" i="24" s="1"/>
  <c r="M371" i="24" s="1"/>
  <c r="F371" i="24"/>
  <c r="O371" i="24"/>
  <c r="K371" i="24" l="1"/>
  <c r="P371" i="24"/>
  <c r="Q371" i="24" s="1"/>
  <c r="S371" i="24"/>
  <c r="T371" i="24" s="1"/>
  <c r="AC371" i="24" s="1"/>
  <c r="AB371" i="24" l="1"/>
  <c r="AA371" i="24"/>
  <c r="R371" i="24"/>
  <c r="Y371" i="24" s="1"/>
  <c r="AF371" i="24" s="1"/>
  <c r="I372" i="24" s="1"/>
  <c r="W371" i="24" l="1"/>
  <c r="AD371" i="24" s="1"/>
  <c r="G372" i="24" s="1"/>
  <c r="X371" i="24"/>
  <c r="AE371" i="24" s="1"/>
  <c r="H372" i="24" s="1"/>
  <c r="D372" i="24"/>
  <c r="U372" i="24" s="1"/>
  <c r="C372" i="24" l="1"/>
  <c r="V372" i="24"/>
  <c r="AG371" i="24"/>
  <c r="J372" i="24"/>
  <c r="L372" i="24" s="1"/>
  <c r="M372" i="24" s="1"/>
  <c r="B372" i="24"/>
  <c r="O372" i="24" l="1"/>
  <c r="S372" i="24" s="1"/>
  <c r="T372" i="24" s="1"/>
  <c r="AA372" i="24" s="1"/>
  <c r="E372" i="24"/>
  <c r="K372" i="24"/>
  <c r="P372" i="24"/>
  <c r="Q372" i="24" s="1"/>
  <c r="F372" i="24"/>
  <c r="AC372" i="24" l="1"/>
  <c r="AB372" i="24"/>
  <c r="R372" i="24"/>
  <c r="Y372" i="24" s="1"/>
  <c r="W372" i="24" l="1"/>
  <c r="AD372" i="24" s="1"/>
  <c r="G373" i="24" s="1"/>
  <c r="X372" i="24"/>
  <c r="AE372" i="24" s="1"/>
  <c r="C373" i="24" s="1"/>
  <c r="AF372" i="24"/>
  <c r="D373" i="24" s="1"/>
  <c r="U373" i="24" s="1"/>
  <c r="B373" i="24" l="1"/>
  <c r="F373" i="24" s="1"/>
  <c r="H373" i="24"/>
  <c r="V373" i="24"/>
  <c r="AG372" i="24"/>
  <c r="I373" i="24"/>
  <c r="E373" i="24" l="1"/>
  <c r="J373" i="24"/>
  <c r="K373" i="24" s="1"/>
  <c r="O373" i="24" l="1"/>
  <c r="L373" i="24"/>
  <c r="M373" i="24" s="1"/>
  <c r="P373" i="24"/>
  <c r="Q373" i="24" s="1"/>
  <c r="S373" i="24" l="1"/>
  <c r="T373" i="24" s="1"/>
  <c r="AA373" i="24" s="1"/>
  <c r="AC373" i="24"/>
  <c r="R373" i="24"/>
  <c r="W373" i="24" s="1"/>
  <c r="AB373" i="24" l="1"/>
  <c r="X373" i="24"/>
  <c r="Y373" i="24"/>
  <c r="AF373" i="24" s="1"/>
  <c r="D374" i="24" s="1"/>
  <c r="AG373" i="24" s="1"/>
  <c r="AD373" i="24"/>
  <c r="G374" i="24" s="1"/>
  <c r="AE373" i="24" l="1"/>
  <c r="C374" i="24" s="1"/>
  <c r="H374" i="24"/>
  <c r="I374" i="24"/>
  <c r="U374" i="24"/>
  <c r="V374" i="24"/>
  <c r="B374" i="24"/>
  <c r="F374" i="24" s="1"/>
  <c r="J374" i="24" l="1"/>
  <c r="K374" i="24" s="1"/>
  <c r="E374" i="24"/>
  <c r="O374" i="24" l="1"/>
  <c r="P374" i="24"/>
  <c r="Q374" i="24" s="1"/>
  <c r="L374" i="24"/>
  <c r="M374" i="24" s="1"/>
  <c r="S374" i="24" l="1"/>
  <c r="T374" i="24" s="1"/>
  <c r="AB374" i="24" s="1"/>
  <c r="AA374" i="24"/>
  <c r="R374" i="24"/>
  <c r="X374" i="24" s="1"/>
  <c r="AC374" i="24" l="1"/>
  <c r="AE374" i="24"/>
  <c r="H375" i="24" s="1"/>
  <c r="W374" i="24"/>
  <c r="AD374" i="24" s="1"/>
  <c r="B375" i="24" s="1"/>
  <c r="Y374" i="24"/>
  <c r="AF374" i="24" l="1"/>
  <c r="I375" i="24" s="1"/>
  <c r="C375" i="24"/>
  <c r="E375" i="24" s="1"/>
  <c r="G375" i="24"/>
  <c r="J375" i="24" s="1"/>
  <c r="P375" i="24" s="1"/>
  <c r="Q375" i="24" s="1"/>
  <c r="D375" i="24"/>
  <c r="V375" i="24" s="1"/>
  <c r="F375" i="24" l="1"/>
  <c r="K375" i="24"/>
  <c r="L375" i="24"/>
  <c r="M375" i="24" s="1"/>
  <c r="U375" i="24"/>
  <c r="O375" i="24"/>
  <c r="AG374" i="24"/>
  <c r="S375" i="24" l="1"/>
  <c r="T375" i="24" s="1"/>
  <c r="AC375" i="24" s="1"/>
  <c r="AA375" i="24" l="1"/>
  <c r="AB375" i="24"/>
  <c r="R375" i="24"/>
  <c r="W375" i="24" s="1"/>
  <c r="AD375" i="24" l="1"/>
  <c r="G376" i="24" s="1"/>
  <c r="Y375" i="24"/>
  <c r="AF375" i="24" s="1"/>
  <c r="I376" i="24" s="1"/>
  <c r="X375" i="24"/>
  <c r="AE375" i="24" s="1"/>
  <c r="C376" i="24" s="1"/>
  <c r="B376" i="24" l="1"/>
  <c r="F376" i="24" s="1"/>
  <c r="H376" i="24"/>
  <c r="J376" i="24" s="1"/>
  <c r="L376" i="24" s="1"/>
  <c r="M376" i="24" s="1"/>
  <c r="D376" i="24"/>
  <c r="U376" i="24" s="1"/>
  <c r="E376" i="24" l="1"/>
  <c r="P376" i="24"/>
  <c r="Q376" i="24" s="1"/>
  <c r="K376" i="24"/>
  <c r="AG375" i="24"/>
  <c r="O376" i="24"/>
  <c r="S376" i="24" s="1"/>
  <c r="T376" i="24" s="1"/>
  <c r="V376" i="24"/>
  <c r="AA376" i="24" l="1"/>
  <c r="AC376" i="24"/>
  <c r="AB376" i="24"/>
  <c r="R376" i="24"/>
  <c r="X376" i="24" s="1"/>
  <c r="AE376" i="24" s="1"/>
  <c r="H377" i="24" s="1"/>
  <c r="Y376" i="24" l="1"/>
  <c r="AF376" i="24" s="1"/>
  <c r="D377" i="24" s="1"/>
  <c r="U377" i="24" s="1"/>
  <c r="W376" i="24"/>
  <c r="AD376" i="24" s="1"/>
  <c r="G377" i="24" s="1"/>
  <c r="C377" i="24"/>
  <c r="B377" i="24" l="1"/>
  <c r="E377" i="24" s="1"/>
  <c r="I377" i="24"/>
  <c r="J377" i="24" s="1"/>
  <c r="P377" i="24" s="1"/>
  <c r="Q377" i="24" s="1"/>
  <c r="AG376" i="24"/>
  <c r="V377" i="24"/>
  <c r="F377" i="24" l="1"/>
  <c r="O377" i="24"/>
  <c r="K377" i="24"/>
  <c r="L377" i="24"/>
  <c r="M377" i="24" s="1"/>
  <c r="S377" i="24" l="1"/>
  <c r="T377" i="24" s="1"/>
  <c r="AA377" i="24" s="1"/>
  <c r="AC377" i="24" l="1"/>
  <c r="AB377" i="24"/>
  <c r="R377" i="24"/>
  <c r="Y377" i="24" s="1"/>
  <c r="AF377" i="24" l="1"/>
  <c r="I378" i="24" s="1"/>
  <c r="X377" i="24"/>
  <c r="AE377" i="24" s="1"/>
  <c r="H378" i="24" s="1"/>
  <c r="W377" i="24"/>
  <c r="AD377" i="24" s="1"/>
  <c r="B378" i="24" s="1"/>
  <c r="D378" i="24" l="1"/>
  <c r="AG377" i="24" s="1"/>
  <c r="G378" i="24"/>
  <c r="J378" i="24" s="1"/>
  <c r="K378" i="24" s="1"/>
  <c r="C378" i="24"/>
  <c r="E378" i="24" s="1"/>
  <c r="U378" i="24" l="1"/>
  <c r="V378" i="24"/>
  <c r="O378" i="24"/>
  <c r="P378" i="24"/>
  <c r="Q378" i="24" s="1"/>
  <c r="L378" i="24"/>
  <c r="M378" i="24" s="1"/>
  <c r="F378" i="24"/>
  <c r="S378" i="24" l="1"/>
  <c r="T378" i="24" s="1"/>
  <c r="AB378" i="24" s="1"/>
  <c r="AA378" i="24" l="1"/>
  <c r="AC378" i="24"/>
  <c r="R378" i="24"/>
  <c r="W378" i="24" s="1"/>
  <c r="Y378" i="24" l="1"/>
  <c r="AF378" i="24" s="1"/>
  <c r="I379" i="24" s="1"/>
  <c r="X378" i="24"/>
  <c r="AE378" i="24" s="1"/>
  <c r="H379" i="24" s="1"/>
  <c r="AD378" i="24"/>
  <c r="B379" i="24" s="1"/>
  <c r="D379" i="24" l="1"/>
  <c r="U379" i="24" s="1"/>
  <c r="G379" i="24"/>
  <c r="J379" i="24" s="1"/>
  <c r="K379" i="24" s="1"/>
  <c r="C379" i="24"/>
  <c r="E379" i="24" s="1"/>
  <c r="AG378" i="24" l="1"/>
  <c r="V379" i="24"/>
  <c r="O379" i="24"/>
  <c r="F379" i="24"/>
  <c r="L379" i="24"/>
  <c r="M379" i="24" s="1"/>
  <c r="P379" i="24"/>
  <c r="Q379" i="24" s="1"/>
  <c r="S379" i="24" l="1"/>
  <c r="T379" i="24" s="1"/>
  <c r="AC379" i="24" s="1"/>
  <c r="AB379" i="24" l="1"/>
  <c r="AA379" i="24"/>
  <c r="R379" i="24"/>
  <c r="X379" i="24" s="1"/>
  <c r="W379" i="24" l="1"/>
  <c r="AD379" i="24" s="1"/>
  <c r="B380" i="24" s="1"/>
  <c r="Y379" i="24"/>
  <c r="AF379" i="24" s="1"/>
  <c r="D380" i="24" s="1"/>
  <c r="V380" i="24" s="1"/>
  <c r="AE379" i="24"/>
  <c r="H380" i="24" s="1"/>
  <c r="G380" i="24" l="1"/>
  <c r="C380" i="24"/>
  <c r="F380" i="24" s="1"/>
  <c r="I380" i="24"/>
  <c r="AG379" i="24"/>
  <c r="U380" i="24"/>
  <c r="E380" i="24" l="1"/>
  <c r="J380" i="24"/>
  <c r="K380" i="24" s="1"/>
  <c r="O380" i="24" l="1"/>
  <c r="L380" i="24"/>
  <c r="M380" i="24" s="1"/>
  <c r="P380" i="24"/>
  <c r="Q380" i="24" s="1"/>
  <c r="S380" i="24" l="1"/>
  <c r="R380" i="24"/>
  <c r="Y380" i="24" s="1"/>
  <c r="T380" i="24"/>
  <c r="AA380" i="24" s="1"/>
  <c r="AC380" i="24" l="1"/>
  <c r="AF380" i="24" s="1"/>
  <c r="D381" i="24" s="1"/>
  <c r="V381" i="24" s="1"/>
  <c r="AB380" i="24"/>
  <c r="X380" i="24"/>
  <c r="W380" i="24"/>
  <c r="AE380" i="24" l="1"/>
  <c r="C381" i="24" s="1"/>
  <c r="AD380" i="24"/>
  <c r="G381" i="24" s="1"/>
  <c r="U381" i="24"/>
  <c r="I381" i="24"/>
  <c r="AG380" i="24"/>
  <c r="B381" i="24" l="1"/>
  <c r="F381" i="24" s="1"/>
  <c r="H381" i="24"/>
  <c r="J381" i="24" l="1"/>
  <c r="L381" i="24" s="1"/>
  <c r="M381" i="24" s="1"/>
  <c r="E381" i="24"/>
  <c r="O381" i="24" l="1"/>
  <c r="S381" i="24" s="1"/>
  <c r="T381" i="24" s="1"/>
  <c r="AA381" i="24" s="1"/>
  <c r="K381" i="24"/>
  <c r="P381" i="24"/>
  <c r="AB381" i="24" l="1"/>
  <c r="AC381" i="24"/>
  <c r="Q381" i="24"/>
  <c r="R381" i="24" s="1"/>
  <c r="W381" i="24" l="1"/>
  <c r="AD381" i="24" s="1"/>
  <c r="G382" i="24" s="1"/>
  <c r="X381" i="24"/>
  <c r="AE381" i="24" s="1"/>
  <c r="H382" i="24" s="1"/>
  <c r="Y381" i="24"/>
  <c r="AF381" i="24" s="1"/>
  <c r="D382" i="24" s="1"/>
  <c r="V382" i="24" s="1"/>
  <c r="B382" i="24" l="1"/>
  <c r="AG381" i="24"/>
  <c r="U382" i="24"/>
  <c r="I382" i="24"/>
  <c r="C382" i="24"/>
  <c r="E382" i="24" s="1"/>
  <c r="J382" i="24" l="1"/>
  <c r="L382" i="24" s="1"/>
  <c r="M382" i="24" s="1"/>
  <c r="F382" i="24"/>
  <c r="O382" i="24" l="1"/>
  <c r="S382" i="24" s="1"/>
  <c r="T382" i="24" s="1"/>
  <c r="AB382" i="24" s="1"/>
  <c r="K382" i="24"/>
  <c r="P382" i="24"/>
  <c r="Q382" i="24" s="1"/>
  <c r="AC382" i="24" l="1"/>
  <c r="AA382" i="24"/>
  <c r="R382" i="24"/>
  <c r="W382" i="24" s="1"/>
  <c r="AD382" i="24" l="1"/>
  <c r="B383" i="24" s="1"/>
  <c r="X382" i="24"/>
  <c r="AE382" i="24" s="1"/>
  <c r="H383" i="24" s="1"/>
  <c r="Y382" i="24"/>
  <c r="AF382" i="24" s="1"/>
  <c r="D383" i="24" s="1"/>
  <c r="V383" i="24" s="1"/>
  <c r="G383" i="24"/>
  <c r="U383" i="24" l="1"/>
  <c r="C383" i="24"/>
  <c r="F383" i="24" s="1"/>
  <c r="AG382" i="24"/>
  <c r="I383" i="24"/>
  <c r="J383" i="24" s="1"/>
  <c r="L383" i="24" s="1"/>
  <c r="M383" i="24" s="1"/>
  <c r="E383" i="24" l="1"/>
  <c r="O383" i="24"/>
  <c r="S383" i="24" s="1"/>
  <c r="T383" i="24" s="1"/>
  <c r="AC383" i="24" s="1"/>
  <c r="P383" i="24"/>
  <c r="Q383" i="24" s="1"/>
  <c r="K383" i="24"/>
  <c r="AA383" i="24" l="1"/>
  <c r="AB383" i="24"/>
  <c r="R383" i="24"/>
  <c r="X383" i="24" s="1"/>
  <c r="AE383" i="24" l="1"/>
  <c r="W383" i="24"/>
  <c r="AD383" i="24" s="1"/>
  <c r="G384" i="24" s="1"/>
  <c r="Y383" i="24"/>
  <c r="AF383" i="24" s="1"/>
  <c r="I384" i="24" s="1"/>
  <c r="B384" i="24"/>
  <c r="H384" i="24"/>
  <c r="C384" i="24"/>
  <c r="D384" i="24" l="1"/>
  <c r="V384" i="24" s="1"/>
  <c r="F384" i="24"/>
  <c r="O384" i="24"/>
  <c r="U384" i="24"/>
  <c r="AG383" i="24"/>
  <c r="J384" i="24"/>
  <c r="E384" i="24"/>
  <c r="L384" i="24" l="1"/>
  <c r="M384" i="24" s="1"/>
  <c r="P384" i="24"/>
  <c r="Q384" i="24" s="1"/>
  <c r="K384" i="24"/>
  <c r="S384" i="24" l="1"/>
  <c r="T384" i="24" s="1"/>
  <c r="AA384" i="24"/>
  <c r="AB384" i="24"/>
  <c r="AC384" i="24"/>
  <c r="R384" i="24"/>
  <c r="X384" i="24" s="1"/>
  <c r="Y384" i="24" l="1"/>
  <c r="AF384" i="24" s="1"/>
  <c r="W384" i="24"/>
  <c r="AD384" i="24" s="1"/>
  <c r="AE384" i="24"/>
  <c r="I385" i="24" l="1"/>
  <c r="D385" i="24"/>
  <c r="AG384" i="24" s="1"/>
  <c r="G385" i="24"/>
  <c r="B385" i="24"/>
  <c r="H385" i="24"/>
  <c r="C385" i="24"/>
  <c r="V385" i="24" l="1"/>
  <c r="U385" i="24"/>
  <c r="F385" i="24"/>
  <c r="O385" i="24"/>
  <c r="E385" i="24"/>
  <c r="J385" i="24"/>
  <c r="L385" i="24" l="1"/>
  <c r="M385" i="24" s="1"/>
  <c r="K385" i="24"/>
  <c r="P385" i="24"/>
  <c r="Q385" i="24" s="1"/>
  <c r="S385" i="24" l="1"/>
  <c r="T385" i="24" s="1"/>
  <c r="AA385" i="24" s="1"/>
  <c r="AB385" i="24"/>
  <c r="AC385" i="24"/>
  <c r="R385" i="24"/>
  <c r="Y385" i="24" s="1"/>
  <c r="X385" i="24" l="1"/>
  <c r="AE385" i="24" s="1"/>
  <c r="W385" i="24"/>
  <c r="AD385" i="24" s="1"/>
  <c r="AF385" i="24"/>
  <c r="D386" i="24" l="1"/>
  <c r="I386" i="24"/>
  <c r="G386" i="24"/>
  <c r="B386" i="24"/>
  <c r="C386" i="24"/>
  <c r="H386" i="24"/>
  <c r="E386" i="24" l="1"/>
  <c r="J386" i="24"/>
  <c r="P386" i="24" s="1"/>
  <c r="Q386" i="24" s="1"/>
  <c r="F386" i="24"/>
  <c r="AG385" i="24"/>
  <c r="V386" i="24"/>
  <c r="U386" i="24"/>
  <c r="O386" i="24"/>
  <c r="L386" i="24" l="1"/>
  <c r="M386" i="24" s="1"/>
  <c r="K386" i="24"/>
  <c r="S386" i="24" l="1"/>
  <c r="T386" i="24"/>
  <c r="AB386" i="24" s="1"/>
  <c r="R386" i="24"/>
  <c r="W386" i="24" s="1"/>
  <c r="AA386" i="24" l="1"/>
  <c r="AC386" i="24"/>
  <c r="X386" i="24"/>
  <c r="AE386" i="24" s="1"/>
  <c r="AD386" i="24"/>
  <c r="Y386" i="24"/>
  <c r="AF386" i="24" l="1"/>
  <c r="D387" i="24" s="1"/>
  <c r="AG386" i="24" s="1"/>
  <c r="B387" i="24"/>
  <c r="G387" i="24"/>
  <c r="H387" i="24"/>
  <c r="C387" i="24"/>
  <c r="V387" i="24" l="1"/>
  <c r="U387" i="24"/>
  <c r="I387" i="24"/>
  <c r="F387" i="24"/>
  <c r="E387" i="24"/>
  <c r="J387" i="24" l="1"/>
  <c r="L387" i="24" s="1"/>
  <c r="M387" i="24" s="1"/>
  <c r="O387" i="24" l="1"/>
  <c r="S387" i="24" s="1"/>
  <c r="T387" i="24" s="1"/>
  <c r="AC387" i="24" s="1"/>
  <c r="K387" i="24"/>
  <c r="P387" i="24"/>
  <c r="AA387" i="24" l="1"/>
  <c r="AB387" i="24"/>
  <c r="Q387" i="24"/>
  <c r="R387" i="24" s="1"/>
  <c r="W387" i="24" l="1"/>
  <c r="AD387" i="24" s="1"/>
  <c r="G388" i="24" s="1"/>
  <c r="Y387" i="24"/>
  <c r="AF387" i="24" s="1"/>
  <c r="D388" i="24" s="1"/>
  <c r="X387" i="24"/>
  <c r="AE387" i="24" s="1"/>
  <c r="C388" i="24" s="1"/>
  <c r="B388" i="24" l="1"/>
  <c r="E388" i="24" s="1"/>
  <c r="I388" i="24"/>
  <c r="H388" i="24"/>
  <c r="U388" i="24"/>
  <c r="AG387" i="24"/>
  <c r="V388" i="24"/>
  <c r="F388" i="24" l="1"/>
  <c r="J388" i="24"/>
  <c r="P388" i="24" s="1"/>
  <c r="Q388" i="24" s="1"/>
  <c r="O388" i="24" l="1"/>
  <c r="L388" i="24"/>
  <c r="M388" i="24" s="1"/>
  <c r="K388" i="24"/>
  <c r="S388" i="24" l="1"/>
  <c r="R388" i="24"/>
  <c r="Y388" i="24" s="1"/>
  <c r="T388" i="24"/>
  <c r="AA388" i="24" s="1"/>
  <c r="AC388" i="24" l="1"/>
  <c r="AF388" i="24" s="1"/>
  <c r="I389" i="24" s="1"/>
  <c r="AB388" i="24"/>
  <c r="X388" i="24"/>
  <c r="W388" i="24"/>
  <c r="AD388" i="24" s="1"/>
  <c r="G389" i="24" s="1"/>
  <c r="AE388" i="24" l="1"/>
  <c r="H389" i="24" s="1"/>
  <c r="D389" i="24"/>
  <c r="AG388" i="24" s="1"/>
  <c r="C389" i="24"/>
  <c r="B389" i="24"/>
  <c r="J389" i="24"/>
  <c r="U389" i="24" l="1"/>
  <c r="O389" i="24"/>
  <c r="V389" i="24"/>
  <c r="F389" i="24"/>
  <c r="E389" i="24"/>
  <c r="K389" i="24"/>
  <c r="L389" i="24"/>
  <c r="M389" i="24" s="1"/>
  <c r="P389" i="24"/>
  <c r="Q389" i="24" s="1"/>
  <c r="S389" i="24" l="1"/>
  <c r="T389" i="24" s="1"/>
  <c r="AB389" i="24" s="1"/>
  <c r="AA389" i="24"/>
  <c r="AC389" i="24"/>
  <c r="R389" i="24"/>
  <c r="W389" i="24" s="1"/>
  <c r="Y389" i="24" l="1"/>
  <c r="AF389" i="24" s="1"/>
  <c r="X389" i="24"/>
  <c r="AE389" i="24" s="1"/>
  <c r="AD389" i="24"/>
  <c r="B390" i="24" l="1"/>
  <c r="G390" i="24"/>
  <c r="C390" i="24"/>
  <c r="H390" i="24"/>
  <c r="I390" i="24"/>
  <c r="D390" i="24"/>
  <c r="F390" i="24" l="1"/>
  <c r="V390" i="24"/>
  <c r="AG389" i="24"/>
  <c r="O390" i="24"/>
  <c r="U390" i="24"/>
  <c r="J390" i="24"/>
  <c r="E390" i="24"/>
  <c r="P390" i="24" l="1"/>
  <c r="Q390" i="24" s="1"/>
  <c r="L390" i="24"/>
  <c r="M390" i="24" s="1"/>
  <c r="K390" i="24"/>
  <c r="S390" i="24" l="1"/>
  <c r="T390" i="24" s="1"/>
  <c r="AB390" i="24" s="1"/>
  <c r="AC390" i="24"/>
  <c r="AA390" i="24"/>
  <c r="R390" i="24"/>
  <c r="Y390" i="24" l="1"/>
  <c r="AF390" i="24" s="1"/>
  <c r="W390" i="24"/>
  <c r="AD390" i="24" s="1"/>
  <c r="X390" i="24"/>
  <c r="AE390" i="24" s="1"/>
  <c r="H391" i="24" l="1"/>
  <c r="C391" i="24"/>
  <c r="G391" i="24"/>
  <c r="B391" i="24"/>
  <c r="D391" i="24"/>
  <c r="I391" i="24"/>
  <c r="E391" i="24" l="1"/>
  <c r="J391" i="24"/>
  <c r="P391" i="24" s="1"/>
  <c r="Q391" i="24" s="1"/>
  <c r="F391" i="24"/>
  <c r="O391" i="24"/>
  <c r="AG390" i="24"/>
  <c r="V391" i="24"/>
  <c r="U391" i="24"/>
  <c r="L391" i="24" l="1"/>
  <c r="M391" i="24" s="1"/>
  <c r="K391" i="24"/>
  <c r="S391" i="24" l="1"/>
  <c r="AC391" i="24"/>
  <c r="AA391" i="24"/>
  <c r="AB391" i="24"/>
  <c r="T391" i="24"/>
  <c r="R391" i="24"/>
  <c r="X391" i="24" s="1"/>
  <c r="W391" i="24" l="1"/>
  <c r="AD391" i="24" s="1"/>
  <c r="Y391" i="24"/>
  <c r="AE391" i="24"/>
  <c r="AF391" i="24" l="1"/>
  <c r="D392" i="24" s="1"/>
  <c r="V392" i="24" s="1"/>
  <c r="C392" i="24"/>
  <c r="H392" i="24"/>
  <c r="G392" i="24"/>
  <c r="B392" i="24"/>
  <c r="I392" i="24" l="1"/>
  <c r="AG391" i="24"/>
  <c r="U392" i="24"/>
  <c r="E392" i="24"/>
  <c r="F392" i="24"/>
  <c r="J392" i="24" l="1"/>
  <c r="L392" i="24" s="1"/>
  <c r="M392" i="24" s="1"/>
  <c r="O392" i="24" l="1"/>
  <c r="S392" i="24" s="1"/>
  <c r="T392" i="24" s="1"/>
  <c r="AA392" i="24" s="1"/>
  <c r="P392" i="24"/>
  <c r="Q392" i="24" s="1"/>
  <c r="K392" i="24"/>
  <c r="AB392" i="24" l="1"/>
  <c r="AC392" i="24"/>
  <c r="R392" i="24"/>
  <c r="W392" i="24" s="1"/>
  <c r="AD392" i="24" l="1"/>
  <c r="G393" i="24" s="1"/>
  <c r="B393" i="24"/>
  <c r="Y392" i="24"/>
  <c r="AF392" i="24" s="1"/>
  <c r="I393" i="24" s="1"/>
  <c r="X392" i="24"/>
  <c r="AE392" i="24" s="1"/>
  <c r="H393" i="24" s="1"/>
  <c r="D393" i="24" l="1"/>
  <c r="V393" i="24" s="1"/>
  <c r="J393" i="24"/>
  <c r="L393" i="24" s="1"/>
  <c r="M393" i="24" s="1"/>
  <c r="C393" i="24"/>
  <c r="F393" i="24" s="1"/>
  <c r="U393" i="24" l="1"/>
  <c r="AG392" i="24"/>
  <c r="K393" i="24"/>
  <c r="E393" i="24"/>
  <c r="P393" i="24"/>
  <c r="Q393" i="24" s="1"/>
  <c r="O393" i="24"/>
  <c r="S393" i="24" s="1"/>
  <c r="T393" i="24" s="1"/>
  <c r="AA393" i="24" s="1"/>
  <c r="AC393" i="24" l="1"/>
  <c r="AB393" i="24"/>
  <c r="R393" i="24"/>
  <c r="Y393" i="24" s="1"/>
  <c r="AF393" i="24" s="1"/>
  <c r="I394" i="24" s="1"/>
  <c r="W393" i="24" l="1"/>
  <c r="AD393" i="24" s="1"/>
  <c r="G394" i="24" s="1"/>
  <c r="X393" i="24"/>
  <c r="AE393" i="24" s="1"/>
  <c r="H394" i="24" s="1"/>
  <c r="D394" i="24"/>
  <c r="V394" i="24" s="1"/>
  <c r="B394" i="24" l="1"/>
  <c r="C394" i="24"/>
  <c r="AG393" i="24"/>
  <c r="U394" i="24"/>
  <c r="J394" i="24"/>
  <c r="O394" i="24" s="1"/>
  <c r="F394" i="24" l="1"/>
  <c r="E394" i="24"/>
  <c r="P394" i="24"/>
  <c r="Q394" i="24" s="1"/>
  <c r="L394" i="24"/>
  <c r="M394" i="24" s="1"/>
  <c r="K394" i="24"/>
  <c r="S394" i="24" l="1"/>
  <c r="T394" i="24" s="1"/>
  <c r="AB394" i="24" s="1"/>
  <c r="AA394" i="24"/>
  <c r="R394" i="24"/>
  <c r="AC394" i="24" l="1"/>
  <c r="Y394" i="24"/>
  <c r="X394" i="24"/>
  <c r="AE394" i="24" s="1"/>
  <c r="W394" i="24"/>
  <c r="AD394" i="24" s="1"/>
  <c r="AF394" i="24" l="1"/>
  <c r="B395" i="24"/>
  <c r="G395" i="24"/>
  <c r="H395" i="24"/>
  <c r="C395" i="24"/>
  <c r="D395" i="24"/>
  <c r="I395" i="24"/>
  <c r="F395" i="24" l="1"/>
  <c r="J395" i="24"/>
  <c r="O395" i="24" s="1"/>
  <c r="V395" i="24"/>
  <c r="AG394" i="24"/>
  <c r="U395" i="24"/>
  <c r="E395" i="24"/>
  <c r="K395" i="24" l="1"/>
  <c r="P395" i="24"/>
  <c r="Q395" i="24" s="1"/>
  <c r="L395" i="24"/>
  <c r="M395" i="24" s="1"/>
  <c r="S395" i="24" l="1"/>
  <c r="T395" i="24" s="1"/>
  <c r="AC395" i="24" s="1"/>
  <c r="AA395" i="24"/>
  <c r="AB395" i="24"/>
  <c r="R395" i="24"/>
  <c r="W395" i="24" l="1"/>
  <c r="AD395" i="24" s="1"/>
  <c r="Y395" i="24"/>
  <c r="AF395" i="24" s="1"/>
  <c r="X395" i="24"/>
  <c r="AE395" i="24" s="1"/>
  <c r="C396" i="24" l="1"/>
  <c r="H396" i="24"/>
  <c r="I396" i="24"/>
  <c r="D396" i="24"/>
  <c r="G396" i="24"/>
  <c r="B396" i="24"/>
  <c r="E396" i="24" l="1"/>
  <c r="V396" i="24"/>
  <c r="U396" i="24"/>
  <c r="AG395" i="24"/>
  <c r="J396" i="24"/>
  <c r="O396" i="24" s="1"/>
  <c r="F396" i="24"/>
  <c r="K396" i="24" l="1"/>
  <c r="L396" i="24"/>
  <c r="M396" i="24" s="1"/>
  <c r="P396" i="24"/>
  <c r="Q396" i="24" s="1"/>
  <c r="S396" i="24" l="1"/>
  <c r="T396" i="24" s="1"/>
  <c r="AA396" i="24" s="1"/>
  <c r="AB396" i="24"/>
  <c r="AC396" i="24"/>
  <c r="R396" i="24"/>
  <c r="Y396" i="24" s="1"/>
  <c r="X396" i="24" l="1"/>
  <c r="AE396" i="24" s="1"/>
  <c r="AF396" i="24"/>
  <c r="D397" i="24" s="1"/>
  <c r="V397" i="24" s="1"/>
  <c r="W396" i="24"/>
  <c r="AD396" i="24" s="1"/>
  <c r="I397" i="24" l="1"/>
  <c r="AG396" i="24"/>
  <c r="U397" i="24"/>
  <c r="G397" i="24"/>
  <c r="B397" i="24"/>
  <c r="H397" i="24"/>
  <c r="C397" i="24"/>
  <c r="J397" i="24" l="1"/>
  <c r="P397" i="24" s="1"/>
  <c r="Q397" i="24" s="1"/>
  <c r="E397" i="24"/>
  <c r="F397" i="24"/>
  <c r="O397" i="24"/>
  <c r="L397" i="24" l="1"/>
  <c r="M397" i="24" s="1"/>
  <c r="K397" i="24"/>
  <c r="S397" i="24" l="1"/>
  <c r="T397" i="24" s="1"/>
  <c r="AA397" i="24" s="1"/>
  <c r="R397" i="24"/>
  <c r="W397" i="24" s="1"/>
  <c r="AC397" i="24" l="1"/>
  <c r="AB397" i="24"/>
  <c r="Y397" i="24"/>
  <c r="AF397" i="24" s="1"/>
  <c r="I398" i="24" s="1"/>
  <c r="X397" i="24"/>
  <c r="AE397" i="24" s="1"/>
  <c r="H398" i="24" s="1"/>
  <c r="AD397" i="24"/>
  <c r="G398" i="24" s="1"/>
  <c r="C398" i="24" l="1"/>
  <c r="B398" i="24"/>
  <c r="J398" i="24"/>
  <c r="P398" i="24" s="1"/>
  <c r="Q398" i="24" s="1"/>
  <c r="D398" i="24"/>
  <c r="F398" i="24" l="1"/>
  <c r="L398" i="24"/>
  <c r="M398" i="24" s="1"/>
  <c r="K398" i="24"/>
  <c r="E398" i="24"/>
  <c r="V398" i="24"/>
  <c r="U398" i="24"/>
  <c r="AG397" i="24"/>
  <c r="O398" i="24"/>
  <c r="S398" i="24" l="1"/>
  <c r="T398" i="24" s="1"/>
  <c r="AB398" i="24" s="1"/>
  <c r="AC398" i="24" l="1"/>
  <c r="AA398" i="24"/>
  <c r="R398" i="24"/>
  <c r="Y398" i="24" s="1"/>
  <c r="AF398" i="24" l="1"/>
  <c r="D399" i="24" s="1"/>
  <c r="U399" i="24" s="1"/>
  <c r="W398" i="24"/>
  <c r="AD398" i="24" s="1"/>
  <c r="X398" i="24"/>
  <c r="AE398" i="24" s="1"/>
  <c r="I399" i="24" l="1"/>
  <c r="AG398" i="24"/>
  <c r="V399" i="24"/>
  <c r="G399" i="24"/>
  <c r="B399" i="24"/>
  <c r="H399" i="24"/>
  <c r="C399" i="24"/>
  <c r="F399" i="24" l="1"/>
  <c r="E399" i="24"/>
  <c r="J399" i="24"/>
  <c r="O399" i="24" s="1"/>
  <c r="K399" i="24" l="1"/>
  <c r="P399" i="24"/>
  <c r="Q399" i="24" s="1"/>
  <c r="L399" i="24"/>
  <c r="M399" i="24" s="1"/>
  <c r="S399" i="24" l="1"/>
  <c r="T399" i="24" s="1"/>
  <c r="AC399" i="24" s="1"/>
  <c r="AA399" i="24"/>
  <c r="AB399" i="24"/>
  <c r="R399" i="24"/>
  <c r="W399" i="24" l="1"/>
  <c r="AD399" i="24" s="1"/>
  <c r="Y399" i="24"/>
  <c r="AF399" i="24" s="1"/>
  <c r="X399" i="24"/>
  <c r="AE399" i="24" s="1"/>
  <c r="H400" i="24" l="1"/>
  <c r="C400" i="24"/>
  <c r="I400" i="24"/>
  <c r="D400" i="24"/>
  <c r="G400" i="24"/>
  <c r="B400" i="24"/>
  <c r="E400" i="24" l="1"/>
  <c r="U400" i="24"/>
  <c r="AG399" i="24"/>
  <c r="V400" i="24"/>
  <c r="F400" i="24"/>
  <c r="J400" i="24"/>
  <c r="O400" i="24" s="1"/>
  <c r="K400" i="24" l="1"/>
  <c r="P400" i="24"/>
  <c r="Q400" i="24" s="1"/>
  <c r="L400" i="24"/>
  <c r="M400" i="24" s="1"/>
  <c r="S400" i="24" l="1"/>
  <c r="T400" i="24" s="1"/>
  <c r="AA400" i="24"/>
  <c r="AB400" i="24"/>
  <c r="AC400" i="24"/>
  <c r="R400" i="24"/>
  <c r="W400" i="24" l="1"/>
  <c r="AD400" i="24" s="1"/>
  <c r="Y400" i="24"/>
  <c r="AF400" i="24" s="1"/>
  <c r="X400" i="24"/>
  <c r="AE400" i="24" s="1"/>
  <c r="C401" i="24" l="1"/>
  <c r="H401" i="24"/>
  <c r="D401" i="24"/>
  <c r="I401" i="24"/>
  <c r="B401" i="24"/>
  <c r="G401" i="24"/>
  <c r="U401" i="24" l="1"/>
  <c r="V401" i="24"/>
  <c r="AG400" i="24"/>
  <c r="J401" i="24"/>
  <c r="O401" i="24" s="1"/>
  <c r="F401" i="24"/>
  <c r="E401" i="24"/>
  <c r="K401" i="24" l="1"/>
  <c r="L401" i="24"/>
  <c r="M401" i="24" s="1"/>
  <c r="P401" i="24"/>
  <c r="Q401" i="24" s="1"/>
  <c r="S401" i="24" l="1"/>
  <c r="T401" i="24" s="1"/>
  <c r="AA401" i="24" s="1"/>
  <c r="AB401" i="24"/>
  <c r="AC401" i="24"/>
  <c r="R401" i="24"/>
  <c r="W401" i="24" s="1"/>
  <c r="AD401" i="24" l="1"/>
  <c r="B402" i="24" s="1"/>
  <c r="Y401" i="24"/>
  <c r="AF401" i="24" s="1"/>
  <c r="D402" i="24" s="1"/>
  <c r="AG401" i="24" s="1"/>
  <c r="X401" i="24"/>
  <c r="AE401" i="24" s="1"/>
  <c r="G402" i="24" l="1"/>
  <c r="I402" i="24"/>
  <c r="V402" i="24"/>
  <c r="U402" i="24"/>
  <c r="H402" i="24"/>
  <c r="C402" i="24"/>
  <c r="F402" i="24" l="1"/>
  <c r="E402" i="24"/>
  <c r="J402" i="24"/>
  <c r="O402" i="24" s="1"/>
  <c r="K402" i="24" l="1"/>
  <c r="L402" i="24"/>
  <c r="M402" i="24" s="1"/>
  <c r="P402" i="24"/>
  <c r="Q402" i="24" s="1"/>
  <c r="S402" i="24" l="1"/>
  <c r="T402" i="24" s="1"/>
  <c r="AB402" i="24"/>
  <c r="AC402" i="24"/>
  <c r="AA402" i="24"/>
  <c r="R402" i="24"/>
  <c r="W402" i="24" s="1"/>
  <c r="AD402" i="24" l="1"/>
  <c r="B403" i="24" s="1"/>
  <c r="Y402" i="24"/>
  <c r="AF402" i="24" s="1"/>
  <c r="X402" i="24"/>
  <c r="AE402" i="24" s="1"/>
  <c r="G403" i="24" l="1"/>
  <c r="C403" i="24"/>
  <c r="F403" i="24" s="1"/>
  <c r="H403" i="24"/>
  <c r="I403" i="24"/>
  <c r="D403" i="24"/>
  <c r="J403" i="24" l="1"/>
  <c r="AG402" i="24"/>
  <c r="V403" i="24"/>
  <c r="U403" i="24"/>
  <c r="O403" i="24"/>
  <c r="E403" i="24"/>
  <c r="K403" i="24" l="1"/>
  <c r="L403" i="24"/>
  <c r="M403" i="24" s="1"/>
  <c r="P403" i="24"/>
  <c r="Q403" i="24" s="1"/>
  <c r="S403" i="24" l="1"/>
  <c r="T403" i="24" s="1"/>
  <c r="AC403" i="24" s="1"/>
  <c r="AA403" i="24"/>
  <c r="AB403" i="24"/>
  <c r="R403" i="24"/>
  <c r="W403" i="24" s="1"/>
  <c r="X403" i="24" l="1"/>
  <c r="AE403" i="24" s="1"/>
  <c r="Y403" i="24"/>
  <c r="AF403" i="24" s="1"/>
  <c r="AD403" i="24"/>
  <c r="G404" i="24" s="1"/>
  <c r="B404" i="24" l="1"/>
  <c r="C404" i="24"/>
  <c r="H404" i="24"/>
  <c r="I404" i="24"/>
  <c r="D404" i="24"/>
  <c r="J404" i="24" l="1"/>
  <c r="O404" i="24" s="1"/>
  <c r="AG403" i="24"/>
  <c r="V404" i="24"/>
  <c r="U404" i="24"/>
  <c r="E404" i="24"/>
  <c r="F404" i="24"/>
  <c r="P404" i="24" l="1"/>
  <c r="Q404" i="24" s="1"/>
  <c r="L404" i="24"/>
  <c r="M404" i="24" s="1"/>
  <c r="K404" i="24"/>
  <c r="S404" i="24" l="1"/>
  <c r="T404" i="24" s="1"/>
  <c r="AA404" i="24"/>
  <c r="AB404" i="24"/>
  <c r="AC404" i="24"/>
  <c r="R404" i="24"/>
  <c r="X404" i="24" l="1"/>
  <c r="AE404" i="24" s="1"/>
  <c r="W404" i="24"/>
  <c r="AD404" i="24" s="1"/>
  <c r="Y404" i="24"/>
  <c r="AF404" i="24" s="1"/>
  <c r="D405" i="24" l="1"/>
  <c r="I405" i="24"/>
  <c r="G405" i="24"/>
  <c r="B405" i="24"/>
  <c r="H405" i="24"/>
  <c r="C405" i="24"/>
  <c r="E405" i="24" l="1"/>
  <c r="J405" i="24"/>
  <c r="P405" i="24" s="1"/>
  <c r="Q405" i="24" s="1"/>
  <c r="F405" i="24"/>
  <c r="AG404" i="24"/>
  <c r="U405" i="24"/>
  <c r="O405" i="24"/>
  <c r="V405" i="24"/>
  <c r="L405" i="24" l="1"/>
  <c r="M405" i="24" s="1"/>
  <c r="K405" i="24"/>
  <c r="S405" i="24" l="1"/>
  <c r="AA405" i="24"/>
  <c r="AB405" i="24"/>
  <c r="AC405" i="24"/>
  <c r="T405" i="24"/>
  <c r="R405" i="24"/>
  <c r="W405" i="24" l="1"/>
  <c r="X405" i="24"/>
  <c r="Y405" i="24"/>
  <c r="AD405" i="24" l="1"/>
  <c r="B406" i="24" s="1"/>
  <c r="AF405" i="24"/>
  <c r="AE405" i="24"/>
  <c r="G406" i="24" l="1"/>
  <c r="C406" i="24"/>
  <c r="F406" i="24" s="1"/>
  <c r="H406" i="24"/>
  <c r="D406" i="24"/>
  <c r="I406" i="24"/>
  <c r="J406" i="24" l="1"/>
  <c r="P406" i="24" s="1"/>
  <c r="Q406" i="24" s="1"/>
  <c r="E406" i="24"/>
  <c r="AG405" i="24"/>
  <c r="V406" i="24"/>
  <c r="U406" i="24"/>
  <c r="O406" i="24" l="1"/>
  <c r="L406" i="24"/>
  <c r="M406" i="24" s="1"/>
  <c r="K406" i="24"/>
  <c r="S406" i="24" l="1"/>
  <c r="T406" i="24" s="1"/>
  <c r="AB406" i="24" s="1"/>
  <c r="AC406" i="24" l="1"/>
  <c r="AA406" i="24"/>
  <c r="R406" i="24"/>
  <c r="W406" i="24" s="1"/>
  <c r="AD406" i="24" l="1"/>
  <c r="X406" i="24"/>
  <c r="AE406" i="24" s="1"/>
  <c r="H407" i="24" s="1"/>
  <c r="Y406" i="24"/>
  <c r="AF406" i="24" s="1"/>
  <c r="D407" i="24" s="1"/>
  <c r="V407" i="24" s="1"/>
  <c r="G407" i="24"/>
  <c r="B407" i="24"/>
  <c r="C407" i="24" l="1"/>
  <c r="AG406" i="24"/>
  <c r="U407" i="24"/>
  <c r="I407" i="24"/>
  <c r="J407" i="24" s="1"/>
  <c r="K407" i="24" s="1"/>
  <c r="E407" i="24"/>
  <c r="F407" i="24"/>
  <c r="L407" i="24" l="1"/>
  <c r="M407" i="24" s="1"/>
  <c r="P407" i="24"/>
  <c r="Q407" i="24" s="1"/>
  <c r="O407" i="24"/>
  <c r="S407" i="24" l="1"/>
  <c r="T407" i="24" s="1"/>
  <c r="AC407" i="24" s="1"/>
  <c r="AA407" i="24" l="1"/>
  <c r="AB407" i="24"/>
  <c r="R407" i="24"/>
  <c r="X407" i="24" s="1"/>
  <c r="AE407" i="24" l="1"/>
  <c r="H408" i="24" s="1"/>
  <c r="W407" i="24"/>
  <c r="AD407" i="24" s="1"/>
  <c r="Y407" i="24"/>
  <c r="AF407" i="24" s="1"/>
  <c r="C408" i="24" l="1"/>
  <c r="B408" i="24"/>
  <c r="G408" i="24"/>
  <c r="D408" i="24"/>
  <c r="I408" i="24"/>
  <c r="E408" i="24" l="1"/>
  <c r="J408" i="24"/>
  <c r="L408" i="24" s="1"/>
  <c r="M408" i="24" s="1"/>
  <c r="F408" i="24"/>
  <c r="O408" i="24"/>
  <c r="AG407" i="24"/>
  <c r="U408" i="24"/>
  <c r="V408" i="24"/>
  <c r="S408" i="24" l="1"/>
  <c r="T408" i="24" s="1"/>
  <c r="AA408" i="24" s="1"/>
  <c r="P408" i="24"/>
  <c r="Q408" i="24" s="1"/>
  <c r="K408" i="24"/>
  <c r="AC408" i="24" l="1"/>
  <c r="AB408" i="24"/>
  <c r="R408" i="24"/>
  <c r="Y408" i="24" s="1"/>
  <c r="AF408" i="24" l="1"/>
  <c r="I409" i="24" s="1"/>
  <c r="W408" i="24"/>
  <c r="AD408" i="24" s="1"/>
  <c r="X408" i="24"/>
  <c r="AE408" i="24" s="1"/>
  <c r="D409" i="24" l="1"/>
  <c r="AG408" i="24" s="1"/>
  <c r="H409" i="24"/>
  <c r="C409" i="24"/>
  <c r="G409" i="24"/>
  <c r="B409" i="24"/>
  <c r="V409" i="24" l="1"/>
  <c r="U409" i="24"/>
  <c r="F409" i="24"/>
  <c r="E409" i="24"/>
  <c r="J409" i="24"/>
  <c r="O409" i="24" s="1"/>
  <c r="P409" i="24" l="1"/>
  <c r="Q409" i="24" s="1"/>
  <c r="L409" i="24"/>
  <c r="M409" i="24" s="1"/>
  <c r="K409" i="24"/>
  <c r="S409" i="24" l="1"/>
  <c r="T409" i="24" s="1"/>
  <c r="AA409" i="24" s="1"/>
  <c r="R409" i="24"/>
  <c r="AC409" i="24" l="1"/>
  <c r="AB409" i="24"/>
  <c r="Y409" i="24"/>
  <c r="AF409" i="24" s="1"/>
  <c r="X409" i="24"/>
  <c r="W409" i="24"/>
  <c r="AD409" i="24" s="1"/>
  <c r="AE409" i="24" l="1"/>
  <c r="I410" i="24"/>
  <c r="D410" i="24"/>
  <c r="C410" i="24"/>
  <c r="H410" i="24"/>
  <c r="B410" i="24"/>
  <c r="G410" i="24"/>
  <c r="J410" i="24" l="1"/>
  <c r="V410" i="24"/>
  <c r="U410" i="24"/>
  <c r="AG409" i="24"/>
  <c r="O410" i="24"/>
  <c r="F410" i="24"/>
  <c r="E410" i="24"/>
  <c r="L410" i="24" l="1"/>
  <c r="M410" i="24" s="1"/>
  <c r="K410" i="24"/>
  <c r="P410" i="24"/>
  <c r="Q410" i="24" s="1"/>
  <c r="S410" i="24" l="1"/>
  <c r="T410" i="24" s="1"/>
  <c r="AB410" i="24"/>
  <c r="AC410" i="24"/>
  <c r="AA410" i="24"/>
  <c r="R410" i="24"/>
  <c r="W410" i="24" s="1"/>
  <c r="X410" i="24" l="1"/>
  <c r="AE410" i="24" s="1"/>
  <c r="Y410" i="24"/>
  <c r="AF410" i="24" s="1"/>
  <c r="AD410" i="24"/>
  <c r="C411" i="24" l="1"/>
  <c r="H411" i="24"/>
  <c r="B411" i="24"/>
  <c r="G411" i="24"/>
  <c r="D411" i="24"/>
  <c r="I411" i="24"/>
  <c r="E411" i="24" l="1"/>
  <c r="J411" i="24"/>
  <c r="P411" i="24" s="1"/>
  <c r="Q411" i="24" s="1"/>
  <c r="U411" i="24"/>
  <c r="AG410" i="24"/>
  <c r="V411" i="24"/>
  <c r="O411" i="24"/>
  <c r="F411" i="24"/>
  <c r="K411" i="24" l="1"/>
  <c r="L411" i="24"/>
  <c r="M411" i="24" s="1"/>
  <c r="S411" i="24" l="1"/>
  <c r="AC411" i="24"/>
  <c r="AA411" i="24"/>
  <c r="AB411" i="24"/>
  <c r="T411" i="24"/>
  <c r="R411" i="24"/>
  <c r="Y411" i="24" s="1"/>
  <c r="AF411" i="24" l="1"/>
  <c r="W411" i="24"/>
  <c r="X411" i="24"/>
  <c r="AE411" i="24" s="1"/>
  <c r="AD411" i="24" l="1"/>
  <c r="B412" i="24" s="1"/>
  <c r="C412" i="24"/>
  <c r="H412" i="24"/>
  <c r="I412" i="24"/>
  <c r="D412" i="24"/>
  <c r="G412" i="24" l="1"/>
  <c r="J412" i="24" s="1"/>
  <c r="P412" i="24" s="1"/>
  <c r="Q412" i="24" s="1"/>
  <c r="E412" i="24"/>
  <c r="AG411" i="24"/>
  <c r="V412" i="24"/>
  <c r="U412" i="24"/>
  <c r="F412" i="24"/>
  <c r="O412" i="24" l="1"/>
  <c r="K412" i="24"/>
  <c r="L412" i="24"/>
  <c r="M412" i="24" s="1"/>
  <c r="S412" i="24" l="1"/>
  <c r="T412" i="24" s="1"/>
  <c r="AA412" i="24" s="1"/>
  <c r="AB412" i="24" l="1"/>
  <c r="AC412" i="24"/>
  <c r="R412" i="24"/>
  <c r="W412" i="24" s="1"/>
  <c r="AD412" i="24" s="1"/>
  <c r="G413" i="24" s="1"/>
  <c r="Y412" i="24" l="1"/>
  <c r="AF412" i="24" s="1"/>
  <c r="D413" i="24" s="1"/>
  <c r="AG412" i="24" s="1"/>
  <c r="X412" i="24"/>
  <c r="AE412" i="24" s="1"/>
  <c r="C413" i="24" s="1"/>
  <c r="B413" i="24"/>
  <c r="U413" i="24" l="1"/>
  <c r="V413" i="24"/>
  <c r="I413" i="24"/>
  <c r="H413" i="24"/>
  <c r="E413" i="24"/>
  <c r="F413" i="24"/>
  <c r="J413" i="24" l="1"/>
  <c r="K413" i="24" s="1"/>
  <c r="O413" i="24" l="1"/>
  <c r="L413" i="24"/>
  <c r="M413" i="24" s="1"/>
  <c r="P413" i="24"/>
  <c r="Q413" i="24" s="1"/>
  <c r="S413" i="24" l="1"/>
  <c r="T413" i="24" s="1"/>
  <c r="AA413" i="24" s="1"/>
  <c r="AB413" i="24" l="1"/>
  <c r="AC413" i="24"/>
  <c r="R413" i="24"/>
  <c r="W413" i="24" s="1"/>
  <c r="AD413" i="24" s="1"/>
  <c r="G414" i="24" s="1"/>
  <c r="B414" i="24" l="1"/>
  <c r="X413" i="24"/>
  <c r="AE413" i="24" s="1"/>
  <c r="H414" i="24" s="1"/>
  <c r="Y413" i="24"/>
  <c r="AF413" i="24" s="1"/>
  <c r="I414" i="24" s="1"/>
  <c r="J414" i="24" l="1"/>
  <c r="P414" i="24" s="1"/>
  <c r="Q414" i="24" s="1"/>
  <c r="C414" i="24"/>
  <c r="F414" i="24" s="1"/>
  <c r="D414" i="24"/>
  <c r="AG413" i="24" s="1"/>
  <c r="L414" i="24" l="1"/>
  <c r="M414" i="24" s="1"/>
  <c r="E414" i="24"/>
  <c r="K414" i="24"/>
  <c r="V414" i="24"/>
  <c r="O414" i="24"/>
  <c r="U414" i="24"/>
  <c r="S414" i="24" l="1"/>
  <c r="T414" i="24" s="1"/>
  <c r="AB414" i="24" s="1"/>
  <c r="AA414" i="24" l="1"/>
  <c r="AC414" i="24"/>
  <c r="R414" i="24"/>
  <c r="X414" i="24" s="1"/>
  <c r="AE414" i="24" s="1"/>
  <c r="H415" i="24" s="1"/>
  <c r="W414" i="24" l="1"/>
  <c r="AD414" i="24" s="1"/>
  <c r="B415" i="24" s="1"/>
  <c r="Y414" i="24"/>
  <c r="AF414" i="24" s="1"/>
  <c r="I415" i="24" s="1"/>
  <c r="C415" i="24"/>
  <c r="F415" i="24" l="1"/>
  <c r="G415" i="24"/>
  <c r="J415" i="24" s="1"/>
  <c r="L415" i="24" s="1"/>
  <c r="M415" i="24" s="1"/>
  <c r="D415" i="24"/>
  <c r="AG414" i="24" s="1"/>
  <c r="E415" i="24"/>
  <c r="P415" i="24" l="1"/>
  <c r="Q415" i="24" s="1"/>
  <c r="K415" i="24"/>
  <c r="O415" i="24"/>
  <c r="S415" i="24" s="1"/>
  <c r="T415" i="24" s="1"/>
  <c r="AC415" i="24" s="1"/>
  <c r="V415" i="24"/>
  <c r="U415" i="24"/>
  <c r="AB415" i="24" l="1"/>
  <c r="AA415" i="24"/>
  <c r="R415" i="24"/>
  <c r="X415" i="24" s="1"/>
  <c r="Y415" i="24" l="1"/>
  <c r="AF415" i="24" s="1"/>
  <c r="W415" i="24"/>
  <c r="AD415" i="24" s="1"/>
  <c r="AE415" i="24"/>
  <c r="G416" i="24" l="1"/>
  <c r="B416" i="24"/>
  <c r="H416" i="24"/>
  <c r="C416" i="24"/>
  <c r="I416" i="24"/>
  <c r="D416" i="24"/>
  <c r="F416" i="24" l="1"/>
  <c r="AG415" i="24"/>
  <c r="V416" i="24"/>
  <c r="U416" i="24"/>
  <c r="E416" i="24"/>
  <c r="J416" i="24"/>
  <c r="O416" i="24" s="1"/>
  <c r="P416" i="24" l="1"/>
  <c r="Q416" i="24" s="1"/>
  <c r="K416" i="24"/>
  <c r="L416" i="24"/>
  <c r="M416" i="24" s="1"/>
  <c r="S416" i="24" l="1"/>
  <c r="T416" i="24" s="1"/>
  <c r="AA416" i="24" s="1"/>
  <c r="R416" i="24"/>
  <c r="AC416" i="24" l="1"/>
  <c r="AB416" i="24"/>
  <c r="X416" i="24"/>
  <c r="Y416" i="24"/>
  <c r="W416" i="24"/>
  <c r="AD416" i="24" l="1"/>
  <c r="AF416" i="24"/>
  <c r="AE416" i="24"/>
  <c r="D417" i="24" l="1"/>
  <c r="I417" i="24"/>
  <c r="C417" i="24"/>
  <c r="H417" i="24"/>
  <c r="B417" i="24"/>
  <c r="G417" i="24"/>
  <c r="F417" i="24" l="1"/>
  <c r="J417" i="24"/>
  <c r="E417" i="24"/>
  <c r="AG416" i="24"/>
  <c r="V417" i="24"/>
  <c r="U417" i="24"/>
  <c r="O417" i="24"/>
  <c r="K417" i="24" l="1"/>
  <c r="P417" i="24"/>
  <c r="Q417" i="24" s="1"/>
  <c r="L417" i="24"/>
  <c r="M417" i="24" s="1"/>
  <c r="S417" i="24" l="1"/>
  <c r="T417" i="24" s="1"/>
  <c r="AA417" i="24"/>
  <c r="AB417" i="24"/>
  <c r="AC417" i="24"/>
  <c r="R417" i="24"/>
  <c r="Y417" i="24" l="1"/>
  <c r="AF417" i="24" s="1"/>
  <c r="W417" i="24"/>
  <c r="AD417" i="24" s="1"/>
  <c r="X417" i="24"/>
  <c r="AE417" i="24" s="1"/>
  <c r="H418" i="24" l="1"/>
  <c r="C418" i="24"/>
  <c r="G418" i="24"/>
  <c r="B418" i="24"/>
  <c r="I418" i="24"/>
  <c r="D418" i="24"/>
  <c r="E418" i="24" l="1"/>
  <c r="J418" i="24"/>
  <c r="L418" i="24" s="1"/>
  <c r="M418" i="24" s="1"/>
  <c r="F418" i="24"/>
  <c r="U418" i="24"/>
  <c r="V418" i="24"/>
  <c r="AG417" i="24"/>
  <c r="O418" i="24" l="1"/>
  <c r="S418" i="24" s="1"/>
  <c r="T418" i="24" s="1"/>
  <c r="AB418" i="24" s="1"/>
  <c r="P418" i="24"/>
  <c r="Q418" i="24" s="1"/>
  <c r="K418" i="24"/>
  <c r="AA418" i="24" l="1"/>
  <c r="AC418" i="24"/>
  <c r="R418" i="24"/>
  <c r="Y418" i="24" s="1"/>
  <c r="X418" i="24" l="1"/>
  <c r="AE418" i="24" s="1"/>
  <c r="W418" i="24"/>
  <c r="AD418" i="24" s="1"/>
  <c r="B419" i="24" s="1"/>
  <c r="AF418" i="24"/>
  <c r="I419" i="24" s="1"/>
  <c r="D419" i="24" l="1"/>
  <c r="AG418" i="24" s="1"/>
  <c r="G419" i="24"/>
  <c r="C419" i="24"/>
  <c r="F419" i="24" s="1"/>
  <c r="H419" i="24"/>
  <c r="V419" i="24" l="1"/>
  <c r="U419" i="24"/>
  <c r="J419" i="24"/>
  <c r="O419" i="24" s="1"/>
  <c r="E419" i="24"/>
  <c r="L419" i="24" l="1"/>
  <c r="M419" i="24" s="1"/>
  <c r="K419" i="24"/>
  <c r="P419" i="24"/>
  <c r="Q419" i="24" s="1"/>
  <c r="S419" i="24" l="1"/>
  <c r="T419" i="24" s="1"/>
  <c r="AC419" i="24"/>
  <c r="AA419" i="24"/>
  <c r="AB419" i="24"/>
  <c r="R419" i="24"/>
  <c r="X419" i="24" s="1"/>
  <c r="W419" i="24" l="1"/>
  <c r="AD419" i="24" s="1"/>
  <c r="Y419" i="24"/>
  <c r="AF419" i="24" s="1"/>
  <c r="AE419" i="24"/>
  <c r="H420" i="24" l="1"/>
  <c r="C420" i="24"/>
  <c r="I420" i="24"/>
  <c r="D420" i="24"/>
  <c r="G420" i="24"/>
  <c r="B420" i="24"/>
  <c r="E420" i="24" l="1"/>
  <c r="V420" i="24"/>
  <c r="U420" i="24"/>
  <c r="AG419" i="24"/>
  <c r="F420" i="24"/>
  <c r="J420" i="24"/>
  <c r="O420" i="24" s="1"/>
  <c r="K420" i="24" l="1"/>
  <c r="P420" i="24"/>
  <c r="Q420" i="24" s="1"/>
  <c r="L420" i="24"/>
  <c r="M420" i="24" s="1"/>
  <c r="S420" i="24" l="1"/>
  <c r="T420" i="24" s="1"/>
  <c r="AA420" i="24"/>
  <c r="AB420" i="24"/>
  <c r="AC420" i="24"/>
  <c r="R420" i="24"/>
  <c r="X420" i="24" l="1"/>
  <c r="AE420" i="24" s="1"/>
  <c r="Y420" i="24"/>
  <c r="AF420" i="24" s="1"/>
  <c r="W420" i="24"/>
  <c r="AD420" i="24" s="1"/>
  <c r="B421" i="24" l="1"/>
  <c r="G421" i="24"/>
  <c r="I421" i="24"/>
  <c r="D421" i="24"/>
  <c r="H421" i="24"/>
  <c r="C421" i="24"/>
  <c r="F421" i="24" l="1"/>
  <c r="J421" i="24"/>
  <c r="K421" i="24" s="1"/>
  <c r="AG420" i="24"/>
  <c r="V421" i="24"/>
  <c r="U421" i="24"/>
  <c r="E421" i="24"/>
  <c r="O421" i="24" l="1"/>
  <c r="P421" i="24"/>
  <c r="Q421" i="24" s="1"/>
  <c r="L421" i="24"/>
  <c r="M421" i="24" s="1"/>
  <c r="S421" i="24" l="1"/>
  <c r="T421" i="24"/>
  <c r="AA421" i="24" s="1"/>
  <c r="R421" i="24"/>
  <c r="Y421" i="24" s="1"/>
  <c r="AC421" i="24" l="1"/>
  <c r="AB421" i="24"/>
  <c r="W421" i="24"/>
  <c r="X421" i="24"/>
  <c r="AF421" i="24"/>
  <c r="AE421" i="24" l="1"/>
  <c r="C422" i="24" s="1"/>
  <c r="AD421" i="24"/>
  <c r="B422" i="24" s="1"/>
  <c r="D422" i="24"/>
  <c r="V422" i="24" s="1"/>
  <c r="I422" i="24"/>
  <c r="G422" i="24" l="1"/>
  <c r="U422" i="24"/>
  <c r="E422" i="24"/>
  <c r="H422" i="24"/>
  <c r="AG421" i="24"/>
  <c r="F422" i="24"/>
  <c r="J422" i="24" l="1"/>
  <c r="P422" i="24" s="1"/>
  <c r="Q422" i="24" s="1"/>
  <c r="O422" i="24" l="1"/>
  <c r="L422" i="24"/>
  <c r="M422" i="24" s="1"/>
  <c r="K422" i="24"/>
  <c r="S422" i="24" l="1"/>
  <c r="R422" i="24" s="1"/>
  <c r="W422" i="24" s="1"/>
  <c r="T422" i="24" l="1"/>
  <c r="AB422" i="24" s="1"/>
  <c r="AA422" i="24"/>
  <c r="AD422" i="24" s="1"/>
  <c r="AC422" i="24"/>
  <c r="X422" i="24"/>
  <c r="AE422" i="24" s="1"/>
  <c r="Y422" i="24"/>
  <c r="AF422" i="24" l="1"/>
  <c r="G423" i="24"/>
  <c r="B423" i="24"/>
  <c r="I423" i="24"/>
  <c r="D423" i="24"/>
  <c r="C423" i="24"/>
  <c r="H423" i="24"/>
  <c r="AG422" i="24" l="1"/>
  <c r="U423" i="24"/>
  <c r="V423" i="24"/>
  <c r="J423" i="24"/>
  <c r="O423" i="24" s="1"/>
  <c r="F423" i="24"/>
  <c r="E423" i="24"/>
  <c r="K423" i="24" l="1"/>
  <c r="P423" i="24"/>
  <c r="Q423" i="24" s="1"/>
  <c r="L423" i="24"/>
  <c r="M423" i="24" s="1"/>
  <c r="S423" i="24" l="1"/>
  <c r="T423" i="24" s="1"/>
  <c r="AC423" i="24"/>
  <c r="AA423" i="24"/>
  <c r="AB423" i="24"/>
  <c r="R423" i="24"/>
  <c r="W423" i="24" l="1"/>
  <c r="AD423" i="24" s="1"/>
  <c r="X423" i="24"/>
  <c r="AE423" i="24" s="1"/>
  <c r="Y423" i="24"/>
  <c r="AF423" i="24" s="1"/>
  <c r="I424" i="24" l="1"/>
  <c r="D424" i="24"/>
  <c r="H424" i="24"/>
  <c r="C424" i="24"/>
  <c r="G424" i="24"/>
  <c r="B424" i="24"/>
  <c r="F424" i="24" l="1"/>
  <c r="U424" i="24"/>
  <c r="V424" i="24"/>
  <c r="AG423" i="24"/>
  <c r="E424" i="24"/>
  <c r="J424" i="24"/>
  <c r="O424" i="24" s="1"/>
  <c r="L424" i="24" l="1"/>
  <c r="M424" i="24" s="1"/>
  <c r="P424" i="24"/>
  <c r="Q424" i="24" s="1"/>
  <c r="K424" i="24"/>
  <c r="S424" i="24" l="1"/>
  <c r="T424" i="24" s="1"/>
  <c r="AA424" i="24" s="1"/>
  <c r="AC424" i="24"/>
  <c r="R424" i="24"/>
  <c r="W424" i="24" s="1"/>
  <c r="AB424" i="24" l="1"/>
  <c r="Y424" i="24"/>
  <c r="AF424" i="24" s="1"/>
  <c r="X424" i="24"/>
  <c r="AE424" i="24" s="1"/>
  <c r="AD424" i="24"/>
  <c r="G425" i="24" l="1"/>
  <c r="B425" i="24"/>
  <c r="H425" i="24"/>
  <c r="C425" i="24"/>
  <c r="D425" i="24"/>
  <c r="I425" i="24"/>
  <c r="F425" i="24" l="1"/>
  <c r="E425" i="24"/>
  <c r="AG424" i="24"/>
  <c r="V425" i="24"/>
  <c r="U425" i="24"/>
  <c r="J425" i="24"/>
  <c r="O425" i="24" s="1"/>
  <c r="L425" i="24" l="1"/>
  <c r="M425" i="24" s="1"/>
  <c r="P425" i="24"/>
  <c r="Q425" i="24" s="1"/>
  <c r="K425" i="24"/>
  <c r="S425" i="24" l="1"/>
  <c r="T425" i="24" s="1"/>
  <c r="AA425" i="24" s="1"/>
  <c r="AC425" i="24"/>
  <c r="R425" i="24"/>
  <c r="AB425" i="24" l="1"/>
  <c r="W425" i="24"/>
  <c r="AD425" i="24" s="1"/>
  <c r="Y425" i="24"/>
  <c r="AF425" i="24" s="1"/>
  <c r="X425" i="24"/>
  <c r="AE425" i="24" s="1"/>
  <c r="B426" i="24" l="1"/>
  <c r="G426" i="24"/>
  <c r="I426" i="24"/>
  <c r="D426" i="24"/>
  <c r="C426" i="24"/>
  <c r="H426" i="24"/>
  <c r="F426" i="24" l="1"/>
  <c r="U426" i="24"/>
  <c r="AG425" i="24"/>
  <c r="V426" i="24"/>
  <c r="J426" i="24"/>
  <c r="O426" i="24" s="1"/>
  <c r="E426" i="24"/>
  <c r="K426" i="24" l="1"/>
  <c r="P426" i="24"/>
  <c r="Q426" i="24" s="1"/>
  <c r="L426" i="24"/>
  <c r="M426" i="24" s="1"/>
  <c r="S426" i="24" l="1"/>
  <c r="T426" i="24" s="1"/>
  <c r="AB426" i="24" s="1"/>
  <c r="AA426" i="24"/>
  <c r="R426" i="24"/>
  <c r="AC426" i="24" l="1"/>
  <c r="Y426" i="24"/>
  <c r="W426" i="24"/>
  <c r="AD426" i="24" s="1"/>
  <c r="X426" i="24"/>
  <c r="AE426" i="24" s="1"/>
  <c r="AF426" i="24" l="1"/>
  <c r="I427" i="24" s="1"/>
  <c r="D427" i="24"/>
  <c r="C427" i="24"/>
  <c r="H427" i="24"/>
  <c r="G427" i="24"/>
  <c r="B427" i="24"/>
  <c r="J427" i="24" l="1"/>
  <c r="K427" i="24" s="1"/>
  <c r="F427" i="24"/>
  <c r="E427" i="24"/>
  <c r="AG426" i="24"/>
  <c r="V427" i="24"/>
  <c r="U427" i="24"/>
  <c r="O427" i="24"/>
  <c r="L427" i="24" l="1"/>
  <c r="M427" i="24" s="1"/>
  <c r="P427" i="24"/>
  <c r="Q427" i="24" s="1"/>
  <c r="S427" i="24" l="1"/>
  <c r="T427" i="24" s="1"/>
  <c r="AC427" i="24"/>
  <c r="AA427" i="24"/>
  <c r="AB427" i="24"/>
  <c r="R427" i="24"/>
  <c r="X427" i="24" s="1"/>
  <c r="Y427" i="24" l="1"/>
  <c r="AF427" i="24" s="1"/>
  <c r="D428" i="24" s="1"/>
  <c r="U428" i="24" s="1"/>
  <c r="W427" i="24"/>
  <c r="AD427" i="24" s="1"/>
  <c r="AE427" i="24"/>
  <c r="I428" i="24" l="1"/>
  <c r="V428" i="24"/>
  <c r="AG427" i="24"/>
  <c r="H428" i="24"/>
  <c r="C428" i="24"/>
  <c r="B428" i="24"/>
  <c r="G428" i="24"/>
  <c r="E428" i="24" l="1"/>
  <c r="J428" i="24"/>
  <c r="O428" i="24" s="1"/>
  <c r="F428" i="24"/>
  <c r="P428" i="24" l="1"/>
  <c r="Q428" i="24" s="1"/>
  <c r="L428" i="24"/>
  <c r="M428" i="24" s="1"/>
  <c r="K428" i="24"/>
  <c r="S428" i="24" l="1"/>
  <c r="T428" i="24" s="1"/>
  <c r="AA428" i="24"/>
  <c r="AB428" i="24"/>
  <c r="AC428" i="24"/>
  <c r="R428" i="24"/>
  <c r="W428" i="24" l="1"/>
  <c r="AD428" i="24" s="1"/>
  <c r="X428" i="24"/>
  <c r="AE428" i="24" s="1"/>
  <c r="Y428" i="24"/>
  <c r="AF428" i="24" s="1"/>
  <c r="D429" i="24" l="1"/>
  <c r="I429" i="24"/>
  <c r="C429" i="24"/>
  <c r="H429" i="24"/>
  <c r="G429" i="24"/>
  <c r="B429" i="24"/>
  <c r="F429" i="24" l="1"/>
  <c r="E429" i="24"/>
  <c r="J429" i="24"/>
  <c r="O429" i="24" s="1"/>
  <c r="V429" i="24"/>
  <c r="AG428" i="24"/>
  <c r="U429" i="24"/>
  <c r="K429" i="24" l="1"/>
  <c r="P429" i="24"/>
  <c r="Q429" i="24" s="1"/>
  <c r="L429" i="24"/>
  <c r="M429" i="24" s="1"/>
  <c r="S429" i="24" l="1"/>
  <c r="T429" i="24" s="1"/>
  <c r="AA429" i="24" s="1"/>
  <c r="AB429" i="24"/>
  <c r="AC429" i="24"/>
  <c r="R429" i="24"/>
  <c r="W429" i="24" l="1"/>
  <c r="AD429" i="24" s="1"/>
  <c r="X429" i="24"/>
  <c r="AE429" i="24" s="1"/>
  <c r="Y429" i="24"/>
  <c r="AF429" i="24" s="1"/>
  <c r="I430" i="24" l="1"/>
  <c r="D430" i="24"/>
  <c r="C430" i="24"/>
  <c r="H430" i="24"/>
  <c r="B430" i="24"/>
  <c r="G430" i="24"/>
  <c r="F430" i="24" l="1"/>
  <c r="U430" i="24"/>
  <c r="AG429" i="24"/>
  <c r="V430" i="24"/>
  <c r="J430" i="24"/>
  <c r="O430" i="24" s="1"/>
  <c r="E430" i="24"/>
  <c r="L430" i="24" l="1"/>
  <c r="M430" i="24" s="1"/>
  <c r="K430" i="24"/>
  <c r="P430" i="24"/>
  <c r="Q430" i="24" s="1"/>
  <c r="S430" i="24" l="1"/>
  <c r="T430" i="24" s="1"/>
  <c r="AB430" i="24" s="1"/>
  <c r="AA430" i="24"/>
  <c r="R430" i="24"/>
  <c r="X430" i="24" s="1"/>
  <c r="AC430" i="24" l="1"/>
  <c r="W430" i="24"/>
  <c r="AD430" i="24" s="1"/>
  <c r="AE430" i="24"/>
  <c r="C431" i="24" s="1"/>
  <c r="Y430" i="24"/>
  <c r="AF430" i="24" s="1"/>
  <c r="H431" i="24" l="1"/>
  <c r="G431" i="24"/>
  <c r="B431" i="24"/>
  <c r="D431" i="24"/>
  <c r="I431" i="24"/>
  <c r="V431" i="24" l="1"/>
  <c r="U431" i="24"/>
  <c r="AG430" i="24"/>
  <c r="E431" i="24"/>
  <c r="F431" i="24"/>
  <c r="J431" i="24"/>
  <c r="O431" i="24" s="1"/>
  <c r="K431" i="24" l="1"/>
  <c r="P431" i="24"/>
  <c r="Q431" i="24" s="1"/>
  <c r="L431" i="24"/>
  <c r="M431" i="24" s="1"/>
  <c r="S431" i="24" l="1"/>
  <c r="T431" i="24" s="1"/>
  <c r="AC431" i="24"/>
  <c r="AA431" i="24"/>
  <c r="AB431" i="24"/>
  <c r="R431" i="24"/>
  <c r="W431" i="24" s="1"/>
  <c r="X431" i="24" l="1"/>
  <c r="AE431" i="24" s="1"/>
  <c r="Y431" i="24"/>
  <c r="AF431" i="24" s="1"/>
  <c r="AD431" i="24"/>
  <c r="H432" i="24" l="1"/>
  <c r="C432" i="24"/>
  <c r="B432" i="24"/>
  <c r="G432" i="24"/>
  <c r="I432" i="24"/>
  <c r="D432" i="24"/>
  <c r="J432" i="24" l="1"/>
  <c r="V432" i="24"/>
  <c r="O432" i="24"/>
  <c r="U432" i="24"/>
  <c r="AG431" i="24"/>
  <c r="E432" i="24"/>
  <c r="F432" i="24"/>
  <c r="K432" i="24" l="1"/>
  <c r="L432" i="24"/>
  <c r="M432" i="24" s="1"/>
  <c r="P432" i="24"/>
  <c r="Q432" i="24" s="1"/>
  <c r="S432" i="24" l="1"/>
  <c r="T432" i="24" s="1"/>
  <c r="AA432" i="24" s="1"/>
  <c r="AB432" i="24"/>
  <c r="AC432" i="24"/>
  <c r="R432" i="24"/>
  <c r="W432" i="24" s="1"/>
  <c r="X432" i="24" l="1"/>
  <c r="AE432" i="24" s="1"/>
  <c r="Y432" i="24"/>
  <c r="AF432" i="24" s="1"/>
  <c r="AD432" i="24"/>
  <c r="G433" i="24" l="1"/>
  <c r="B433" i="24"/>
  <c r="D433" i="24"/>
  <c r="I433" i="24"/>
  <c r="H433" i="24"/>
  <c r="C433" i="24"/>
  <c r="E433" i="24" l="1"/>
  <c r="J433" i="24"/>
  <c r="K433" i="24" s="1"/>
  <c r="F433" i="24"/>
  <c r="U433" i="24"/>
  <c r="AG432" i="24"/>
  <c r="V433" i="24"/>
  <c r="O433" i="24" l="1"/>
  <c r="L433" i="24"/>
  <c r="M433" i="24" s="1"/>
  <c r="P433" i="24"/>
  <c r="Q433" i="24" s="1"/>
  <c r="S433" i="24" l="1"/>
  <c r="T433" i="24" s="1"/>
  <c r="AA433" i="24" s="1"/>
  <c r="AB433" i="24" l="1"/>
  <c r="AC433" i="24"/>
  <c r="R433" i="24"/>
  <c r="X433" i="24" s="1"/>
  <c r="AE433" i="24" l="1"/>
  <c r="C434" i="24" s="1"/>
  <c r="W433" i="24"/>
  <c r="AD433" i="24" s="1"/>
  <c r="G434" i="24" s="1"/>
  <c r="Y433" i="24"/>
  <c r="AF433" i="24" s="1"/>
  <c r="I434" i="24" s="1"/>
  <c r="H434" i="24"/>
  <c r="B434" i="24" l="1"/>
  <c r="F434" i="24" s="1"/>
  <c r="D434" i="24"/>
  <c r="AG433" i="24" s="1"/>
  <c r="J434" i="24"/>
  <c r="L434" i="24" s="1"/>
  <c r="M434" i="24" s="1"/>
  <c r="E434" i="24" l="1"/>
  <c r="V434" i="24"/>
  <c r="U434" i="24"/>
  <c r="O434" i="24"/>
  <c r="S434" i="24" s="1"/>
  <c r="T434" i="24" s="1"/>
  <c r="AB434" i="24" s="1"/>
  <c r="P434" i="24"/>
  <c r="Q434" i="24" s="1"/>
  <c r="K434" i="24"/>
  <c r="AC434" i="24" l="1"/>
  <c r="AA434" i="24"/>
  <c r="R434" i="24"/>
  <c r="W434" i="24" s="1"/>
  <c r="Y434" i="24" l="1"/>
  <c r="AF434" i="24" s="1"/>
  <c r="D435" i="24" s="1"/>
  <c r="X434" i="24"/>
  <c r="AE434" i="24" s="1"/>
  <c r="C435" i="24" s="1"/>
  <c r="AD434" i="24"/>
  <c r="B435" i="24" s="1"/>
  <c r="H435" i="24" l="1"/>
  <c r="F435" i="24"/>
  <c r="G435" i="24"/>
  <c r="I435" i="24"/>
  <c r="AG434" i="24"/>
  <c r="V435" i="24"/>
  <c r="U435" i="24"/>
  <c r="E435" i="24"/>
  <c r="J435" i="24" l="1"/>
  <c r="P435" i="24" s="1"/>
  <c r="Q435" i="24" s="1"/>
  <c r="O435" i="24" l="1"/>
  <c r="K435" i="24"/>
  <c r="L435" i="24"/>
  <c r="M435" i="24" s="1"/>
  <c r="S435" i="24" l="1"/>
  <c r="T435" i="24" s="1"/>
  <c r="AC435" i="24" s="1"/>
  <c r="AA435" i="24" l="1"/>
  <c r="AB435" i="24"/>
  <c r="R435" i="24"/>
  <c r="X435" i="24" s="1"/>
  <c r="AE435" i="24" s="1"/>
  <c r="Y435" i="24" l="1"/>
  <c r="AF435" i="24" s="1"/>
  <c r="D436" i="24" s="1"/>
  <c r="W435" i="24"/>
  <c r="AD435" i="24" s="1"/>
  <c r="B436" i="24" s="1"/>
  <c r="C436" i="24"/>
  <c r="H436" i="24"/>
  <c r="I436" i="24" l="1"/>
  <c r="G436" i="24"/>
  <c r="E436" i="24"/>
  <c r="U436" i="24"/>
  <c r="AG435" i="24"/>
  <c r="V436" i="24"/>
  <c r="F436" i="24"/>
  <c r="J436" i="24" l="1"/>
  <c r="K436" i="24" s="1"/>
  <c r="O436" i="24"/>
  <c r="L436" i="24" l="1"/>
  <c r="M436" i="24" s="1"/>
  <c r="P436" i="24"/>
  <c r="Q436" i="24" s="1"/>
  <c r="S436" i="24" l="1"/>
  <c r="T436" i="24"/>
  <c r="AA436" i="24" s="1"/>
  <c r="R436" i="24"/>
  <c r="X436" i="24" s="1"/>
  <c r="AC436" i="24" l="1"/>
  <c r="AB436" i="24"/>
  <c r="AE436" i="24" s="1"/>
  <c r="Y436" i="24"/>
  <c r="AF436" i="24" s="1"/>
  <c r="I437" i="24" s="1"/>
  <c r="W436" i="24"/>
  <c r="AD436" i="24" l="1"/>
  <c r="B437" i="24" s="1"/>
  <c r="D437" i="24"/>
  <c r="AG436" i="24" s="1"/>
  <c r="C437" i="24"/>
  <c r="H437" i="24"/>
  <c r="G437" i="24"/>
  <c r="E437" i="24" l="1"/>
  <c r="J437" i="24"/>
  <c r="P437" i="24" s="1"/>
  <c r="Q437" i="24" s="1"/>
  <c r="V437" i="24"/>
  <c r="O437" i="24"/>
  <c r="U437" i="24"/>
  <c r="F437" i="24"/>
  <c r="K437" i="24" l="1"/>
  <c r="L437" i="24"/>
  <c r="M437" i="24" s="1"/>
  <c r="S437" i="24" l="1"/>
  <c r="T437" i="24" s="1"/>
  <c r="AA437" i="24"/>
  <c r="AB437" i="24"/>
  <c r="AC437" i="24"/>
  <c r="R437" i="24"/>
  <c r="Y437" i="24" s="1"/>
  <c r="AF437" i="24" l="1"/>
  <c r="D438" i="24" s="1"/>
  <c r="W437" i="24"/>
  <c r="AD437" i="24" s="1"/>
  <c r="G438" i="24" s="1"/>
  <c r="X437" i="24"/>
  <c r="AE437" i="24" s="1"/>
  <c r="C438" i="24" s="1"/>
  <c r="I438" i="24"/>
  <c r="B438" i="24" l="1"/>
  <c r="E438" i="24" s="1"/>
  <c r="H438" i="24"/>
  <c r="J438" i="24" s="1"/>
  <c r="O438" i="24" s="1"/>
  <c r="U438" i="24"/>
  <c r="V438" i="24"/>
  <c r="AG437" i="24"/>
  <c r="F438" i="24" l="1"/>
  <c r="K438" i="24"/>
  <c r="P438" i="24"/>
  <c r="Q438" i="24" s="1"/>
  <c r="L438" i="24"/>
  <c r="M438" i="24" s="1"/>
  <c r="S438" i="24" l="1"/>
  <c r="T438" i="24" s="1"/>
  <c r="AB438" i="24" s="1"/>
  <c r="AC438" i="24"/>
  <c r="AA438" i="24"/>
  <c r="R438" i="24"/>
  <c r="X438" i="24" l="1"/>
  <c r="AE438" i="24" s="1"/>
  <c r="W438" i="24"/>
  <c r="AD438" i="24" s="1"/>
  <c r="Y438" i="24"/>
  <c r="AF438" i="24" s="1"/>
  <c r="I439" i="24" l="1"/>
  <c r="D439" i="24"/>
  <c r="G439" i="24"/>
  <c r="B439" i="24"/>
  <c r="C439" i="24"/>
  <c r="H439" i="24"/>
  <c r="E439" i="24" l="1"/>
  <c r="J439" i="24"/>
  <c r="P439" i="24" s="1"/>
  <c r="Q439" i="24" s="1"/>
  <c r="V439" i="24"/>
  <c r="U439" i="24"/>
  <c r="AG438" i="24"/>
  <c r="O439" i="24"/>
  <c r="F439" i="24"/>
  <c r="L439" i="24" l="1"/>
  <c r="M439" i="24" s="1"/>
  <c r="K439" i="24"/>
  <c r="S439" i="24" l="1"/>
  <c r="R439" i="24" s="1"/>
  <c r="Y439" i="24" s="1"/>
  <c r="T439" i="24"/>
  <c r="AC439" i="24" s="1"/>
  <c r="AB439" i="24" l="1"/>
  <c r="AA439" i="24"/>
  <c r="AF439" i="24"/>
  <c r="I440" i="24" s="1"/>
  <c r="W439" i="24"/>
  <c r="X439" i="24"/>
  <c r="D440" i="24" l="1"/>
  <c r="AG439" i="24" s="1"/>
  <c r="AE439" i="24"/>
  <c r="C440" i="24" s="1"/>
  <c r="AD439" i="24"/>
  <c r="B440" i="24" s="1"/>
  <c r="U440" i="24" l="1"/>
  <c r="V440" i="24"/>
  <c r="E440" i="24"/>
  <c r="H440" i="24"/>
  <c r="G440" i="24"/>
  <c r="F440" i="24"/>
  <c r="J440" i="24" l="1"/>
  <c r="K440" i="24" s="1"/>
  <c r="O440" i="24" l="1"/>
  <c r="L440" i="24"/>
  <c r="M440" i="24" s="1"/>
  <c r="P440" i="24"/>
  <c r="Q440" i="24" s="1"/>
  <c r="S440" i="24" l="1"/>
  <c r="T440" i="24" s="1"/>
  <c r="AA440" i="24" s="1"/>
  <c r="AC440" i="24" l="1"/>
  <c r="AB440" i="24"/>
  <c r="R440" i="24"/>
  <c r="X440" i="24" s="1"/>
  <c r="W440" i="24" l="1"/>
  <c r="AD440" i="24" s="1"/>
  <c r="B441" i="24" s="1"/>
  <c r="Y440" i="24"/>
  <c r="AF440" i="24" s="1"/>
  <c r="I441" i="24" s="1"/>
  <c r="AE440" i="24"/>
  <c r="H441" i="24" s="1"/>
  <c r="C441" i="24" l="1"/>
  <c r="E441" i="24" s="1"/>
  <c r="G441" i="24"/>
  <c r="J441" i="24" s="1"/>
  <c r="P441" i="24" s="1"/>
  <c r="Q441" i="24" s="1"/>
  <c r="D441" i="24"/>
  <c r="AG440" i="24" s="1"/>
  <c r="K441" i="24" l="1"/>
  <c r="L441" i="24"/>
  <c r="M441" i="24" s="1"/>
  <c r="F441" i="24"/>
  <c r="V441" i="24"/>
  <c r="U441" i="24"/>
  <c r="O441" i="24"/>
  <c r="S441" i="24" l="1"/>
  <c r="T441" i="24" s="1"/>
  <c r="AA441" i="24" s="1"/>
  <c r="AB441" i="24" l="1"/>
  <c r="AC441" i="24"/>
  <c r="R441" i="24"/>
  <c r="X441" i="24" s="1"/>
  <c r="AE441" i="24" s="1"/>
  <c r="H442" i="24" s="1"/>
  <c r="Y441" i="24" l="1"/>
  <c r="W441" i="24"/>
  <c r="AD441" i="24" s="1"/>
  <c r="G442" i="24" s="1"/>
  <c r="AF441" i="24"/>
  <c r="I442" i="24" s="1"/>
  <c r="C442" i="24"/>
  <c r="J442" i="24" l="1"/>
  <c r="P442" i="24" s="1"/>
  <c r="Q442" i="24" s="1"/>
  <c r="B442" i="24"/>
  <c r="E442" i="24" s="1"/>
  <c r="D442" i="24"/>
  <c r="O442" i="24" s="1"/>
  <c r="F442" i="24"/>
  <c r="L442" i="24"/>
  <c r="M442" i="24" s="1"/>
  <c r="K442" i="24"/>
  <c r="AG441" i="24" l="1"/>
  <c r="V442" i="24"/>
  <c r="U442" i="24"/>
  <c r="S442" i="24"/>
  <c r="T442" i="24" s="1"/>
  <c r="AC442" i="24" l="1"/>
  <c r="AB442" i="24"/>
  <c r="AA442" i="24"/>
  <c r="R442" i="24"/>
  <c r="W442" i="24" s="1"/>
  <c r="AD442" i="24" l="1"/>
  <c r="X442" i="24"/>
  <c r="AE442" i="24" s="1"/>
  <c r="C443" i="24" s="1"/>
  <c r="Y442" i="24"/>
  <c r="AF442" i="24" s="1"/>
  <c r="D443" i="24" s="1"/>
  <c r="AG442" i="24" s="1"/>
  <c r="B443" i="24"/>
  <c r="G443" i="24"/>
  <c r="H443" i="24" l="1"/>
  <c r="I443" i="24"/>
  <c r="U443" i="24"/>
  <c r="V443" i="24"/>
  <c r="F443" i="24"/>
  <c r="E443" i="24"/>
  <c r="J443" i="24" l="1"/>
  <c r="L443" i="24" s="1"/>
  <c r="M443" i="24" s="1"/>
  <c r="O443" i="24"/>
  <c r="P443" i="24" l="1"/>
  <c r="Q443" i="24" s="1"/>
  <c r="K443" i="24"/>
  <c r="S443" i="24"/>
  <c r="T443" i="24" s="1"/>
  <c r="AC443" i="24" s="1"/>
  <c r="AB443" i="24" l="1"/>
  <c r="AA443" i="24"/>
  <c r="R443" i="24"/>
  <c r="W443" i="24" s="1"/>
  <c r="AD443" i="24" l="1"/>
  <c r="B444" i="24" s="1"/>
  <c r="Y443" i="24"/>
  <c r="AF443" i="24" s="1"/>
  <c r="D444" i="24" s="1"/>
  <c r="U444" i="24" s="1"/>
  <c r="X443" i="24"/>
  <c r="AE443" i="24" s="1"/>
  <c r="C444" i="24" s="1"/>
  <c r="F444" i="24" s="1"/>
  <c r="G444" i="24" l="1"/>
  <c r="H444" i="24"/>
  <c r="I444" i="24"/>
  <c r="E444" i="24"/>
  <c r="V444" i="24"/>
  <c r="AG443" i="24"/>
  <c r="J444" i="24" l="1"/>
  <c r="L444" i="24" s="1"/>
  <c r="M444" i="24" s="1"/>
  <c r="O444" i="24"/>
  <c r="K444" i="24" l="1"/>
  <c r="P444" i="24"/>
  <c r="Q444" i="24" s="1"/>
  <c r="S444" i="24"/>
  <c r="T444" i="24" s="1"/>
  <c r="AA444" i="24" s="1"/>
  <c r="AC444" i="24" l="1"/>
  <c r="AB444" i="24"/>
  <c r="R444" i="24"/>
  <c r="X444" i="24" s="1"/>
  <c r="AE444" i="24" l="1"/>
  <c r="C445" i="24" s="1"/>
  <c r="Y444" i="24"/>
  <c r="AF444" i="24" s="1"/>
  <c r="D445" i="24" s="1"/>
  <c r="V445" i="24" s="1"/>
  <c r="W444" i="24"/>
  <c r="AD444" i="24" s="1"/>
  <c r="B445" i="24" s="1"/>
  <c r="F445" i="24" s="1"/>
  <c r="H445" i="24"/>
  <c r="U445" i="24" l="1"/>
  <c r="AG444" i="24"/>
  <c r="I445" i="24"/>
  <c r="G445" i="24"/>
  <c r="E445" i="24"/>
  <c r="J445" i="24" l="1"/>
  <c r="L445" i="24" s="1"/>
  <c r="M445" i="24" s="1"/>
  <c r="O445" i="24"/>
  <c r="S445" i="24" s="1"/>
  <c r="T445" i="24" s="1"/>
  <c r="AA445" i="24" s="1"/>
  <c r="P445" i="24"/>
  <c r="Q445" i="24" s="1"/>
  <c r="K445" i="24"/>
  <c r="AC445" i="24" l="1"/>
  <c r="AB445" i="24"/>
  <c r="R445" i="24"/>
  <c r="W445" i="24" s="1"/>
  <c r="X445" i="24" l="1"/>
  <c r="AE445" i="24" s="1"/>
  <c r="H446" i="24" s="1"/>
  <c r="Y445" i="24"/>
  <c r="AF445" i="24" s="1"/>
  <c r="I446" i="24" s="1"/>
  <c r="AD445" i="24"/>
  <c r="G446" i="24" s="1"/>
  <c r="C446" i="24" l="1"/>
  <c r="B446" i="24"/>
  <c r="D446" i="24"/>
  <c r="U446" i="24" s="1"/>
  <c r="J446" i="24"/>
  <c r="P446" i="24" s="1"/>
  <c r="Q446" i="24" s="1"/>
  <c r="F446" i="24" l="1"/>
  <c r="E446" i="24"/>
  <c r="O446" i="24"/>
  <c r="AG445" i="24"/>
  <c r="V446" i="24"/>
  <c r="K446" i="24"/>
  <c r="L446" i="24"/>
  <c r="M446" i="24" s="1"/>
  <c r="S446" i="24" l="1"/>
  <c r="T446" i="24" s="1"/>
  <c r="AB446" i="24" s="1"/>
  <c r="AC446" i="24" l="1"/>
  <c r="AA446" i="24"/>
  <c r="R446" i="24"/>
  <c r="Y446" i="24" s="1"/>
  <c r="AF446" i="24" s="1"/>
  <c r="I447" i="24" s="1"/>
  <c r="W446" i="24" l="1"/>
  <c r="AD446" i="24" s="1"/>
  <c r="G447" i="24" s="1"/>
  <c r="X446" i="24"/>
  <c r="AE446" i="24" s="1"/>
  <c r="H447" i="24" s="1"/>
  <c r="D447" i="24"/>
  <c r="V447" i="24" s="1"/>
  <c r="C447" i="24" l="1"/>
  <c r="U447" i="24"/>
  <c r="AG446" i="24"/>
  <c r="J447" i="24"/>
  <c r="L447" i="24" s="1"/>
  <c r="M447" i="24" s="1"/>
  <c r="B447" i="24"/>
  <c r="O447" i="24" l="1"/>
  <c r="S447" i="24" s="1"/>
  <c r="T447" i="24" s="1"/>
  <c r="AC447" i="24" s="1"/>
  <c r="E447" i="24"/>
  <c r="K447" i="24"/>
  <c r="P447" i="24"/>
  <c r="Q447" i="24" s="1"/>
  <c r="F447" i="24"/>
  <c r="AB447" i="24" l="1"/>
  <c r="AA447" i="24"/>
  <c r="R447" i="24"/>
  <c r="W447" i="24" s="1"/>
  <c r="AD447" i="24" s="1"/>
  <c r="Y447" i="24" l="1"/>
  <c r="AF447" i="24" s="1"/>
  <c r="X447" i="24"/>
  <c r="AE447" i="24" s="1"/>
  <c r="H448" i="24" s="1"/>
  <c r="G448" i="24"/>
  <c r="B448" i="24"/>
  <c r="C448" i="24" l="1"/>
  <c r="F448" i="24" s="1"/>
  <c r="I448" i="24"/>
  <c r="J448" i="24" s="1"/>
  <c r="D448" i="24"/>
  <c r="AG447" i="24" s="1"/>
  <c r="E448" i="24" l="1"/>
  <c r="O448" i="24"/>
  <c r="U448" i="24"/>
  <c r="V448" i="24"/>
  <c r="L448" i="24"/>
  <c r="M448" i="24" s="1"/>
  <c r="P448" i="24"/>
  <c r="Q448" i="24" s="1"/>
  <c r="K448" i="24"/>
  <c r="S448" i="24" l="1"/>
  <c r="T448" i="24" s="1"/>
  <c r="AA448" i="24" s="1"/>
  <c r="AC448" i="24" l="1"/>
  <c r="AB448" i="24"/>
  <c r="R448" i="24"/>
  <c r="Y448" i="24" s="1"/>
  <c r="X448" i="24" l="1"/>
  <c r="AE448" i="24" s="1"/>
  <c r="H449" i="24" s="1"/>
  <c r="W448" i="24"/>
  <c r="AD448" i="24" s="1"/>
  <c r="B449" i="24" s="1"/>
  <c r="AF448" i="24"/>
  <c r="I449" i="24" s="1"/>
  <c r="G449" i="24" l="1"/>
  <c r="J449" i="24" s="1"/>
  <c r="D449" i="24"/>
  <c r="U449" i="24" s="1"/>
  <c r="C449" i="24"/>
  <c r="F449" i="24" s="1"/>
  <c r="AG448" i="24" l="1"/>
  <c r="E449" i="24"/>
  <c r="V449" i="24"/>
  <c r="O449" i="24"/>
  <c r="L449" i="24"/>
  <c r="M449" i="24" s="1"/>
  <c r="K449" i="24"/>
  <c r="P449" i="24"/>
  <c r="Q449" i="24" s="1"/>
  <c r="S449" i="24" l="1"/>
  <c r="T449" i="24" s="1"/>
  <c r="AA449" i="24" s="1"/>
  <c r="AB449" i="24" l="1"/>
  <c r="AC449" i="24"/>
  <c r="R449" i="24"/>
  <c r="W449" i="24" s="1"/>
  <c r="X449" i="24" l="1"/>
  <c r="AE449" i="24" s="1"/>
  <c r="H450" i="24" s="1"/>
  <c r="Y449" i="24"/>
  <c r="AF449" i="24" s="1"/>
  <c r="I450" i="24" s="1"/>
  <c r="AD449" i="24"/>
  <c r="G450" i="24" s="1"/>
  <c r="D450" i="24" l="1"/>
  <c r="U450" i="24" s="1"/>
  <c r="B450" i="24"/>
  <c r="C450" i="24"/>
  <c r="J450" i="24"/>
  <c r="F450" i="24" l="1"/>
  <c r="V450" i="24"/>
  <c r="AG449" i="24"/>
  <c r="O450" i="24"/>
  <c r="E450" i="24"/>
  <c r="P450" i="24"/>
  <c r="Q450" i="24" s="1"/>
  <c r="K450" i="24"/>
  <c r="L450" i="24"/>
  <c r="M450" i="24" s="1"/>
  <c r="S450" i="24" l="1"/>
  <c r="T450" i="24" s="1"/>
  <c r="AB450" i="24" s="1"/>
  <c r="AC450" i="24" l="1"/>
  <c r="AA450" i="24"/>
  <c r="R450" i="24"/>
  <c r="Y450" i="24" s="1"/>
  <c r="AF450" i="24" s="1"/>
  <c r="W450" i="24" l="1"/>
  <c r="AD450" i="24" s="1"/>
  <c r="X450" i="24"/>
  <c r="AE450" i="24" s="1"/>
  <c r="C451" i="24" s="1"/>
  <c r="I451" i="24"/>
  <c r="D451" i="24"/>
  <c r="H451" i="24" l="1"/>
  <c r="G451" i="24"/>
  <c r="B451" i="24"/>
  <c r="F451" i="24" s="1"/>
  <c r="AG450" i="24"/>
  <c r="U451" i="24"/>
  <c r="V451" i="24"/>
  <c r="J451" i="24" l="1"/>
  <c r="P451" i="24" s="1"/>
  <c r="Q451" i="24" s="1"/>
  <c r="E451" i="24"/>
  <c r="O451" i="24" l="1"/>
  <c r="L451" i="24"/>
  <c r="M451" i="24" s="1"/>
  <c r="K451" i="24"/>
  <c r="S451" i="24" l="1"/>
  <c r="T451" i="24" s="1"/>
  <c r="AC451" i="24" s="1"/>
  <c r="AA451" i="24" l="1"/>
  <c r="AB451" i="24"/>
  <c r="R451" i="24"/>
  <c r="Y451" i="24" s="1"/>
  <c r="AF451" i="24" s="1"/>
  <c r="W451" i="24" l="1"/>
  <c r="AD451" i="24" s="1"/>
  <c r="G452" i="24" s="1"/>
  <c r="I452" i="24"/>
  <c r="D452" i="24"/>
  <c r="U452" i="24" s="1"/>
  <c r="X451" i="24"/>
  <c r="AE451" i="24" s="1"/>
  <c r="H452" i="24" s="1"/>
  <c r="AG451" i="24" l="1"/>
  <c r="V452" i="24"/>
  <c r="J452" i="24"/>
  <c r="O452" i="24" s="1"/>
  <c r="B452" i="24"/>
  <c r="C452" i="24"/>
  <c r="P452" i="24" l="1"/>
  <c r="Q452" i="24" s="1"/>
  <c r="K452" i="24"/>
  <c r="L452" i="24"/>
  <c r="M452" i="24" s="1"/>
  <c r="F452" i="24"/>
  <c r="E452" i="24"/>
  <c r="S452" i="24" l="1"/>
  <c r="T452" i="24"/>
  <c r="AA452" i="24" s="1"/>
  <c r="R452" i="24"/>
  <c r="Y452" i="24" s="1"/>
  <c r="AC452" i="24" l="1"/>
  <c r="AB452" i="24"/>
  <c r="X452" i="24"/>
  <c r="W452" i="24"/>
  <c r="AF452" i="24"/>
  <c r="AE452" i="24" l="1"/>
  <c r="H453" i="24" s="1"/>
  <c r="AD452" i="24"/>
  <c r="I453" i="24"/>
  <c r="D453" i="24"/>
  <c r="V453" i="24" s="1"/>
  <c r="C453" i="24"/>
  <c r="B453" i="24" l="1"/>
  <c r="E453" i="24" s="1"/>
  <c r="G453" i="24"/>
  <c r="J453" i="24" s="1"/>
  <c r="U453" i="24"/>
  <c r="AG452" i="24"/>
  <c r="L453" i="24" l="1"/>
  <c r="M453" i="24" s="1"/>
  <c r="K453" i="24"/>
  <c r="P453" i="24"/>
  <c r="Q453" i="24" s="1"/>
  <c r="O453" i="24"/>
  <c r="F453" i="24"/>
  <c r="S453" i="24" l="1"/>
  <c r="T453" i="24" s="1"/>
  <c r="AA453" i="24" s="1"/>
  <c r="AC453" i="24" l="1"/>
  <c r="AB453" i="24"/>
  <c r="R453" i="24"/>
  <c r="W453" i="24" s="1"/>
  <c r="X453" i="24" l="1"/>
  <c r="AE453" i="24" s="1"/>
  <c r="H454" i="24" s="1"/>
  <c r="Y453" i="24"/>
  <c r="AF453" i="24" s="1"/>
  <c r="I454" i="24" s="1"/>
  <c r="AD453" i="24"/>
  <c r="G454" i="24" s="1"/>
  <c r="C454" i="24"/>
  <c r="B454" i="24" l="1"/>
  <c r="F454" i="24" s="1"/>
  <c r="J454" i="24"/>
  <c r="P454" i="24" s="1"/>
  <c r="Q454" i="24" s="1"/>
  <c r="D454" i="24"/>
  <c r="AG453" i="24" s="1"/>
  <c r="K454" i="24" l="1"/>
  <c r="L454" i="24"/>
  <c r="M454" i="24" s="1"/>
  <c r="E454" i="24"/>
  <c r="V454" i="24"/>
  <c r="O454" i="24"/>
  <c r="U454" i="24"/>
  <c r="S454" i="24" l="1"/>
  <c r="R454" i="24" s="1"/>
  <c r="X454" i="24" s="1"/>
  <c r="T454" i="24" l="1"/>
  <c r="W454" i="24"/>
  <c r="Y454" i="24"/>
  <c r="AB454" i="24" l="1"/>
  <c r="AE454" i="24" s="1"/>
  <c r="H455" i="24" s="1"/>
  <c r="AC454" i="24"/>
  <c r="AF454" i="24" s="1"/>
  <c r="AA454" i="24"/>
  <c r="AD454" i="24" s="1"/>
  <c r="C455" i="24"/>
  <c r="B455" i="24" l="1"/>
  <c r="G455" i="24"/>
  <c r="I455" i="24"/>
  <c r="D455" i="24"/>
  <c r="V455" i="24" s="1"/>
  <c r="F455" i="24"/>
  <c r="E455" i="24"/>
  <c r="J455" i="24" l="1"/>
  <c r="K455" i="24" s="1"/>
  <c r="AG454" i="24"/>
  <c r="U455" i="24"/>
  <c r="O455" i="24"/>
  <c r="L455" i="24"/>
  <c r="M455" i="24" s="1"/>
  <c r="P455" i="24"/>
  <c r="Q455" i="24" s="1"/>
  <c r="S455" i="24" l="1"/>
  <c r="T455" i="24" s="1"/>
  <c r="AC455" i="24"/>
  <c r="AA455" i="24"/>
  <c r="AB455" i="24"/>
  <c r="R455" i="24"/>
  <c r="W455" i="24" s="1"/>
  <c r="AD455" i="24" l="1"/>
  <c r="B456" i="24" s="1"/>
  <c r="Y455" i="24"/>
  <c r="AF455" i="24" s="1"/>
  <c r="I456" i="24" s="1"/>
  <c r="X455" i="24"/>
  <c r="AE455" i="24" s="1"/>
  <c r="H456" i="24" s="1"/>
  <c r="G456" i="24" l="1"/>
  <c r="J456" i="24" s="1"/>
  <c r="D456" i="24"/>
  <c r="AG455" i="24" s="1"/>
  <c r="C456" i="24"/>
  <c r="F456" i="24" s="1"/>
  <c r="P456" i="24" l="1"/>
  <c r="Q456" i="24" s="1"/>
  <c r="L456" i="24"/>
  <c r="M456" i="24" s="1"/>
  <c r="K456" i="24"/>
  <c r="U456" i="24"/>
  <c r="V456" i="24"/>
  <c r="O456" i="24"/>
  <c r="E456" i="24"/>
  <c r="S456" i="24" l="1"/>
  <c r="T456" i="24" s="1"/>
  <c r="AA456" i="24" s="1"/>
  <c r="AC456" i="24" l="1"/>
  <c r="AB456" i="24"/>
  <c r="R456" i="24"/>
  <c r="X456" i="24" s="1"/>
  <c r="W456" i="24" l="1"/>
  <c r="AD456" i="24" s="1"/>
  <c r="B457" i="24" s="1"/>
  <c r="AE456" i="24"/>
  <c r="H457" i="24" s="1"/>
  <c r="Y456" i="24"/>
  <c r="AF456" i="24" s="1"/>
  <c r="I457" i="24" s="1"/>
  <c r="G457" i="24"/>
  <c r="C457" i="24" l="1"/>
  <c r="F457" i="24" s="1"/>
  <c r="D457" i="24"/>
  <c r="V457" i="24" s="1"/>
  <c r="J457" i="24"/>
  <c r="P457" i="24" s="1"/>
  <c r="Q457" i="24" s="1"/>
  <c r="E457" i="24"/>
  <c r="U457" i="24" l="1"/>
  <c r="AG456" i="24"/>
  <c r="O457" i="24"/>
  <c r="L457" i="24"/>
  <c r="M457" i="24" s="1"/>
  <c r="K457" i="24"/>
  <c r="S457" i="24" l="1"/>
  <c r="T457" i="24" s="1"/>
  <c r="AA457" i="24" s="1"/>
  <c r="AB457" i="24"/>
  <c r="AC457" i="24"/>
  <c r="R457" i="24"/>
  <c r="X457" i="24" s="1"/>
  <c r="Y457" i="24" l="1"/>
  <c r="AF457" i="24" s="1"/>
  <c r="I458" i="24" s="1"/>
  <c r="W457" i="24"/>
  <c r="AD457" i="24" s="1"/>
  <c r="B458" i="24" s="1"/>
  <c r="AE457" i="24"/>
  <c r="H458" i="24" s="1"/>
  <c r="D458" i="24" l="1"/>
  <c r="V458" i="24" s="1"/>
  <c r="C458" i="24"/>
  <c r="F458" i="24" s="1"/>
  <c r="G458" i="24"/>
  <c r="J458" i="24" s="1"/>
  <c r="L458" i="24" s="1"/>
  <c r="M458" i="24" s="1"/>
  <c r="U458" i="24" l="1"/>
  <c r="AG457" i="24"/>
  <c r="E458" i="24"/>
  <c r="O458" i="24"/>
  <c r="S458" i="24" s="1"/>
  <c r="T458" i="24" s="1"/>
  <c r="AB458" i="24" s="1"/>
  <c r="K458" i="24"/>
  <c r="P458" i="24"/>
  <c r="Q458" i="24" s="1"/>
  <c r="AA458" i="24" l="1"/>
  <c r="AC458" i="24"/>
  <c r="R458" i="24"/>
  <c r="Y458" i="24" s="1"/>
  <c r="X458" i="24" l="1"/>
  <c r="AE458" i="24" s="1"/>
  <c r="C459" i="24" s="1"/>
  <c r="W458" i="24"/>
  <c r="AD458" i="24" s="1"/>
  <c r="G459" i="24" s="1"/>
  <c r="AF458" i="24"/>
  <c r="I459" i="24" s="1"/>
  <c r="H459" i="24" l="1"/>
  <c r="J459" i="24" s="1"/>
  <c r="D459" i="24"/>
  <c r="U459" i="24" s="1"/>
  <c r="B459" i="24"/>
  <c r="F459" i="24" s="1"/>
  <c r="AG458" i="24" l="1"/>
  <c r="V459" i="24"/>
  <c r="O459" i="24"/>
  <c r="E459" i="24"/>
  <c r="L459" i="24"/>
  <c r="M459" i="24" s="1"/>
  <c r="K459" i="24"/>
  <c r="P459" i="24"/>
  <c r="Q459" i="24" s="1"/>
  <c r="S459" i="24" l="1"/>
  <c r="T459" i="24" s="1"/>
  <c r="AC459" i="24" s="1"/>
  <c r="AA459" i="24" l="1"/>
  <c r="AB459" i="24"/>
  <c r="R459" i="24"/>
  <c r="X459" i="24" s="1"/>
  <c r="AE459" i="24" l="1"/>
  <c r="C460" i="24" s="1"/>
  <c r="W459" i="24"/>
  <c r="AD459" i="24" s="1"/>
  <c r="B460" i="24" s="1"/>
  <c r="Y459" i="24"/>
  <c r="AF459" i="24" s="1"/>
  <c r="D460" i="24" s="1"/>
  <c r="H460" i="24" l="1"/>
  <c r="G460" i="24"/>
  <c r="I460" i="24"/>
  <c r="E460" i="24"/>
  <c r="F460" i="24"/>
  <c r="AG459" i="24"/>
  <c r="V460" i="24"/>
  <c r="U460" i="24"/>
  <c r="J460" i="24" l="1"/>
  <c r="P460" i="24" s="1"/>
  <c r="Q460" i="24" s="1"/>
  <c r="O460" i="24" l="1"/>
  <c r="L460" i="24"/>
  <c r="M460" i="24" s="1"/>
  <c r="K460" i="24"/>
  <c r="S460" i="24" l="1"/>
  <c r="T460" i="24" s="1"/>
  <c r="AA460" i="24" s="1"/>
  <c r="AB460" i="24" l="1"/>
  <c r="AC460" i="24"/>
  <c r="R460" i="24"/>
  <c r="Y460" i="24" s="1"/>
  <c r="AF460" i="24" s="1"/>
  <c r="I461" i="24" l="1"/>
  <c r="D461" i="24"/>
  <c r="V461" i="24" s="1"/>
  <c r="W460" i="24"/>
  <c r="AD460" i="24" s="1"/>
  <c r="G461" i="24" s="1"/>
  <c r="X460" i="24"/>
  <c r="AE460" i="24" s="1"/>
  <c r="C461" i="24" s="1"/>
  <c r="U461" i="24" l="1"/>
  <c r="AG460" i="24"/>
  <c r="B461" i="24"/>
  <c r="E461" i="24" s="1"/>
  <c r="H461" i="24"/>
  <c r="J461" i="24" s="1"/>
  <c r="P461" i="24" s="1"/>
  <c r="Q461" i="24" s="1"/>
  <c r="F461" i="24" l="1"/>
  <c r="O461" i="24"/>
  <c r="K461" i="24"/>
  <c r="L461" i="24"/>
  <c r="M461" i="24" s="1"/>
  <c r="S461" i="24" l="1"/>
  <c r="T461" i="24" s="1"/>
  <c r="AA461" i="24" s="1"/>
  <c r="AB461" i="24" l="1"/>
  <c r="AC461" i="24"/>
  <c r="R461" i="24"/>
  <c r="W461" i="24" s="1"/>
  <c r="AD461" i="24" l="1"/>
  <c r="G462" i="24" s="1"/>
  <c r="X461" i="24"/>
  <c r="AE461" i="24" s="1"/>
  <c r="C462" i="24" s="1"/>
  <c r="Y461" i="24"/>
  <c r="AF461" i="24" s="1"/>
  <c r="D462" i="24" s="1"/>
  <c r="V462" i="24" s="1"/>
  <c r="B462" i="24" l="1"/>
  <c r="F462" i="24" s="1"/>
  <c r="H462" i="24"/>
  <c r="I462" i="24"/>
  <c r="AG461" i="24"/>
  <c r="U462" i="24"/>
  <c r="E462" i="24" l="1"/>
  <c r="J462" i="24"/>
  <c r="K462" i="24" s="1"/>
  <c r="O462" i="24" l="1"/>
  <c r="P462" i="24"/>
  <c r="Q462" i="24" s="1"/>
  <c r="L462" i="24"/>
  <c r="M462" i="24" s="1"/>
  <c r="S462" i="24" l="1"/>
  <c r="T462" i="24" s="1"/>
  <c r="AB462" i="24" s="1"/>
  <c r="AA462" i="24" l="1"/>
  <c r="AC462" i="24"/>
  <c r="R462" i="24"/>
  <c r="Y462" i="24" s="1"/>
  <c r="W462" i="24" l="1"/>
  <c r="AD462" i="24" s="1"/>
  <c r="G463" i="24" s="1"/>
  <c r="X462" i="24"/>
  <c r="AE462" i="24" s="1"/>
  <c r="H463" i="24" s="1"/>
  <c r="AF462" i="24"/>
  <c r="D463" i="24" s="1"/>
  <c r="AG462" i="24" s="1"/>
  <c r="I463" i="24" l="1"/>
  <c r="B463" i="24"/>
  <c r="C463" i="24"/>
  <c r="V463" i="24"/>
  <c r="U463" i="24"/>
  <c r="J463" i="24"/>
  <c r="K463" i="24" s="1"/>
  <c r="F463" i="24" l="1"/>
  <c r="E463" i="24"/>
  <c r="O463" i="24"/>
  <c r="L463" i="24"/>
  <c r="M463" i="24" s="1"/>
  <c r="P463" i="24"/>
  <c r="Q463" i="24" s="1"/>
  <c r="S463" i="24" l="1"/>
  <c r="T463" i="24" s="1"/>
  <c r="AA463" i="24"/>
  <c r="AB463" i="24"/>
  <c r="AC463" i="24"/>
  <c r="R463" i="24"/>
  <c r="X463" i="24" s="1"/>
  <c r="AE463" i="24" l="1"/>
  <c r="H464" i="24" s="1"/>
  <c r="Y463" i="24"/>
  <c r="AF463" i="24" s="1"/>
  <c r="I464" i="24" s="1"/>
  <c r="W463" i="24"/>
  <c r="AD463" i="24" s="1"/>
  <c r="G464" i="24" s="1"/>
  <c r="C464" i="24" l="1"/>
  <c r="B464" i="24"/>
  <c r="J464" i="24"/>
  <c r="L464" i="24" s="1"/>
  <c r="M464" i="24" s="1"/>
  <c r="D464" i="24"/>
  <c r="U464" i="24" s="1"/>
  <c r="E464" i="24" l="1"/>
  <c r="F464" i="24"/>
  <c r="K464" i="24"/>
  <c r="P464" i="24"/>
  <c r="Q464" i="24" s="1"/>
  <c r="V464" i="24"/>
  <c r="O464" i="24"/>
  <c r="S464" i="24" s="1"/>
  <c r="T464" i="24" s="1"/>
  <c r="AB464" i="24" s="1"/>
  <c r="AG463" i="24"/>
  <c r="AA464" i="24" l="1"/>
  <c r="AC464" i="24"/>
  <c r="R464" i="24"/>
  <c r="X464" i="24" s="1"/>
  <c r="AE464" i="24" s="1"/>
  <c r="H465" i="24" s="1"/>
  <c r="Y464" i="24" l="1"/>
  <c r="AF464" i="24" s="1"/>
  <c r="W464" i="24"/>
  <c r="AD464" i="24" s="1"/>
  <c r="C465" i="24"/>
  <c r="D465" i="24" l="1"/>
  <c r="AG464" i="24" s="1"/>
  <c r="I465" i="24"/>
  <c r="G465" i="24"/>
  <c r="B465" i="24"/>
  <c r="F465" i="24" s="1"/>
  <c r="J465" i="24" l="1"/>
  <c r="L465" i="24" s="1"/>
  <c r="M465" i="24" s="1"/>
  <c r="U465" i="24"/>
  <c r="V465" i="24"/>
  <c r="E465" i="24"/>
  <c r="O465" i="24" l="1"/>
  <c r="S465" i="24" s="1"/>
  <c r="T465" i="24" s="1"/>
  <c r="AC465" i="24" s="1"/>
  <c r="K465" i="24"/>
  <c r="P465" i="24"/>
  <c r="Q465" i="24" s="1"/>
  <c r="AB465" i="24" l="1"/>
  <c r="AA465" i="24"/>
  <c r="R465" i="24"/>
  <c r="W465" i="24" s="1"/>
  <c r="AD465" i="24" s="1"/>
  <c r="G466" i="24" s="1"/>
  <c r="Y465" i="24" l="1"/>
  <c r="AF465" i="24" s="1"/>
  <c r="D466" i="24" s="1"/>
  <c r="X465" i="24"/>
  <c r="AE465" i="24" s="1"/>
  <c r="C466" i="24" s="1"/>
  <c r="B466" i="24"/>
  <c r="I466" i="24" l="1"/>
  <c r="H466" i="24"/>
  <c r="E466" i="24"/>
  <c r="F466" i="24"/>
  <c r="V466" i="24"/>
  <c r="U466" i="24"/>
  <c r="AG465" i="24"/>
  <c r="J466" i="24" l="1"/>
  <c r="K466" i="24" s="1"/>
  <c r="O466" i="24"/>
  <c r="P466" i="24" l="1"/>
  <c r="Q466" i="24" s="1"/>
  <c r="L466" i="24"/>
  <c r="M466" i="24" s="1"/>
  <c r="S466" i="24" l="1"/>
  <c r="AA466" i="24"/>
  <c r="AB466" i="24"/>
  <c r="AC466" i="24"/>
  <c r="T466" i="24"/>
  <c r="R466" i="24"/>
  <c r="Y466" i="24" s="1"/>
  <c r="W466" i="24" l="1"/>
  <c r="AD466" i="24" s="1"/>
  <c r="G467" i="24" s="1"/>
  <c r="X466" i="24"/>
  <c r="AF466" i="24"/>
  <c r="I467" i="24" l="1"/>
  <c r="D467" i="24"/>
  <c r="AE466" i="24"/>
  <c r="B467" i="24"/>
  <c r="AG466" i="24" l="1"/>
  <c r="U467" i="24"/>
  <c r="V467" i="24"/>
  <c r="H467" i="24"/>
  <c r="J467" i="24" s="1"/>
  <c r="P467" i="24" s="1"/>
  <c r="Q467" i="24" s="1"/>
  <c r="C467" i="24"/>
  <c r="E467" i="24" s="1"/>
  <c r="K467" i="24" l="1"/>
  <c r="L467" i="24"/>
  <c r="M467" i="24" s="1"/>
  <c r="O467" i="24"/>
  <c r="F467" i="24"/>
  <c r="S467" i="24" l="1"/>
  <c r="T467" i="24" s="1"/>
  <c r="AA467" i="24" s="1"/>
  <c r="AC467" i="24" l="1"/>
  <c r="AB467" i="24"/>
  <c r="R467" i="24"/>
  <c r="X467" i="24" s="1"/>
  <c r="AE467" i="24" l="1"/>
  <c r="H468" i="24" s="1"/>
  <c r="Y467" i="24"/>
  <c r="AF467" i="24" s="1"/>
  <c r="D468" i="24" s="1"/>
  <c r="V468" i="24" s="1"/>
  <c r="W467" i="24"/>
  <c r="AD467" i="24" s="1"/>
  <c r="G468" i="24" s="1"/>
  <c r="C468" i="24" l="1"/>
  <c r="I468" i="24"/>
  <c r="J468" i="24" s="1"/>
  <c r="P468" i="24" s="1"/>
  <c r="Q468" i="24" s="1"/>
  <c r="AG467" i="24"/>
  <c r="U468" i="24"/>
  <c r="B468" i="24"/>
  <c r="F468" i="24" l="1"/>
  <c r="O468" i="24"/>
  <c r="L468" i="24"/>
  <c r="M468" i="24" s="1"/>
  <c r="K468" i="24"/>
  <c r="E468" i="24"/>
  <c r="S468" i="24" l="1"/>
  <c r="T468" i="24" s="1"/>
  <c r="AB468" i="24" s="1"/>
  <c r="AA468" i="24" l="1"/>
  <c r="AC468" i="24"/>
  <c r="R468" i="24"/>
  <c r="W468" i="24" s="1"/>
  <c r="AD468" i="24" s="1"/>
  <c r="B469" i="24" s="1"/>
  <c r="Y468" i="24" l="1"/>
  <c r="AF468" i="24" s="1"/>
  <c r="I469" i="24" s="1"/>
  <c r="X468" i="24"/>
  <c r="AE468" i="24" s="1"/>
  <c r="H469" i="24" s="1"/>
  <c r="G469" i="24"/>
  <c r="D469" i="24" l="1"/>
  <c r="V469" i="24" s="1"/>
  <c r="J469" i="24"/>
  <c r="K469" i="24" s="1"/>
  <c r="C469" i="24"/>
  <c r="E469" i="24" s="1"/>
  <c r="L469" i="24" l="1"/>
  <c r="M469" i="24" s="1"/>
  <c r="O469" i="24"/>
  <c r="U469" i="24"/>
  <c r="AG468" i="24"/>
  <c r="P469" i="24"/>
  <c r="Q469" i="24" s="1"/>
  <c r="F469" i="24"/>
  <c r="S469" i="24" l="1"/>
  <c r="T469" i="24" s="1"/>
  <c r="AC469" i="24" s="1"/>
  <c r="AB469" i="24" l="1"/>
  <c r="AA469" i="24"/>
  <c r="R469" i="24"/>
  <c r="Y469" i="24" s="1"/>
  <c r="AF469" i="24" s="1"/>
  <c r="I470" i="24" s="1"/>
  <c r="W469" i="24" l="1"/>
  <c r="AD469" i="24" s="1"/>
  <c r="G470" i="24" s="1"/>
  <c r="X469" i="24"/>
  <c r="AE469" i="24" s="1"/>
  <c r="C470" i="24" s="1"/>
  <c r="D470" i="24"/>
  <c r="U470" i="24" s="1"/>
  <c r="AG469" i="24" l="1"/>
  <c r="V470" i="24"/>
  <c r="B470" i="24"/>
  <c r="E470" i="24" s="1"/>
  <c r="H470" i="24"/>
  <c r="J470" i="24" s="1"/>
  <c r="K470" i="24" s="1"/>
  <c r="F470" i="24" l="1"/>
  <c r="O470" i="24"/>
  <c r="L470" i="24"/>
  <c r="M470" i="24" s="1"/>
  <c r="P470" i="24"/>
  <c r="Q470" i="24" s="1"/>
  <c r="S470" i="24" l="1"/>
  <c r="T470" i="24" s="1"/>
  <c r="AA470" i="24" s="1"/>
  <c r="AC470" i="24" l="1"/>
  <c r="AB470" i="24"/>
  <c r="R470" i="24"/>
  <c r="W470" i="24" s="1"/>
  <c r="AD470" i="24" l="1"/>
  <c r="G471" i="24" s="1"/>
  <c r="X470" i="24"/>
  <c r="AE470" i="24" s="1"/>
  <c r="C471" i="24" s="1"/>
  <c r="Y470" i="24"/>
  <c r="AF470" i="24" s="1"/>
  <c r="I471" i="24" s="1"/>
  <c r="B471" i="24" l="1"/>
  <c r="E471" i="24" s="1"/>
  <c r="D471" i="24"/>
  <c r="AG470" i="24" s="1"/>
  <c r="H471" i="24"/>
  <c r="J471" i="24" s="1"/>
  <c r="P471" i="24" s="1"/>
  <c r="Q471" i="24" s="1"/>
  <c r="F471" i="24" l="1"/>
  <c r="V471" i="24"/>
  <c r="U471" i="24"/>
  <c r="L471" i="24"/>
  <c r="M471" i="24" s="1"/>
  <c r="K471" i="24"/>
  <c r="O471" i="24"/>
  <c r="S471" i="24" l="1"/>
  <c r="T471" i="24" s="1"/>
  <c r="AA471" i="24" s="1"/>
  <c r="AC471" i="24" l="1"/>
  <c r="AB471" i="24"/>
  <c r="R471" i="24"/>
  <c r="X471" i="24" s="1"/>
  <c r="AE471" i="24" l="1"/>
  <c r="H472" i="24" s="1"/>
  <c r="Y471" i="24"/>
  <c r="AF471" i="24" s="1"/>
  <c r="I472" i="24" s="1"/>
  <c r="W471" i="24"/>
  <c r="AD471" i="24" s="1"/>
  <c r="G472" i="24" s="1"/>
  <c r="C472" i="24" l="1"/>
  <c r="D472" i="24"/>
  <c r="AG471" i="24" s="1"/>
  <c r="J472" i="24"/>
  <c r="L472" i="24" s="1"/>
  <c r="M472" i="24" s="1"/>
  <c r="B472" i="24"/>
  <c r="F472" i="24" l="1"/>
  <c r="U472" i="24"/>
  <c r="O472" i="24"/>
  <c r="S472" i="24" s="1"/>
  <c r="T472" i="24" s="1"/>
  <c r="AB472" i="24" s="1"/>
  <c r="V472" i="24"/>
  <c r="P472" i="24"/>
  <c r="Q472" i="24" s="1"/>
  <c r="K472" i="24"/>
  <c r="E472" i="24"/>
  <c r="AA472" i="24" l="1"/>
  <c r="AC472" i="24"/>
  <c r="R472" i="24"/>
  <c r="X472" i="24" s="1"/>
  <c r="AE472" i="24" l="1"/>
  <c r="H473" i="24" s="1"/>
  <c r="W472" i="24"/>
  <c r="AD472" i="24" s="1"/>
  <c r="B473" i="24" s="1"/>
  <c r="Y472" i="24"/>
  <c r="AF472" i="24" s="1"/>
  <c r="I473" i="24" s="1"/>
  <c r="C473" i="24" l="1"/>
  <c r="E473" i="24" s="1"/>
  <c r="G473" i="24"/>
  <c r="J473" i="24" s="1"/>
  <c r="D473" i="24"/>
  <c r="AG472" i="24" s="1"/>
  <c r="F473" i="24" l="1"/>
  <c r="P473" i="24"/>
  <c r="Q473" i="24" s="1"/>
  <c r="L473" i="24"/>
  <c r="M473" i="24" s="1"/>
  <c r="K473" i="24"/>
  <c r="V473" i="24"/>
  <c r="O473" i="24"/>
  <c r="U473" i="24"/>
  <c r="S473" i="24" l="1"/>
  <c r="T473" i="24" s="1"/>
  <c r="AC473" i="24" s="1"/>
  <c r="AB473" i="24" l="1"/>
  <c r="AA473" i="24"/>
  <c r="R473" i="24"/>
  <c r="X473" i="24" s="1"/>
  <c r="AE473" i="24" s="1"/>
  <c r="C474" i="24" s="1"/>
  <c r="W473" i="24" l="1"/>
  <c r="AD473" i="24" s="1"/>
  <c r="G474" i="24" s="1"/>
  <c r="Y473" i="24"/>
  <c r="AF473" i="24" s="1"/>
  <c r="I474" i="24" s="1"/>
  <c r="H474" i="24"/>
  <c r="B474" i="24" l="1"/>
  <c r="F474" i="24" s="1"/>
  <c r="D474" i="24"/>
  <c r="U474" i="24" s="1"/>
  <c r="J474" i="24"/>
  <c r="L474" i="24" s="1"/>
  <c r="M474" i="24" s="1"/>
  <c r="E474" i="24" l="1"/>
  <c r="V474" i="24"/>
  <c r="O474" i="24"/>
  <c r="S474" i="24" s="1"/>
  <c r="T474" i="24" s="1"/>
  <c r="AA474" i="24" s="1"/>
  <c r="K474" i="24"/>
  <c r="AG473" i="24"/>
  <c r="P474" i="24"/>
  <c r="Q474" i="24" s="1"/>
  <c r="AC474" i="24" l="1"/>
  <c r="AB474" i="24"/>
  <c r="R474" i="24"/>
  <c r="Y474" i="24" s="1"/>
  <c r="AF474" i="24" l="1"/>
  <c r="D475" i="24" s="1"/>
  <c r="U475" i="24" s="1"/>
  <c r="X474" i="24"/>
  <c r="AE474" i="24" s="1"/>
  <c r="H475" i="24" s="1"/>
  <c r="W474" i="24"/>
  <c r="AD474" i="24" s="1"/>
  <c r="B475" i="24" s="1"/>
  <c r="V475" i="24" l="1"/>
  <c r="AG474" i="24"/>
  <c r="I475" i="24"/>
  <c r="G475" i="24"/>
  <c r="C475" i="24"/>
  <c r="F475" i="24" s="1"/>
  <c r="J475" i="24" l="1"/>
  <c r="P475" i="24" s="1"/>
  <c r="Q475" i="24" s="1"/>
  <c r="E475" i="24"/>
  <c r="O475" i="24" l="1"/>
  <c r="L475" i="24"/>
  <c r="M475" i="24" s="1"/>
  <c r="K475" i="24"/>
  <c r="S475" i="24" l="1"/>
  <c r="T475" i="24" s="1"/>
  <c r="AA475" i="24"/>
  <c r="AB475" i="24"/>
  <c r="AC475" i="24"/>
  <c r="R475" i="24"/>
  <c r="W475" i="24" s="1"/>
  <c r="AD475" i="24" l="1"/>
  <c r="G476" i="24" s="1"/>
  <c r="X475" i="24"/>
  <c r="AE475" i="24" s="1"/>
  <c r="C476" i="24" s="1"/>
  <c r="Y475" i="24"/>
  <c r="AF475" i="24" s="1"/>
  <c r="I476" i="24" s="1"/>
  <c r="B476" i="24" l="1"/>
  <c r="E476" i="24" s="1"/>
  <c r="H476" i="24"/>
  <c r="J476" i="24" s="1"/>
  <c r="P476" i="24" s="1"/>
  <c r="Q476" i="24" s="1"/>
  <c r="D476" i="24"/>
  <c r="AG475" i="24" s="1"/>
  <c r="F476" i="24" l="1"/>
  <c r="V476" i="24"/>
  <c r="U476" i="24"/>
  <c r="O476" i="24"/>
  <c r="K476" i="24"/>
  <c r="L476" i="24"/>
  <c r="M476" i="24" s="1"/>
  <c r="S476" i="24" l="1"/>
  <c r="T476" i="24" s="1"/>
  <c r="AB476" i="24" s="1"/>
  <c r="AC476" i="24" l="1"/>
  <c r="AA476" i="24"/>
  <c r="R476" i="24"/>
  <c r="Y476" i="24" s="1"/>
  <c r="AF476" i="24" l="1"/>
  <c r="I477" i="24" s="1"/>
  <c r="W476" i="24"/>
  <c r="AD476" i="24" s="1"/>
  <c r="G477" i="24" s="1"/>
  <c r="X476" i="24"/>
  <c r="AE476" i="24" s="1"/>
  <c r="H477" i="24" s="1"/>
  <c r="D477" i="24" l="1"/>
  <c r="U477" i="24" s="1"/>
  <c r="C477" i="24"/>
  <c r="J477" i="24"/>
  <c r="L477" i="24" s="1"/>
  <c r="M477" i="24" s="1"/>
  <c r="B477" i="24"/>
  <c r="O477" i="24" l="1"/>
  <c r="S477" i="24" s="1"/>
  <c r="T477" i="24" s="1"/>
  <c r="AC477" i="24" s="1"/>
  <c r="V477" i="24"/>
  <c r="AG476" i="24"/>
  <c r="E477" i="24"/>
  <c r="K477" i="24"/>
  <c r="P477" i="24"/>
  <c r="Q477" i="24" s="1"/>
  <c r="F477" i="24"/>
  <c r="AB477" i="24" l="1"/>
  <c r="AA477" i="24"/>
  <c r="R477" i="24"/>
  <c r="Y477" i="24" s="1"/>
  <c r="X477" i="24" l="1"/>
  <c r="AE477" i="24" s="1"/>
  <c r="C478" i="24" s="1"/>
  <c r="W477" i="24"/>
  <c r="AD477" i="24" s="1"/>
  <c r="G478" i="24" s="1"/>
  <c r="AF477" i="24"/>
  <c r="I478" i="24" s="1"/>
  <c r="H478" i="24" l="1"/>
  <c r="J478" i="24" s="1"/>
  <c r="K478" i="24" s="1"/>
  <c r="D478" i="24"/>
  <c r="U478" i="24" s="1"/>
  <c r="B478" i="24"/>
  <c r="F478" i="24" s="1"/>
  <c r="O478" i="24" l="1"/>
  <c r="V478" i="24"/>
  <c r="AG477" i="24"/>
  <c r="E478" i="24"/>
  <c r="P478" i="24"/>
  <c r="Q478" i="24" s="1"/>
  <c r="L478" i="24"/>
  <c r="M478" i="24" s="1"/>
  <c r="S478" i="24" l="1"/>
  <c r="T478" i="24" s="1"/>
  <c r="AA478" i="24" s="1"/>
  <c r="AB478" i="24" l="1"/>
  <c r="AC478" i="24"/>
  <c r="R478" i="24"/>
  <c r="Y478" i="24" s="1"/>
  <c r="W478" i="24" l="1"/>
  <c r="AD478" i="24" s="1"/>
  <c r="B479" i="24" s="1"/>
  <c r="AF478" i="24"/>
  <c r="D479" i="24" s="1"/>
  <c r="AG478" i="24" s="1"/>
  <c r="X478" i="24"/>
  <c r="AE478" i="24" s="1"/>
  <c r="H479" i="24" s="1"/>
  <c r="I479" i="24" l="1"/>
  <c r="C479" i="24"/>
  <c r="E479" i="24" s="1"/>
  <c r="U479" i="24"/>
  <c r="V479" i="24"/>
  <c r="G479" i="24"/>
  <c r="F479" i="24" l="1"/>
  <c r="J479" i="24"/>
  <c r="L479" i="24" s="1"/>
  <c r="M479" i="24" s="1"/>
  <c r="O479" i="24" l="1"/>
  <c r="S479" i="24" s="1"/>
  <c r="T479" i="24" s="1"/>
  <c r="AA479" i="24" s="1"/>
  <c r="K479" i="24"/>
  <c r="P479" i="24"/>
  <c r="Q479" i="24" s="1"/>
  <c r="AC479" i="24" l="1"/>
  <c r="AB479" i="24"/>
  <c r="R479" i="24"/>
  <c r="Y479" i="24" s="1"/>
  <c r="AF479" i="24" l="1"/>
  <c r="D480" i="24" s="1"/>
  <c r="U480" i="24" s="1"/>
  <c r="X479" i="24"/>
  <c r="AE479" i="24" s="1"/>
  <c r="H480" i="24" s="1"/>
  <c r="W479" i="24"/>
  <c r="AD479" i="24" s="1"/>
  <c r="G480" i="24" s="1"/>
  <c r="I480" i="24" l="1"/>
  <c r="AG479" i="24"/>
  <c r="V480" i="24"/>
  <c r="C480" i="24"/>
  <c r="B480" i="24"/>
  <c r="J480" i="24" l="1"/>
  <c r="K480" i="24" s="1"/>
  <c r="F480" i="24"/>
  <c r="E480" i="24"/>
  <c r="O480" i="24" l="1"/>
  <c r="P480" i="24"/>
  <c r="Q480" i="24" s="1"/>
  <c r="L480" i="24"/>
  <c r="M480" i="24" s="1"/>
  <c r="S480" i="24" l="1"/>
  <c r="T480" i="24" s="1"/>
  <c r="AB480" i="24" s="1"/>
  <c r="AC480" i="24" l="1"/>
  <c r="AA480" i="24"/>
  <c r="R480" i="24"/>
  <c r="W480" i="24" s="1"/>
  <c r="AD480" i="24" l="1"/>
  <c r="G481" i="24" s="1"/>
  <c r="Y480" i="24"/>
  <c r="AF480" i="24" s="1"/>
  <c r="D481" i="24" s="1"/>
  <c r="V481" i="24" s="1"/>
  <c r="X480" i="24"/>
  <c r="AE480" i="24" s="1"/>
  <c r="B481" i="24" l="1"/>
  <c r="C481" i="24"/>
  <c r="H481" i="24"/>
  <c r="U481" i="24"/>
  <c r="AG480" i="24"/>
  <c r="I481" i="24"/>
  <c r="F481" i="24" l="1"/>
  <c r="E481" i="24"/>
  <c r="J481" i="24"/>
  <c r="L481" i="24" s="1"/>
  <c r="M481" i="24" s="1"/>
  <c r="O481" i="24" l="1"/>
  <c r="S481" i="24" s="1"/>
  <c r="T481" i="24" s="1"/>
  <c r="AC481" i="24" s="1"/>
  <c r="K481" i="24"/>
  <c r="P481" i="24"/>
  <c r="AA481" i="24" l="1"/>
  <c r="AB481" i="24"/>
  <c r="Q481" i="24"/>
  <c r="R481" i="24" s="1"/>
  <c r="X481" i="24" l="1"/>
  <c r="AE481" i="24" s="1"/>
  <c r="H482" i="24" s="1"/>
  <c r="W481" i="24"/>
  <c r="AD481" i="24" s="1"/>
  <c r="G482" i="24" s="1"/>
  <c r="Y481" i="24"/>
  <c r="AF481" i="24" s="1"/>
  <c r="I482" i="24" s="1"/>
  <c r="C482" i="24"/>
  <c r="J482" i="24" l="1"/>
  <c r="K482" i="24" s="1"/>
  <c r="D482" i="24"/>
  <c r="V482" i="24" s="1"/>
  <c r="B482" i="24"/>
  <c r="F482" i="24" s="1"/>
  <c r="L482" i="24"/>
  <c r="M482" i="24" s="1"/>
  <c r="P482" i="24"/>
  <c r="Q482" i="24" s="1"/>
  <c r="O482" i="24" l="1"/>
  <c r="S482" i="24" s="1"/>
  <c r="T482" i="24" s="1"/>
  <c r="AA482" i="24" s="1"/>
  <c r="U482" i="24"/>
  <c r="E482" i="24"/>
  <c r="AG481" i="24"/>
  <c r="AC482" i="24" l="1"/>
  <c r="AB482" i="24"/>
  <c r="R482" i="24"/>
  <c r="X482" i="24" s="1"/>
  <c r="W482" i="24" l="1"/>
  <c r="AD482" i="24" s="1"/>
  <c r="B483" i="24" s="1"/>
  <c r="Y482" i="24"/>
  <c r="AF482" i="24" s="1"/>
  <c r="AE482" i="24"/>
  <c r="H483" i="24" s="1"/>
  <c r="G483" i="24" l="1"/>
  <c r="D483" i="24"/>
  <c r="U483" i="24" s="1"/>
  <c r="I483" i="24"/>
  <c r="C483" i="24"/>
  <c r="F483" i="24" s="1"/>
  <c r="J483" i="24" l="1"/>
  <c r="P483" i="24" s="1"/>
  <c r="Q483" i="24" s="1"/>
  <c r="V483" i="24"/>
  <c r="AG482" i="24"/>
  <c r="E483" i="24"/>
  <c r="O483" i="24" l="1"/>
  <c r="K483" i="24"/>
  <c r="L483" i="24"/>
  <c r="M483" i="24" s="1"/>
  <c r="S483" i="24" l="1"/>
  <c r="T483" i="24"/>
  <c r="AA483" i="24" s="1"/>
  <c r="R483" i="24"/>
  <c r="W483" i="24" s="1"/>
  <c r="AC483" i="24" l="1"/>
  <c r="AB483" i="24"/>
  <c r="X483" i="24"/>
  <c r="Y483" i="24"/>
  <c r="AF483" i="24" s="1"/>
  <c r="AD483" i="24"/>
  <c r="G484" i="24" s="1"/>
  <c r="AE483" i="24" l="1"/>
  <c r="C484" i="24" s="1"/>
  <c r="I484" i="24"/>
  <c r="D484" i="24"/>
  <c r="AG483" i="24" s="1"/>
  <c r="B484" i="24"/>
  <c r="H484" i="24" l="1"/>
  <c r="J484" i="24" s="1"/>
  <c r="L484" i="24" s="1"/>
  <c r="M484" i="24" s="1"/>
  <c r="E484" i="24"/>
  <c r="F484" i="24"/>
  <c r="U484" i="24"/>
  <c r="V484" i="24"/>
  <c r="O484" i="24" l="1"/>
  <c r="S484" i="24" s="1"/>
  <c r="T484" i="24" s="1"/>
  <c r="AB484" i="24" s="1"/>
  <c r="K484" i="24"/>
  <c r="P484" i="24"/>
  <c r="Q484" i="24" s="1"/>
  <c r="AA484" i="24" l="1"/>
  <c r="AC484" i="24"/>
  <c r="R484" i="24"/>
  <c r="X484" i="24" s="1"/>
  <c r="W484" i="24" l="1"/>
  <c r="AD484" i="24" s="1"/>
  <c r="B485" i="24" s="1"/>
  <c r="Y484" i="24"/>
  <c r="AF484" i="24" s="1"/>
  <c r="I485" i="24" s="1"/>
  <c r="AE484" i="24"/>
  <c r="H485" i="24" s="1"/>
  <c r="G485" i="24" l="1"/>
  <c r="J485" i="24" s="1"/>
  <c r="P485" i="24" s="1"/>
  <c r="Q485" i="24" s="1"/>
  <c r="D485" i="24"/>
  <c r="AG484" i="24" s="1"/>
  <c r="C485" i="24"/>
  <c r="F485" i="24" s="1"/>
  <c r="V485" i="24" l="1"/>
  <c r="E485" i="24"/>
  <c r="U485" i="24"/>
  <c r="O485" i="24"/>
  <c r="L485" i="24"/>
  <c r="M485" i="24" s="1"/>
  <c r="K485" i="24"/>
  <c r="S485" i="24" l="1"/>
  <c r="T485" i="24" s="1"/>
  <c r="AC485" i="24" s="1"/>
  <c r="AB485" i="24" l="1"/>
  <c r="AA485" i="24"/>
  <c r="R485" i="24"/>
  <c r="Y485" i="24" s="1"/>
  <c r="AF485" i="24" s="1"/>
  <c r="I486" i="24" s="1"/>
  <c r="W485" i="24" l="1"/>
  <c r="AD485" i="24" s="1"/>
  <c r="B486" i="24" s="1"/>
  <c r="X485" i="24"/>
  <c r="AE485" i="24" s="1"/>
  <c r="C486" i="24" s="1"/>
  <c r="D486" i="24"/>
  <c r="U486" i="24" s="1"/>
  <c r="G486" i="24" l="1"/>
  <c r="E486" i="24"/>
  <c r="H486" i="24"/>
  <c r="F486" i="24"/>
  <c r="V486" i="24"/>
  <c r="AG485" i="24"/>
  <c r="J486" i="24" l="1"/>
  <c r="P486" i="24" s="1"/>
  <c r="Q486" i="24" s="1"/>
  <c r="O486" i="24" l="1"/>
  <c r="L486" i="24"/>
  <c r="M486" i="24" s="1"/>
  <c r="K486" i="24"/>
  <c r="S486" i="24" l="1"/>
  <c r="T486" i="24" s="1"/>
  <c r="AA486" i="24" s="1"/>
  <c r="AB486" i="24" l="1"/>
  <c r="AC486" i="24"/>
  <c r="R486" i="24"/>
  <c r="W486" i="24" s="1"/>
  <c r="AD486" i="24" s="1"/>
  <c r="G487" i="24" s="1"/>
  <c r="Y486" i="24" l="1"/>
  <c r="AF486" i="24" s="1"/>
  <c r="D487" i="24" s="1"/>
  <c r="AG486" i="24" s="1"/>
  <c r="X486" i="24"/>
  <c r="AE486" i="24" s="1"/>
  <c r="H487" i="24" s="1"/>
  <c r="B487" i="24"/>
  <c r="I487" i="24" l="1"/>
  <c r="J487" i="24" s="1"/>
  <c r="P487" i="24" s="1"/>
  <c r="Q487" i="24" s="1"/>
  <c r="U487" i="24"/>
  <c r="C487" i="24"/>
  <c r="F487" i="24" s="1"/>
  <c r="V487" i="24"/>
  <c r="O487" i="24"/>
  <c r="E487" i="24" l="1"/>
  <c r="K487" i="24"/>
  <c r="L487" i="24"/>
  <c r="M487" i="24" s="1"/>
  <c r="S487" i="24" l="1"/>
  <c r="T487" i="24"/>
  <c r="AA487" i="24" s="1"/>
  <c r="R487" i="24"/>
  <c r="Y487" i="24" s="1"/>
  <c r="AC487" i="24" l="1"/>
  <c r="AF487" i="24" s="1"/>
  <c r="I488" i="24" s="1"/>
  <c r="AB487" i="24"/>
  <c r="X487" i="24"/>
  <c r="W487" i="24"/>
  <c r="AD487" i="24" s="1"/>
  <c r="G488" i="24" s="1"/>
  <c r="AE487" i="24" l="1"/>
  <c r="H488" i="24" s="1"/>
  <c r="D488" i="24"/>
  <c r="U488" i="24" s="1"/>
  <c r="B488" i="24"/>
  <c r="C488" i="24" l="1"/>
  <c r="E488" i="24" s="1"/>
  <c r="V488" i="24"/>
  <c r="J488" i="24"/>
  <c r="L488" i="24" s="1"/>
  <c r="M488" i="24" s="1"/>
  <c r="AG487" i="24"/>
  <c r="O488" i="24" l="1"/>
  <c r="S488" i="24" s="1"/>
  <c r="T488" i="24" s="1"/>
  <c r="AB488" i="24" s="1"/>
  <c r="F488" i="24"/>
  <c r="K488" i="24"/>
  <c r="P488" i="24"/>
  <c r="Q488" i="24" s="1"/>
  <c r="AA488" i="24" l="1"/>
  <c r="AC488" i="24"/>
  <c r="R488" i="24"/>
  <c r="W488" i="24" s="1"/>
  <c r="Y488" i="24" l="1"/>
  <c r="AF488" i="24" s="1"/>
  <c r="D489" i="24" s="1"/>
  <c r="AG488" i="24" s="1"/>
  <c r="X488" i="24"/>
  <c r="AE488" i="24" s="1"/>
  <c r="C489" i="24" s="1"/>
  <c r="AD488" i="24"/>
  <c r="B489" i="24" s="1"/>
  <c r="E489" i="24" l="1"/>
  <c r="G489" i="24"/>
  <c r="H489" i="24"/>
  <c r="F489" i="24"/>
  <c r="V489" i="24"/>
  <c r="U489" i="24"/>
  <c r="I489" i="24"/>
  <c r="J489" i="24" l="1"/>
  <c r="L489" i="24" s="1"/>
  <c r="M489" i="24" s="1"/>
  <c r="O489" i="24" l="1"/>
  <c r="S489" i="24" s="1"/>
  <c r="T489" i="24" s="1"/>
  <c r="AC489" i="24" s="1"/>
  <c r="P489" i="24"/>
  <c r="Q489" i="24" s="1"/>
  <c r="K489" i="24"/>
  <c r="AA489" i="24" l="1"/>
  <c r="AB489" i="24"/>
  <c r="R489" i="24"/>
  <c r="W489" i="24" s="1"/>
  <c r="AD489" i="24" l="1"/>
  <c r="G490" i="24" s="1"/>
  <c r="Y489" i="24"/>
  <c r="AF489" i="24" s="1"/>
  <c r="D490" i="24" s="1"/>
  <c r="V490" i="24" s="1"/>
  <c r="X489" i="24"/>
  <c r="AE489" i="24" s="1"/>
  <c r="H490" i="24" s="1"/>
  <c r="B490" i="24" l="1"/>
  <c r="U490" i="24"/>
  <c r="I490" i="24"/>
  <c r="AG489" i="24"/>
  <c r="C490" i="24"/>
  <c r="F490" i="24" l="1"/>
  <c r="E490" i="24"/>
  <c r="J490" i="24"/>
  <c r="K490" i="24" s="1"/>
  <c r="O490" i="24" l="1"/>
  <c r="L490" i="24"/>
  <c r="M490" i="24" s="1"/>
  <c r="P490" i="24"/>
  <c r="Q490" i="24" s="1"/>
  <c r="S490" i="24" l="1"/>
  <c r="T490" i="24" s="1"/>
  <c r="AA490" i="24"/>
  <c r="AB490" i="24"/>
  <c r="AC490" i="24"/>
  <c r="R490" i="24"/>
  <c r="X490" i="24" s="1"/>
  <c r="W490" i="24" l="1"/>
  <c r="AD490" i="24" s="1"/>
  <c r="G491" i="24" s="1"/>
  <c r="AE490" i="24"/>
  <c r="H491" i="24" s="1"/>
  <c r="Y490" i="24"/>
  <c r="AF490" i="24" s="1"/>
  <c r="I491" i="24" s="1"/>
  <c r="B491" i="24" l="1"/>
  <c r="J491" i="24"/>
  <c r="P491" i="24" s="1"/>
  <c r="Q491" i="24" s="1"/>
  <c r="D491" i="24"/>
  <c r="U491" i="24" s="1"/>
  <c r="C491" i="24"/>
  <c r="F491" i="24" l="1"/>
  <c r="K491" i="24"/>
  <c r="L491" i="24"/>
  <c r="M491" i="24" s="1"/>
  <c r="O491" i="24"/>
  <c r="V491" i="24"/>
  <c r="AG490" i="24"/>
  <c r="E491" i="24"/>
  <c r="S491" i="24" l="1"/>
  <c r="T491" i="24" s="1"/>
  <c r="AA491" i="24" s="1"/>
  <c r="AC491" i="24" l="1"/>
  <c r="AB491" i="24"/>
  <c r="R491" i="24"/>
  <c r="W491" i="24" s="1"/>
  <c r="AD491" i="24" s="1"/>
  <c r="G492" i="24" s="1"/>
  <c r="Y491" i="24" l="1"/>
  <c r="X491" i="24"/>
  <c r="AE491" i="24" s="1"/>
  <c r="H492" i="24" s="1"/>
  <c r="AF491" i="24"/>
  <c r="I492" i="24" s="1"/>
  <c r="B492" i="24"/>
  <c r="J492" i="24" l="1"/>
  <c r="K492" i="24" s="1"/>
  <c r="C492" i="24"/>
  <c r="F492" i="24" s="1"/>
  <c r="D492" i="24"/>
  <c r="U492" i="24" s="1"/>
  <c r="L492" i="24"/>
  <c r="M492" i="24" s="1"/>
  <c r="P492" i="24" l="1"/>
  <c r="Q492" i="24" s="1"/>
  <c r="E492" i="24"/>
  <c r="AG491" i="24"/>
  <c r="O492" i="24"/>
  <c r="S492" i="24" s="1"/>
  <c r="T492" i="24" s="1"/>
  <c r="V492" i="24"/>
  <c r="AC492" i="24" l="1"/>
  <c r="AB492" i="24"/>
  <c r="AA492" i="24"/>
  <c r="R492" i="24"/>
  <c r="X492" i="24" s="1"/>
  <c r="AE492" i="24" s="1"/>
  <c r="Y492" i="24" l="1"/>
  <c r="AF492" i="24" s="1"/>
  <c r="D493" i="24" s="1"/>
  <c r="V493" i="24" s="1"/>
  <c r="W492" i="24"/>
  <c r="AD492" i="24" s="1"/>
  <c r="B493" i="24" s="1"/>
  <c r="H493" i="24"/>
  <c r="C493" i="24"/>
  <c r="F493" i="24" l="1"/>
  <c r="E493" i="24"/>
  <c r="G493" i="24"/>
  <c r="U493" i="24"/>
  <c r="I493" i="24"/>
  <c r="AG492" i="24"/>
  <c r="J493" i="24" l="1"/>
  <c r="P493" i="24" s="1"/>
  <c r="Q493" i="24" s="1"/>
  <c r="O493" i="24" l="1"/>
  <c r="K493" i="24"/>
  <c r="L493" i="24"/>
  <c r="M493" i="24" s="1"/>
  <c r="S493" i="24" l="1"/>
  <c r="AC493" i="24"/>
  <c r="AA493" i="24"/>
  <c r="AB493" i="24"/>
  <c r="T493" i="24"/>
  <c r="R493" i="24"/>
  <c r="X493" i="24" s="1"/>
  <c r="AE493" i="24" l="1"/>
  <c r="W493" i="24"/>
  <c r="AD493" i="24" s="1"/>
  <c r="B494" i="24" s="1"/>
  <c r="Y493" i="24"/>
  <c r="AF493" i="24" s="1"/>
  <c r="I494" i="24" s="1"/>
  <c r="C494" i="24" l="1"/>
  <c r="F494" i="24" s="1"/>
  <c r="H494" i="24"/>
  <c r="D494" i="24"/>
  <c r="AG493" i="24" s="1"/>
  <c r="G494" i="24"/>
  <c r="J494" i="24" l="1"/>
  <c r="L494" i="24" s="1"/>
  <c r="M494" i="24" s="1"/>
  <c r="U494" i="24"/>
  <c r="V494" i="24"/>
  <c r="E494" i="24"/>
  <c r="O494" i="24"/>
  <c r="S494" i="24" s="1"/>
  <c r="T494" i="24" s="1"/>
  <c r="AA494" i="24" s="1"/>
  <c r="K494" i="24"/>
  <c r="P494" i="24"/>
  <c r="Q494" i="24" s="1"/>
  <c r="AC494" i="24" l="1"/>
  <c r="AB494" i="24"/>
  <c r="R494" i="24"/>
  <c r="W494" i="24" s="1"/>
  <c r="X494" i="24" l="1"/>
  <c r="AE494" i="24" s="1"/>
  <c r="C495" i="24" s="1"/>
  <c r="Y494" i="24"/>
  <c r="AF494" i="24" s="1"/>
  <c r="I495" i="24" s="1"/>
  <c r="AD494" i="24"/>
  <c r="B495" i="24" s="1"/>
  <c r="H495" i="24" l="1"/>
  <c r="F495" i="24"/>
  <c r="E495" i="24"/>
  <c r="G495" i="24"/>
  <c r="D495" i="24"/>
  <c r="U495" i="24" s="1"/>
  <c r="J495" i="24" l="1"/>
  <c r="P495" i="24" s="1"/>
  <c r="Q495" i="24" s="1"/>
  <c r="AG494" i="24"/>
  <c r="V495" i="24"/>
  <c r="O495" i="24" l="1"/>
  <c r="L495" i="24"/>
  <c r="M495" i="24" s="1"/>
  <c r="K495" i="24"/>
  <c r="S495" i="24" l="1"/>
  <c r="T495" i="24" s="1"/>
  <c r="AA495" i="24" s="1"/>
  <c r="AC495" i="24" l="1"/>
  <c r="AB495" i="24"/>
  <c r="R495" i="24"/>
  <c r="X495" i="24" s="1"/>
  <c r="AE495" i="24" l="1"/>
  <c r="H496" i="24" s="1"/>
  <c r="Y495" i="24"/>
  <c r="AF495" i="24" s="1"/>
  <c r="I496" i="24" s="1"/>
  <c r="W495" i="24"/>
  <c r="AD495" i="24" s="1"/>
  <c r="B496" i="24" s="1"/>
  <c r="C496" i="24"/>
  <c r="G496" i="24" l="1"/>
  <c r="F496" i="24"/>
  <c r="J496" i="24"/>
  <c r="P496" i="24" s="1"/>
  <c r="Q496" i="24" s="1"/>
  <c r="D496" i="24"/>
  <c r="V496" i="24" s="1"/>
  <c r="E496" i="24"/>
  <c r="L496" i="24" l="1"/>
  <c r="M496" i="24" s="1"/>
  <c r="AG495" i="24"/>
  <c r="K496" i="24"/>
  <c r="O496" i="24"/>
  <c r="U496" i="24"/>
  <c r="S496" i="24" l="1"/>
  <c r="T496" i="24" s="1"/>
  <c r="AB496" i="24" s="1"/>
  <c r="AA496" i="24" l="1"/>
  <c r="AC496" i="24"/>
  <c r="R496" i="24"/>
  <c r="W496" i="24" s="1"/>
  <c r="Y496" i="24" l="1"/>
  <c r="AF496" i="24" s="1"/>
  <c r="I497" i="24" s="1"/>
  <c r="X496" i="24"/>
  <c r="AE496" i="24" s="1"/>
  <c r="C497" i="24" s="1"/>
  <c r="AD496" i="24"/>
  <c r="G497" i="24" s="1"/>
  <c r="D497" i="24" l="1"/>
  <c r="V497" i="24" s="1"/>
  <c r="B497" i="24"/>
  <c r="E497" i="24" s="1"/>
  <c r="H497" i="24"/>
  <c r="J497" i="24" s="1"/>
  <c r="K497" i="24" s="1"/>
  <c r="U497" i="24" l="1"/>
  <c r="F497" i="24"/>
  <c r="AG496" i="24"/>
  <c r="O497" i="24"/>
  <c r="P497" i="24"/>
  <c r="Q497" i="24" s="1"/>
  <c r="L497" i="24"/>
  <c r="M497" i="24" s="1"/>
  <c r="S497" i="24" l="1"/>
  <c r="T497" i="24" s="1"/>
  <c r="AC497" i="24" s="1"/>
  <c r="AA497" i="24" l="1"/>
  <c r="AB497" i="24"/>
  <c r="R497" i="24"/>
  <c r="X497" i="24" s="1"/>
  <c r="AE497" i="24" s="1"/>
  <c r="H498" i="24" s="1"/>
  <c r="Y497" i="24" l="1"/>
  <c r="AF497" i="24" s="1"/>
  <c r="I498" i="24" s="1"/>
  <c r="W497" i="24"/>
  <c r="AD497" i="24" s="1"/>
  <c r="B498" i="24" s="1"/>
  <c r="C498" i="24"/>
  <c r="E498" i="24" l="1"/>
  <c r="D498" i="24"/>
  <c r="U498" i="24" s="1"/>
  <c r="G498" i="24"/>
  <c r="J498" i="24" s="1"/>
  <c r="P498" i="24" s="1"/>
  <c r="Q498" i="24" s="1"/>
  <c r="F498" i="24"/>
  <c r="K498" i="24" l="1"/>
  <c r="O498" i="24"/>
  <c r="V498" i="24"/>
  <c r="AG497" i="24"/>
  <c r="L498" i="24"/>
  <c r="M498" i="24" s="1"/>
  <c r="S498" i="24" l="1"/>
  <c r="T498" i="24" s="1"/>
  <c r="AA498" i="24" s="1"/>
  <c r="AB498" i="24" l="1"/>
  <c r="AC498" i="24"/>
  <c r="R498" i="24"/>
  <c r="X498" i="24" s="1"/>
  <c r="AE498" i="24" l="1"/>
  <c r="C499" i="24" s="1"/>
  <c r="W498" i="24"/>
  <c r="AD498" i="24" s="1"/>
  <c r="G499" i="24" s="1"/>
  <c r="Y498" i="24"/>
  <c r="AF498" i="24" s="1"/>
  <c r="I499" i="24" s="1"/>
  <c r="H499" i="24" l="1"/>
  <c r="J499" i="24" s="1"/>
  <c r="L499" i="24" s="1"/>
  <c r="M499" i="24" s="1"/>
  <c r="D499" i="24"/>
  <c r="U499" i="24" s="1"/>
  <c r="B499" i="24"/>
  <c r="F499" i="24" s="1"/>
  <c r="E499" i="24" l="1"/>
  <c r="V499" i="24"/>
  <c r="AG498" i="24"/>
  <c r="O499" i="24"/>
  <c r="S499" i="24" s="1"/>
  <c r="T499" i="24" s="1"/>
  <c r="AA499" i="24" s="1"/>
  <c r="P499" i="24"/>
  <c r="Q499" i="24" s="1"/>
  <c r="K499" i="24"/>
  <c r="AB499" i="24" l="1"/>
  <c r="AC499" i="24"/>
  <c r="R499" i="24"/>
  <c r="Y499" i="24" s="1"/>
  <c r="AF499" i="24" l="1"/>
  <c r="D500" i="24" s="1"/>
  <c r="V500" i="24" s="1"/>
  <c r="X499" i="24"/>
  <c r="AE499" i="24" s="1"/>
  <c r="H500" i="24" s="1"/>
  <c r="W499" i="24"/>
  <c r="AD499" i="24" s="1"/>
  <c r="G500" i="24" s="1"/>
  <c r="U500" i="24" l="1"/>
  <c r="I500" i="24"/>
  <c r="J500" i="24" s="1"/>
  <c r="L500" i="24" s="1"/>
  <c r="M500" i="24" s="1"/>
  <c r="AG499" i="24"/>
  <c r="C500" i="24"/>
  <c r="B500" i="24"/>
  <c r="O500" i="24" l="1"/>
  <c r="S500" i="24" s="1"/>
  <c r="T500" i="24" s="1"/>
  <c r="AB500" i="24" s="1"/>
  <c r="F500" i="24"/>
  <c r="K500" i="24"/>
  <c r="P500" i="24"/>
  <c r="Q500" i="24" s="1"/>
  <c r="E500" i="24"/>
  <c r="AA500" i="24" l="1"/>
  <c r="AC500" i="24"/>
  <c r="R500" i="24"/>
  <c r="X500" i="24" s="1"/>
  <c r="AE500" i="24" l="1"/>
  <c r="C501" i="24" s="1"/>
  <c r="W500" i="24"/>
  <c r="AD500" i="24" s="1"/>
  <c r="G501" i="24" s="1"/>
  <c r="Y500" i="24"/>
  <c r="AF500" i="24" s="1"/>
  <c r="I501" i="24" s="1"/>
  <c r="H501" i="24" l="1"/>
  <c r="J501" i="24" s="1"/>
  <c r="L501" i="24" s="1"/>
  <c r="M501" i="24" s="1"/>
  <c r="B501" i="24"/>
  <c r="F501" i="24" s="1"/>
  <c r="D501" i="24"/>
  <c r="V501" i="24" s="1"/>
  <c r="E501" i="24" l="1"/>
  <c r="U501" i="24"/>
  <c r="AG500" i="24"/>
  <c r="K501" i="24"/>
  <c r="O501" i="24"/>
  <c r="S501" i="24" s="1"/>
  <c r="T501" i="24" s="1"/>
  <c r="P501" i="24"/>
  <c r="Q501" i="24" s="1"/>
  <c r="AC501" i="24" l="1"/>
  <c r="AB501" i="24"/>
  <c r="AA501" i="24"/>
  <c r="R501" i="24"/>
  <c r="X501" i="24" s="1"/>
  <c r="Y501" i="24" l="1"/>
  <c r="AF501" i="24" s="1"/>
  <c r="I502" i="24" s="1"/>
  <c r="W501" i="24"/>
  <c r="AD501" i="24" s="1"/>
  <c r="B502" i="24" s="1"/>
  <c r="AE501" i="24"/>
  <c r="C502" i="24" s="1"/>
  <c r="D502" i="24" l="1"/>
  <c r="V502" i="24" s="1"/>
  <c r="H502" i="24"/>
  <c r="G502" i="24"/>
  <c r="E502" i="24"/>
  <c r="F502" i="24"/>
  <c r="U502" i="24" l="1"/>
  <c r="AG501" i="24"/>
  <c r="J502" i="24"/>
  <c r="L502" i="24" s="1"/>
  <c r="M502" i="24" s="1"/>
  <c r="O502" i="24" l="1"/>
  <c r="S502" i="24" s="1"/>
  <c r="T502" i="24" s="1"/>
  <c r="AA502" i="24" s="1"/>
  <c r="K502" i="24"/>
  <c r="P502" i="24"/>
  <c r="Q502" i="24" s="1"/>
  <c r="AC502" i="24" l="1"/>
  <c r="AB502" i="24"/>
  <c r="R502" i="24"/>
  <c r="W502" i="24" s="1"/>
  <c r="X502" i="24" l="1"/>
  <c r="AE502" i="24" s="1"/>
  <c r="H503" i="24" s="1"/>
  <c r="Y502" i="24"/>
  <c r="AF502" i="24" s="1"/>
  <c r="D503" i="24" s="1"/>
  <c r="AD502" i="24"/>
  <c r="G503" i="24" s="1"/>
  <c r="C503" i="24" l="1"/>
  <c r="B503" i="24"/>
  <c r="I503" i="24"/>
  <c r="J503" i="24" s="1"/>
  <c r="V503" i="24"/>
  <c r="AG502" i="24"/>
  <c r="U503" i="24"/>
  <c r="O503" i="24" l="1"/>
  <c r="F503" i="24"/>
  <c r="E503" i="24"/>
  <c r="L503" i="24"/>
  <c r="M503" i="24" s="1"/>
  <c r="P503" i="24"/>
  <c r="Q503" i="24" s="1"/>
  <c r="K503" i="24"/>
  <c r="S503" i="24" l="1"/>
  <c r="T503" i="24" s="1"/>
  <c r="AA503" i="24" s="1"/>
  <c r="AB503" i="24" l="1"/>
  <c r="AC503" i="24"/>
  <c r="R503" i="24"/>
  <c r="Y503" i="24" s="1"/>
  <c r="AF503" i="24" s="1"/>
  <c r="D504" i="24" s="1"/>
  <c r="V504" i="24" s="1"/>
  <c r="X503" i="24" l="1"/>
  <c r="AE503" i="24" s="1"/>
  <c r="C504" i="24" s="1"/>
  <c r="W503" i="24"/>
  <c r="AD503" i="24" s="1"/>
  <c r="G504" i="24" s="1"/>
  <c r="I504" i="24"/>
  <c r="U504" i="24"/>
  <c r="AG503" i="24"/>
  <c r="B504" i="24" l="1"/>
  <c r="E504" i="24" s="1"/>
  <c r="H504" i="24"/>
  <c r="J504" i="24" s="1"/>
  <c r="O504" i="24" l="1"/>
  <c r="F504" i="24"/>
  <c r="P504" i="24"/>
  <c r="Q504" i="24" s="1"/>
  <c r="K504" i="24"/>
  <c r="L504" i="24"/>
  <c r="M504" i="24" s="1"/>
  <c r="S504" i="24" l="1"/>
  <c r="T504" i="24" s="1"/>
  <c r="AB504" i="24" s="1"/>
  <c r="AC504" i="24" l="1"/>
  <c r="AA504" i="24"/>
  <c r="R504" i="24"/>
  <c r="W504" i="24" s="1"/>
  <c r="Y504" i="24" l="1"/>
  <c r="AF504" i="24" s="1"/>
  <c r="D505" i="24" s="1"/>
  <c r="X504" i="24"/>
  <c r="AE504" i="24" s="1"/>
  <c r="C505" i="24" s="1"/>
  <c r="AD504" i="24"/>
  <c r="G505" i="24" s="1"/>
  <c r="B505" i="24" l="1"/>
  <c r="E505" i="24" s="1"/>
  <c r="H505" i="24"/>
  <c r="I505" i="24"/>
  <c r="V505" i="24"/>
  <c r="AG504" i="24"/>
  <c r="U505" i="24"/>
  <c r="F505" i="24" l="1"/>
  <c r="J505" i="24"/>
  <c r="K505" i="24" s="1"/>
  <c r="O505" i="24" l="1"/>
  <c r="L505" i="24"/>
  <c r="M505" i="24" s="1"/>
  <c r="P505" i="24"/>
  <c r="Q505" i="24" s="1"/>
  <c r="S505" i="24" l="1"/>
  <c r="T505" i="24" s="1"/>
  <c r="AC505" i="24" s="1"/>
  <c r="AA505" i="24" l="1"/>
  <c r="AB505" i="24"/>
  <c r="R505" i="24"/>
  <c r="X505" i="24" s="1"/>
  <c r="AE505" i="24" l="1"/>
  <c r="W505" i="24"/>
  <c r="AD505" i="24" s="1"/>
  <c r="G506" i="24" s="1"/>
  <c r="Y505" i="24"/>
  <c r="AF505" i="24" s="1"/>
  <c r="D506" i="24" s="1"/>
  <c r="H506" i="24"/>
  <c r="C506" i="24"/>
  <c r="B506" i="24" l="1"/>
  <c r="F506" i="24" s="1"/>
  <c r="I506" i="24"/>
  <c r="J506" i="24" s="1"/>
  <c r="V506" i="24"/>
  <c r="AG505" i="24"/>
  <c r="U506" i="24"/>
  <c r="E506" i="24" l="1"/>
  <c r="O506" i="24"/>
  <c r="K506" i="24"/>
  <c r="L506" i="24"/>
  <c r="M506" i="24" s="1"/>
  <c r="P506" i="24"/>
  <c r="Q506" i="24" s="1"/>
  <c r="S506" i="24" l="1"/>
  <c r="T506" i="24" s="1"/>
  <c r="AA506" i="24" s="1"/>
  <c r="AB506" i="24" l="1"/>
  <c r="AC506" i="24"/>
  <c r="R506" i="24"/>
  <c r="X506" i="24" s="1"/>
  <c r="AE506" i="24" l="1"/>
  <c r="H507" i="24" s="1"/>
  <c r="W506" i="24"/>
  <c r="AD506" i="24" s="1"/>
  <c r="B507" i="24" s="1"/>
  <c r="Y506" i="24"/>
  <c r="AF506" i="24" s="1"/>
  <c r="D507" i="24" s="1"/>
  <c r="C507" i="24" l="1"/>
  <c r="F507" i="24" s="1"/>
  <c r="I507" i="24"/>
  <c r="G507" i="24"/>
  <c r="V507" i="24"/>
  <c r="AG506" i="24"/>
  <c r="U507" i="24"/>
  <c r="J507" i="24" l="1"/>
  <c r="K507" i="24" s="1"/>
  <c r="E507" i="24"/>
  <c r="O507" i="24" l="1"/>
  <c r="L507" i="24"/>
  <c r="M507" i="24" s="1"/>
  <c r="P507" i="24"/>
  <c r="Q507" i="24" s="1"/>
  <c r="S507" i="24" l="1"/>
  <c r="T507" i="24" s="1"/>
  <c r="AA507" i="24" s="1"/>
  <c r="AB507" i="24" l="1"/>
  <c r="AC507" i="24"/>
  <c r="R507" i="24"/>
  <c r="W507" i="24" s="1"/>
  <c r="AD507" i="24" s="1"/>
  <c r="G508" i="24" s="1"/>
  <c r="X507" i="24" l="1"/>
  <c r="Y507" i="24"/>
  <c r="AF507" i="24" s="1"/>
  <c r="D508" i="24" s="1"/>
  <c r="U508" i="24" s="1"/>
  <c r="B508" i="24"/>
  <c r="AE507" i="24"/>
  <c r="H508" i="24" s="1"/>
  <c r="I508" i="24" l="1"/>
  <c r="J508" i="24" s="1"/>
  <c r="K508" i="24" s="1"/>
  <c r="C508" i="24"/>
  <c r="F508" i="24" s="1"/>
  <c r="AG507" i="24"/>
  <c r="V508" i="24"/>
  <c r="O508" i="24" l="1"/>
  <c r="L508" i="24"/>
  <c r="M508" i="24" s="1"/>
  <c r="P508" i="24"/>
  <c r="Q508" i="24" s="1"/>
  <c r="E508" i="24"/>
  <c r="S508" i="24" l="1"/>
  <c r="T508" i="24" s="1"/>
  <c r="AB508" i="24" s="1"/>
  <c r="AC508" i="24" l="1"/>
  <c r="AA508" i="24"/>
  <c r="R508" i="24"/>
  <c r="Y508" i="24" s="1"/>
  <c r="AF508" i="24" l="1"/>
  <c r="D509" i="24" s="1"/>
  <c r="V509" i="24" s="1"/>
  <c r="W508" i="24"/>
  <c r="AD508" i="24" s="1"/>
  <c r="X508" i="24"/>
  <c r="AE508" i="24" s="1"/>
  <c r="H509" i="24" s="1"/>
  <c r="I509" i="24" l="1"/>
  <c r="C509" i="24"/>
  <c r="AG508" i="24"/>
  <c r="U509" i="24"/>
  <c r="B509" i="24"/>
  <c r="G509" i="24"/>
  <c r="J509" i="24" l="1"/>
  <c r="O509" i="24" s="1"/>
  <c r="F509" i="24"/>
  <c r="E509" i="24"/>
  <c r="P509" i="24" l="1"/>
  <c r="Q509" i="24" s="1"/>
  <c r="K509" i="24"/>
  <c r="L509" i="24"/>
  <c r="M509" i="24" s="1"/>
  <c r="S509" i="24" l="1"/>
  <c r="T509" i="24" s="1"/>
  <c r="AC509" i="24" s="1"/>
  <c r="AA509" i="24"/>
  <c r="AB509" i="24"/>
  <c r="R509" i="24"/>
  <c r="W509" i="24" s="1"/>
  <c r="X509" i="24" l="1"/>
  <c r="AE509" i="24" s="1"/>
  <c r="C510" i="24" s="1"/>
  <c r="AD509" i="24"/>
  <c r="B510" i="24" s="1"/>
  <c r="Y509" i="24"/>
  <c r="AF509" i="24" s="1"/>
  <c r="I510" i="24" s="1"/>
  <c r="G510" i="24" l="1"/>
  <c r="H510" i="24"/>
  <c r="F510" i="24"/>
  <c r="E510" i="24"/>
  <c r="D510" i="24"/>
  <c r="U510" i="24" s="1"/>
  <c r="J510" i="24" l="1"/>
  <c r="L510" i="24" s="1"/>
  <c r="M510" i="24" s="1"/>
  <c r="AG509" i="24"/>
  <c r="V510" i="24"/>
  <c r="O510" i="24" l="1"/>
  <c r="S510" i="24" s="1"/>
  <c r="T510" i="24" s="1"/>
  <c r="AA510" i="24" s="1"/>
  <c r="K510" i="24"/>
  <c r="P510" i="24"/>
  <c r="Q510" i="24" s="1"/>
  <c r="AB510" i="24" l="1"/>
  <c r="AC510" i="24"/>
  <c r="R510" i="24"/>
  <c r="Y510" i="24" s="1"/>
  <c r="AF510" i="24" l="1"/>
  <c r="I511" i="24" s="1"/>
  <c r="X510" i="24"/>
  <c r="AE510" i="24" s="1"/>
  <c r="H511" i="24" s="1"/>
  <c r="W510" i="24"/>
  <c r="AD510" i="24" s="1"/>
  <c r="B511" i="24" s="1"/>
  <c r="C511" i="24" l="1"/>
  <c r="E511" i="24" s="1"/>
  <c r="D511" i="24"/>
  <c r="U511" i="24" s="1"/>
  <c r="G511" i="24"/>
  <c r="J511" i="24" s="1"/>
  <c r="K511" i="24" s="1"/>
  <c r="F511" i="24" l="1"/>
  <c r="AG510" i="24"/>
  <c r="V511" i="24"/>
  <c r="O511" i="24"/>
  <c r="P511" i="24"/>
  <c r="Q511" i="24" s="1"/>
  <c r="L511" i="24"/>
  <c r="M511" i="24" s="1"/>
  <c r="S511" i="24" l="1"/>
  <c r="T511" i="24" s="1"/>
  <c r="AA511" i="24" s="1"/>
  <c r="AB511" i="24" l="1"/>
  <c r="AC511" i="24"/>
  <c r="R511" i="24"/>
  <c r="W511" i="24" s="1"/>
  <c r="AD511" i="24" s="1"/>
  <c r="G512" i="24" s="1"/>
  <c r="X511" i="24" l="1"/>
  <c r="AE511" i="24" s="1"/>
  <c r="C512" i="24" s="1"/>
  <c r="Y511" i="24"/>
  <c r="AF511" i="24" s="1"/>
  <c r="I512" i="24" s="1"/>
  <c r="B512" i="24"/>
  <c r="F512" i="24" l="1"/>
  <c r="D512" i="24"/>
  <c r="AG511" i="24" s="1"/>
  <c r="E512" i="24"/>
  <c r="H512" i="24"/>
  <c r="J512" i="24" s="1"/>
  <c r="P512" i="24" s="1"/>
  <c r="Q512" i="24" s="1"/>
  <c r="U512" i="24" l="1"/>
  <c r="V512" i="24"/>
  <c r="L512" i="24"/>
  <c r="M512" i="24" s="1"/>
  <c r="K512" i="24"/>
  <c r="O512" i="24"/>
  <c r="S512" i="24" l="1"/>
  <c r="T512" i="24" s="1"/>
  <c r="AB512" i="24" s="1"/>
  <c r="AA512" i="24" l="1"/>
  <c r="AC512" i="24"/>
  <c r="R512" i="24"/>
  <c r="W512" i="24" s="1"/>
  <c r="X512" i="24" l="1"/>
  <c r="AE512" i="24" s="1"/>
  <c r="C513" i="24" s="1"/>
  <c r="AD512" i="24"/>
  <c r="G513" i="24" s="1"/>
  <c r="Y512" i="24"/>
  <c r="AF512" i="24" s="1"/>
  <c r="D513" i="24" s="1"/>
  <c r="U513" i="24" s="1"/>
  <c r="B513" i="24" l="1"/>
  <c r="E513" i="24" s="1"/>
  <c r="AG512" i="24"/>
  <c r="V513" i="24"/>
  <c r="I513" i="24"/>
  <c r="H513" i="24"/>
  <c r="F513" i="24" l="1"/>
  <c r="J513" i="24"/>
  <c r="K513" i="24" s="1"/>
  <c r="O513" i="24" l="1"/>
  <c r="P513" i="24"/>
  <c r="Q513" i="24" s="1"/>
  <c r="L513" i="24"/>
  <c r="M513" i="24" s="1"/>
  <c r="S513" i="24" l="1"/>
  <c r="R513" i="24" s="1"/>
  <c r="W513" i="24" s="1"/>
  <c r="T513" i="24" l="1"/>
  <c r="X513" i="24"/>
  <c r="Y513" i="24"/>
  <c r="AC513" i="24" l="1"/>
  <c r="AB513" i="24"/>
  <c r="AE513" i="24" s="1"/>
  <c r="H514" i="24" s="1"/>
  <c r="AA513" i="24"/>
  <c r="AD513" i="24" s="1"/>
  <c r="G514" i="24" s="1"/>
  <c r="AF513" i="24"/>
  <c r="D514" i="24" s="1"/>
  <c r="U514" i="24" s="1"/>
  <c r="B514" i="24" l="1"/>
  <c r="C514" i="24"/>
  <c r="V514" i="24"/>
  <c r="I514" i="24"/>
  <c r="J514" i="24" s="1"/>
  <c r="K514" i="24" s="1"/>
  <c r="AG513" i="24"/>
  <c r="F514" i="24" l="1"/>
  <c r="E514" i="24"/>
  <c r="O514" i="24"/>
  <c r="L514" i="24"/>
  <c r="M514" i="24" s="1"/>
  <c r="P514" i="24"/>
  <c r="Q514" i="24" s="1"/>
  <c r="S514" i="24" l="1"/>
  <c r="T514" i="24" s="1"/>
  <c r="AA514" i="24" s="1"/>
  <c r="AB514" i="24" l="1"/>
  <c r="AC514" i="24"/>
  <c r="R514" i="24"/>
  <c r="X514" i="24" s="1"/>
  <c r="Y514" i="24" l="1"/>
  <c r="AF514" i="24" s="1"/>
  <c r="D515" i="24" s="1"/>
  <c r="U515" i="24" s="1"/>
  <c r="W514" i="24"/>
  <c r="AD514" i="24" s="1"/>
  <c r="G515" i="24" s="1"/>
  <c r="AE514" i="24"/>
  <c r="H515" i="24" s="1"/>
  <c r="I515" i="24" l="1"/>
  <c r="J515" i="24" s="1"/>
  <c r="K515" i="24" s="1"/>
  <c r="C515" i="24"/>
  <c r="B515" i="24"/>
  <c r="AG514" i="24"/>
  <c r="V515" i="24"/>
  <c r="E515" i="24" l="1"/>
  <c r="L515" i="24"/>
  <c r="M515" i="24" s="1"/>
  <c r="O515" i="24"/>
  <c r="P515" i="24"/>
  <c r="Q515" i="24" s="1"/>
  <c r="F515" i="24"/>
  <c r="S515" i="24" l="1"/>
  <c r="T515" i="24" s="1"/>
  <c r="AA515" i="24" s="1"/>
  <c r="AC515" i="24" l="1"/>
  <c r="AB515" i="24"/>
  <c r="R515" i="24"/>
  <c r="X515" i="24" s="1"/>
  <c r="W515" i="24" l="1"/>
  <c r="AD515" i="24" s="1"/>
  <c r="G516" i="24" s="1"/>
  <c r="Y515" i="24"/>
  <c r="AF515" i="24" s="1"/>
  <c r="D516" i="24" s="1"/>
  <c r="V516" i="24" s="1"/>
  <c r="AE515" i="24"/>
  <c r="C516" i="24" s="1"/>
  <c r="H516" i="24" l="1"/>
  <c r="B516" i="24"/>
  <c r="E516" i="24" s="1"/>
  <c r="I516" i="24"/>
  <c r="AG515" i="24"/>
  <c r="U516" i="24"/>
  <c r="J516" i="24" l="1"/>
  <c r="L516" i="24" s="1"/>
  <c r="M516" i="24" s="1"/>
  <c r="F516" i="24"/>
  <c r="O516" i="24" l="1"/>
  <c r="S516" i="24" s="1"/>
  <c r="T516" i="24" s="1"/>
  <c r="AB516" i="24" s="1"/>
  <c r="K516" i="24"/>
  <c r="P516" i="24"/>
  <c r="Q516" i="24" s="1"/>
  <c r="AA516" i="24" l="1"/>
  <c r="AC516" i="24"/>
  <c r="R516" i="24"/>
  <c r="W516" i="24" s="1"/>
  <c r="AD516" i="24" s="1"/>
  <c r="G517" i="24" s="1"/>
  <c r="X516" i="24" l="1"/>
  <c r="AE516" i="24" s="1"/>
  <c r="H517" i="24" s="1"/>
  <c r="Y516" i="24"/>
  <c r="AF516" i="24" s="1"/>
  <c r="D517" i="24" s="1"/>
  <c r="AG516" i="24" s="1"/>
  <c r="B517" i="24"/>
  <c r="I517" i="24" l="1"/>
  <c r="U517" i="24"/>
  <c r="V517" i="24"/>
  <c r="C517" i="24"/>
  <c r="F517" i="24" s="1"/>
  <c r="J517" i="24" l="1"/>
  <c r="L517" i="24" s="1"/>
  <c r="M517" i="24" s="1"/>
  <c r="E517" i="24"/>
  <c r="O517" i="24" l="1"/>
  <c r="S517" i="24" s="1"/>
  <c r="T517" i="24" s="1"/>
  <c r="AC517" i="24" s="1"/>
  <c r="P517" i="24"/>
  <c r="Q517" i="24" s="1"/>
  <c r="K517" i="24"/>
  <c r="AA517" i="24" l="1"/>
  <c r="AB517" i="24"/>
  <c r="R517" i="24"/>
  <c r="Y517" i="24" s="1"/>
  <c r="AF517" i="24" l="1"/>
  <c r="I518" i="24" s="1"/>
  <c r="X517" i="24"/>
  <c r="AE517" i="24" s="1"/>
  <c r="H518" i="24" s="1"/>
  <c r="W517" i="24"/>
  <c r="AD517" i="24" s="1"/>
  <c r="G518" i="24" s="1"/>
  <c r="D518" i="24" l="1"/>
  <c r="V518" i="24" s="1"/>
  <c r="B518" i="24"/>
  <c r="C518" i="24"/>
  <c r="J518" i="24"/>
  <c r="K518" i="24" s="1"/>
  <c r="U518" i="24" l="1"/>
  <c r="AG517" i="24"/>
  <c r="F518" i="24"/>
  <c r="L518" i="24"/>
  <c r="M518" i="24" s="1"/>
  <c r="E518" i="24"/>
  <c r="P518" i="24"/>
  <c r="Q518" i="24" s="1"/>
  <c r="O518" i="24"/>
  <c r="S518" i="24" l="1"/>
  <c r="T518" i="24" s="1"/>
  <c r="AA518" i="24" s="1"/>
  <c r="AC518" i="24" l="1"/>
  <c r="AB518" i="24"/>
  <c r="R518" i="24"/>
  <c r="Y518" i="24" s="1"/>
  <c r="X518" i="24" l="1"/>
  <c r="AE518" i="24" s="1"/>
  <c r="H519" i="24" s="1"/>
  <c r="W518" i="24"/>
  <c r="AD518" i="24" s="1"/>
  <c r="B519" i="24" s="1"/>
  <c r="AF518" i="24"/>
  <c r="D519" i="24" s="1"/>
  <c r="U519" i="24" s="1"/>
  <c r="I519" i="24" l="1"/>
  <c r="G519" i="24"/>
  <c r="AG518" i="24"/>
  <c r="V519" i="24"/>
  <c r="C519" i="24"/>
  <c r="F519" i="24" s="1"/>
  <c r="J519" i="24" l="1"/>
  <c r="K519" i="24" s="1"/>
  <c r="E519" i="24"/>
  <c r="O519" i="24"/>
  <c r="L519" i="24"/>
  <c r="M519" i="24" s="1"/>
  <c r="P519" i="24"/>
  <c r="Q519" i="24" s="1"/>
  <c r="S519" i="24" l="1"/>
  <c r="T519" i="24" s="1"/>
  <c r="AA519" i="24" s="1"/>
  <c r="AB519" i="24" l="1"/>
  <c r="AC519" i="24"/>
  <c r="R519" i="24"/>
  <c r="W519" i="24" s="1"/>
  <c r="AD519" i="24" s="1"/>
  <c r="G520" i="24" s="1"/>
  <c r="Y519" i="24" l="1"/>
  <c r="AF519" i="24" s="1"/>
  <c r="D520" i="24" s="1"/>
  <c r="AG519" i="24" s="1"/>
  <c r="X519" i="24"/>
  <c r="AE519" i="24" s="1"/>
  <c r="C520" i="24" s="1"/>
  <c r="B520" i="24"/>
  <c r="I520" i="24"/>
  <c r="V520" i="24"/>
  <c r="H520" i="24"/>
  <c r="U520" i="24" l="1"/>
  <c r="F520" i="24"/>
  <c r="E520" i="24"/>
  <c r="J520" i="24"/>
  <c r="O520" i="24" s="1"/>
  <c r="P520" i="24" l="1"/>
  <c r="Q520" i="24" s="1"/>
  <c r="K520" i="24"/>
  <c r="L520" i="24"/>
  <c r="M520" i="24" s="1"/>
  <c r="S520" i="24" l="1"/>
  <c r="T520" i="24" s="1"/>
  <c r="AB520" i="24" s="1"/>
  <c r="AA520" i="24"/>
  <c r="R520" i="24"/>
  <c r="AC520" i="24" l="1"/>
  <c r="X520" i="24"/>
  <c r="AE520" i="24" s="1"/>
  <c r="W520" i="24"/>
  <c r="AD520" i="24" s="1"/>
  <c r="Y520" i="24"/>
  <c r="AF520" i="24" s="1"/>
  <c r="I521" i="24" l="1"/>
  <c r="D521" i="24"/>
  <c r="G521" i="24"/>
  <c r="B521" i="24"/>
  <c r="H521" i="24"/>
  <c r="C521" i="24"/>
  <c r="E521" i="24" l="1"/>
  <c r="J521" i="24"/>
  <c r="K521" i="24" s="1"/>
  <c r="AG520" i="24"/>
  <c r="U521" i="24"/>
  <c r="V521" i="24"/>
  <c r="F521" i="24"/>
  <c r="O521" i="24" l="1"/>
  <c r="L521" i="24"/>
  <c r="M521" i="24" s="1"/>
  <c r="P521" i="24"/>
  <c r="Q521" i="24" s="1"/>
  <c r="S521" i="24" l="1"/>
  <c r="T521" i="24" s="1"/>
  <c r="AC521" i="24" s="1"/>
  <c r="AA521" i="24" l="1"/>
  <c r="AB521" i="24"/>
  <c r="R521" i="24"/>
  <c r="X521" i="24" s="1"/>
  <c r="W521" i="24" l="1"/>
  <c r="AD521" i="24" s="1"/>
  <c r="G522" i="24" s="1"/>
  <c r="Y521" i="24"/>
  <c r="AE521" i="24"/>
  <c r="C522" i="24" s="1"/>
  <c r="AF521" i="24"/>
  <c r="D522" i="24" s="1"/>
  <c r="B522" i="24" l="1"/>
  <c r="H522" i="24"/>
  <c r="I522" i="24"/>
  <c r="V522" i="24"/>
  <c r="U522" i="24"/>
  <c r="AG521" i="24"/>
  <c r="E522" i="24"/>
  <c r="F522" i="24"/>
  <c r="J522" i="24" l="1"/>
  <c r="O522" i="24" s="1"/>
  <c r="K522" i="24"/>
  <c r="L522" i="24"/>
  <c r="M522" i="24" s="1"/>
  <c r="P522" i="24" l="1"/>
  <c r="Q522" i="24" s="1"/>
  <c r="R522" i="24" s="1"/>
  <c r="W522" i="24" s="1"/>
  <c r="S522" i="24"/>
  <c r="T522" i="24" s="1"/>
  <c r="AA522" i="24" s="1"/>
  <c r="AB522" i="24"/>
  <c r="AC522" i="24"/>
  <c r="AD522" i="24" l="1"/>
  <c r="B523" i="24" s="1"/>
  <c r="Y522" i="24"/>
  <c r="AF522" i="24" s="1"/>
  <c r="I523" i="24" s="1"/>
  <c r="G523" i="24"/>
  <c r="X522" i="24"/>
  <c r="AE522" i="24" s="1"/>
  <c r="H523" i="24" s="1"/>
  <c r="J523" i="24" l="1"/>
  <c r="L523" i="24" s="1"/>
  <c r="M523" i="24" s="1"/>
  <c r="D523" i="24"/>
  <c r="V523" i="24" s="1"/>
  <c r="C523" i="24"/>
  <c r="E523" i="24" s="1"/>
  <c r="P523" i="24" l="1"/>
  <c r="Q523" i="24" s="1"/>
  <c r="K523" i="24"/>
  <c r="AG522" i="24"/>
  <c r="O523" i="24"/>
  <c r="S523" i="24" s="1"/>
  <c r="T523" i="24" s="1"/>
  <c r="AA523" i="24" s="1"/>
  <c r="F523" i="24"/>
  <c r="U523" i="24"/>
  <c r="AB523" i="24" l="1"/>
  <c r="AC523" i="24"/>
  <c r="R523" i="24"/>
  <c r="W523" i="24" s="1"/>
  <c r="AD523" i="24" l="1"/>
  <c r="B524" i="24" s="1"/>
  <c r="Y523" i="24"/>
  <c r="AF523" i="24" s="1"/>
  <c r="I524" i="24" s="1"/>
  <c r="X523" i="24"/>
  <c r="AE523" i="24" s="1"/>
  <c r="G524" i="24" l="1"/>
  <c r="D524" i="24"/>
  <c r="U524" i="24" s="1"/>
  <c r="H524" i="24"/>
  <c r="C524" i="24"/>
  <c r="F524" i="24" s="1"/>
  <c r="AG523" i="24" l="1"/>
  <c r="J524" i="24"/>
  <c r="P524" i="24" s="1"/>
  <c r="Q524" i="24" s="1"/>
  <c r="V524" i="24"/>
  <c r="E524" i="24"/>
  <c r="O524" i="24" l="1"/>
  <c r="K524" i="24"/>
  <c r="L524" i="24"/>
  <c r="M524" i="24" s="1"/>
  <c r="S524" i="24" l="1"/>
  <c r="T524" i="24" s="1"/>
  <c r="AB524" i="24" s="1"/>
  <c r="AC524" i="24" l="1"/>
  <c r="AA524" i="24"/>
  <c r="R524" i="24"/>
  <c r="X524" i="24" s="1"/>
  <c r="W524" i="24" l="1"/>
  <c r="AD524" i="24" s="1"/>
  <c r="G525" i="24" s="1"/>
  <c r="Y524" i="24"/>
  <c r="AF524" i="24" s="1"/>
  <c r="D525" i="24" s="1"/>
  <c r="V525" i="24" s="1"/>
  <c r="AE524" i="24"/>
  <c r="H525" i="24" s="1"/>
  <c r="C525" i="24" l="1"/>
  <c r="U525" i="24"/>
  <c r="AG524" i="24"/>
  <c r="I525" i="24"/>
  <c r="B525" i="24"/>
  <c r="F525" i="24" l="1"/>
  <c r="J525" i="24"/>
  <c r="K525" i="24" s="1"/>
  <c r="E525" i="24"/>
  <c r="O525" i="24" l="1"/>
  <c r="L525" i="24"/>
  <c r="M525" i="24" s="1"/>
  <c r="P525" i="24"/>
  <c r="Q525" i="24" s="1"/>
  <c r="S525" i="24" l="1"/>
  <c r="T525" i="24" s="1"/>
  <c r="AC525" i="24" s="1"/>
  <c r="AA525" i="24" l="1"/>
  <c r="AB525" i="24"/>
  <c r="R525" i="24"/>
  <c r="W525" i="24" s="1"/>
  <c r="AD525" i="24" l="1"/>
  <c r="G526" i="24" s="1"/>
  <c r="Y525" i="24"/>
  <c r="AF525" i="24" s="1"/>
  <c r="I526" i="24" s="1"/>
  <c r="X525" i="24"/>
  <c r="AE525" i="24" s="1"/>
  <c r="C526" i="24" s="1"/>
  <c r="B526" i="24" l="1"/>
  <c r="E526" i="24" s="1"/>
  <c r="D526" i="24"/>
  <c r="V526" i="24" s="1"/>
  <c r="H526" i="24"/>
  <c r="J526" i="24" s="1"/>
  <c r="L526" i="24" s="1"/>
  <c r="M526" i="24" s="1"/>
  <c r="F526" i="24" l="1"/>
  <c r="AG525" i="24"/>
  <c r="U526" i="24"/>
  <c r="K526" i="24"/>
  <c r="O526" i="24"/>
  <c r="S526" i="24" s="1"/>
  <c r="T526" i="24" s="1"/>
  <c r="AA526" i="24" s="1"/>
  <c r="P526" i="24"/>
  <c r="Q526" i="24" s="1"/>
  <c r="AC526" i="24" l="1"/>
  <c r="AB526" i="24"/>
  <c r="R526" i="24"/>
  <c r="X526" i="24" s="1"/>
  <c r="Y526" i="24" l="1"/>
  <c r="AF526" i="24" s="1"/>
  <c r="I527" i="24" s="1"/>
  <c r="W526" i="24"/>
  <c r="AD526" i="24" s="1"/>
  <c r="G527" i="24" s="1"/>
  <c r="AE526" i="24"/>
  <c r="H527" i="24" s="1"/>
  <c r="D527" i="24" l="1"/>
  <c r="AG526" i="24" s="1"/>
  <c r="C527" i="24"/>
  <c r="B527" i="24"/>
  <c r="J527" i="24"/>
  <c r="L527" i="24" s="1"/>
  <c r="M527" i="24" s="1"/>
  <c r="U527" i="24" l="1"/>
  <c r="V527" i="24"/>
  <c r="O527" i="24"/>
  <c r="S527" i="24" s="1"/>
  <c r="T527" i="24" s="1"/>
  <c r="AA527" i="24" s="1"/>
  <c r="P527" i="24"/>
  <c r="Q527" i="24" s="1"/>
  <c r="E527" i="24"/>
  <c r="F527" i="24"/>
  <c r="K527" i="24"/>
  <c r="AC527" i="24" l="1"/>
  <c r="AB527" i="24"/>
  <c r="R527" i="24"/>
  <c r="W527" i="24" s="1"/>
  <c r="X527" i="24" l="1"/>
  <c r="AE527" i="24" s="1"/>
  <c r="H528" i="24" s="1"/>
  <c r="Y527" i="24"/>
  <c r="AF527" i="24" s="1"/>
  <c r="D528" i="24" s="1"/>
  <c r="AG527" i="24" s="1"/>
  <c r="AD527" i="24"/>
  <c r="G528" i="24" s="1"/>
  <c r="C528" i="24" l="1"/>
  <c r="V528" i="24"/>
  <c r="U528" i="24"/>
  <c r="B528" i="24"/>
  <c r="I528" i="24"/>
  <c r="J528" i="24" s="1"/>
  <c r="K528" i="24" s="1"/>
  <c r="E528" i="24" l="1"/>
  <c r="O528" i="24"/>
  <c r="F528" i="24"/>
  <c r="L528" i="24"/>
  <c r="M528" i="24" s="1"/>
  <c r="P528" i="24"/>
  <c r="Q528" i="24" s="1"/>
  <c r="S528" i="24" l="1"/>
  <c r="T528" i="24" s="1"/>
  <c r="AB528" i="24" s="1"/>
  <c r="AA528" i="24" l="1"/>
  <c r="AC528" i="24"/>
  <c r="R528" i="24"/>
  <c r="X528" i="24" s="1"/>
  <c r="Y528" i="24" l="1"/>
  <c r="AF528" i="24" s="1"/>
  <c r="I529" i="24" s="1"/>
  <c r="W528" i="24"/>
  <c r="AD528" i="24" s="1"/>
  <c r="B529" i="24" s="1"/>
  <c r="AE528" i="24"/>
  <c r="H529" i="24" s="1"/>
  <c r="C529" i="24" l="1"/>
  <c r="E529" i="24" s="1"/>
  <c r="G529" i="24"/>
  <c r="J529" i="24" s="1"/>
  <c r="L529" i="24" s="1"/>
  <c r="M529" i="24" s="1"/>
  <c r="D529" i="24"/>
  <c r="U529" i="24" s="1"/>
  <c r="F529" i="24" l="1"/>
  <c r="AG528" i="24"/>
  <c r="K529" i="24"/>
  <c r="P529" i="24"/>
  <c r="Q529" i="24" s="1"/>
  <c r="V529" i="24"/>
  <c r="O529" i="24"/>
  <c r="S529" i="24" s="1"/>
  <c r="T529" i="24" s="1"/>
  <c r="AC529" i="24" s="1"/>
  <c r="AB529" i="24" l="1"/>
  <c r="AA529" i="24"/>
  <c r="R529" i="24"/>
  <c r="Y529" i="24" s="1"/>
  <c r="AF529" i="24" l="1"/>
  <c r="D530" i="24" s="1"/>
  <c r="AG529" i="24" s="1"/>
  <c r="W529" i="24"/>
  <c r="AD529" i="24" s="1"/>
  <c r="G530" i="24" s="1"/>
  <c r="X529" i="24"/>
  <c r="AE529" i="24" s="1"/>
  <c r="V530" i="24" l="1"/>
  <c r="I530" i="24"/>
  <c r="U530" i="24"/>
  <c r="C530" i="24"/>
  <c r="H530" i="24"/>
  <c r="B530" i="24"/>
  <c r="J530" i="24" l="1"/>
  <c r="L530" i="24" s="1"/>
  <c r="M530" i="24" s="1"/>
  <c r="F530" i="24"/>
  <c r="E530" i="24"/>
  <c r="O530" i="24" l="1"/>
  <c r="S530" i="24" s="1"/>
  <c r="T530" i="24" s="1"/>
  <c r="AA530" i="24" s="1"/>
  <c r="K530" i="24"/>
  <c r="P530" i="24"/>
  <c r="Q530" i="24" s="1"/>
  <c r="AC530" i="24" l="1"/>
  <c r="AB530" i="24"/>
  <c r="R530" i="24"/>
  <c r="Y530" i="24" s="1"/>
  <c r="W530" i="24" l="1"/>
  <c r="AD530" i="24" s="1"/>
  <c r="G531" i="24" s="1"/>
  <c r="X530" i="24"/>
  <c r="AE530" i="24" s="1"/>
  <c r="C531" i="24" s="1"/>
  <c r="AF530" i="24"/>
  <c r="D531" i="24" s="1"/>
  <c r="B531" i="24" l="1"/>
  <c r="F531" i="24" s="1"/>
  <c r="H531" i="24"/>
  <c r="I531" i="24"/>
  <c r="AG530" i="24"/>
  <c r="U531" i="24"/>
  <c r="V531" i="24"/>
  <c r="E531" i="24" l="1"/>
  <c r="J531" i="24"/>
  <c r="L531" i="24" s="1"/>
  <c r="M531" i="24" s="1"/>
  <c r="O531" i="24" l="1"/>
  <c r="S531" i="24" s="1"/>
  <c r="T531" i="24" s="1"/>
  <c r="AA531" i="24" s="1"/>
  <c r="P531" i="24"/>
  <c r="Q531" i="24" s="1"/>
  <c r="K531" i="24"/>
  <c r="AB531" i="24" l="1"/>
  <c r="AC531" i="24"/>
  <c r="R531" i="24"/>
  <c r="W531" i="24" s="1"/>
  <c r="AD531" i="24" l="1"/>
  <c r="G532" i="24" s="1"/>
  <c r="Y531" i="24"/>
  <c r="AF531" i="24" s="1"/>
  <c r="I532" i="24" s="1"/>
  <c r="X531" i="24"/>
  <c r="AE531" i="24" s="1"/>
  <c r="H532" i="24" s="1"/>
  <c r="B532" i="24" l="1"/>
  <c r="D532" i="24"/>
  <c r="AG531" i="24" s="1"/>
  <c r="J532" i="24"/>
  <c r="K532" i="24" s="1"/>
  <c r="C532" i="24"/>
  <c r="F532" i="24" l="1"/>
  <c r="L532" i="24"/>
  <c r="M532" i="24" s="1"/>
  <c r="P532" i="24"/>
  <c r="Q532" i="24" s="1"/>
  <c r="O532" i="24"/>
  <c r="E532" i="24"/>
  <c r="V532" i="24"/>
  <c r="U532" i="24"/>
  <c r="S532" i="24" l="1"/>
  <c r="T532" i="24" s="1"/>
  <c r="AB532" i="24" s="1"/>
  <c r="AA532" i="24" l="1"/>
  <c r="AC532" i="24"/>
  <c r="R532" i="24"/>
  <c r="W532" i="24" s="1"/>
  <c r="X532" i="24" l="1"/>
  <c r="AE532" i="24" s="1"/>
  <c r="C533" i="24" s="1"/>
  <c r="Y532" i="24"/>
  <c r="AF532" i="24" s="1"/>
  <c r="I533" i="24" s="1"/>
  <c r="AD532" i="24"/>
  <c r="G533" i="24" s="1"/>
  <c r="B533" i="24" l="1"/>
  <c r="E533" i="24" s="1"/>
  <c r="H533" i="24"/>
  <c r="J533" i="24" s="1"/>
  <c r="L533" i="24" s="1"/>
  <c r="M533" i="24" s="1"/>
  <c r="D533" i="24"/>
  <c r="AG532" i="24" s="1"/>
  <c r="F533" i="24" l="1"/>
  <c r="V533" i="24"/>
  <c r="U533" i="24"/>
  <c r="P533" i="24"/>
  <c r="Q533" i="24" s="1"/>
  <c r="K533" i="24"/>
  <c r="O533" i="24"/>
  <c r="S533" i="24" s="1"/>
  <c r="T533" i="24" s="1"/>
  <c r="AC533" i="24" l="1"/>
  <c r="AB533" i="24"/>
  <c r="AA533" i="24"/>
  <c r="R533" i="24"/>
  <c r="W533" i="24" s="1"/>
  <c r="Y533" i="24" l="1"/>
  <c r="AF533" i="24" s="1"/>
  <c r="I534" i="24" s="1"/>
  <c r="X533" i="24"/>
  <c r="AE533" i="24" s="1"/>
  <c r="C534" i="24" s="1"/>
  <c r="AD533" i="24"/>
  <c r="G534" i="24" s="1"/>
  <c r="H534" i="24" l="1"/>
  <c r="J534" i="24" s="1"/>
  <c r="K534" i="24" s="1"/>
  <c r="D534" i="24"/>
  <c r="U534" i="24" s="1"/>
  <c r="B534" i="24"/>
  <c r="E534" i="24" s="1"/>
  <c r="O534" i="24" l="1"/>
  <c r="L534" i="24"/>
  <c r="M534" i="24" s="1"/>
  <c r="P534" i="24"/>
  <c r="Q534" i="24" s="1"/>
  <c r="V534" i="24"/>
  <c r="F534" i="24"/>
  <c r="AG533" i="24"/>
  <c r="S534" i="24" l="1"/>
  <c r="T534" i="24" s="1"/>
  <c r="AA534" i="24" s="1"/>
  <c r="AC534" i="24" l="1"/>
  <c r="AB534" i="24"/>
  <c r="R534" i="24"/>
  <c r="Y534" i="24" s="1"/>
  <c r="X534" i="24" l="1"/>
  <c r="AE534" i="24" s="1"/>
  <c r="H535" i="24" s="1"/>
  <c r="W534" i="24"/>
  <c r="AD534" i="24" s="1"/>
  <c r="B535" i="24" s="1"/>
  <c r="AF534" i="24"/>
  <c r="I535" i="24" s="1"/>
  <c r="D535" i="24" l="1"/>
  <c r="AG534" i="24" s="1"/>
  <c r="G535" i="24"/>
  <c r="C535" i="24"/>
  <c r="F535" i="24" s="1"/>
  <c r="U535" i="24" l="1"/>
  <c r="J535" i="24"/>
  <c r="L535" i="24" s="1"/>
  <c r="M535" i="24" s="1"/>
  <c r="V535" i="24"/>
  <c r="E535" i="24"/>
  <c r="O535" i="24" l="1"/>
  <c r="S535" i="24" s="1"/>
  <c r="T535" i="24" s="1"/>
  <c r="AA535" i="24" s="1"/>
  <c r="K535" i="24"/>
  <c r="P535" i="24"/>
  <c r="Q535" i="24" s="1"/>
  <c r="AB535" i="24" l="1"/>
  <c r="AC535" i="24"/>
  <c r="R535" i="24"/>
  <c r="Y535" i="24" s="1"/>
  <c r="AF535" i="24" l="1"/>
  <c r="I536" i="24" s="1"/>
  <c r="X535" i="24"/>
  <c r="AE535" i="24" s="1"/>
  <c r="C536" i="24" s="1"/>
  <c r="W535" i="24"/>
  <c r="AD535" i="24" s="1"/>
  <c r="G536" i="24" s="1"/>
  <c r="D536" i="24" l="1"/>
  <c r="U536" i="24" s="1"/>
  <c r="H536" i="24"/>
  <c r="J536" i="24" s="1"/>
  <c r="K536" i="24" s="1"/>
  <c r="B536" i="24"/>
  <c r="F536" i="24" s="1"/>
  <c r="V536" i="24" l="1"/>
  <c r="AG535" i="24"/>
  <c r="O536" i="24"/>
  <c r="E536" i="24"/>
  <c r="P536" i="24"/>
  <c r="Q536" i="24" s="1"/>
  <c r="L536" i="24"/>
  <c r="M536" i="24" s="1"/>
  <c r="S536" i="24" l="1"/>
  <c r="T536" i="24" s="1"/>
  <c r="AB536" i="24" s="1"/>
  <c r="AC536" i="24" l="1"/>
  <c r="AA536" i="24"/>
  <c r="R536" i="24"/>
  <c r="Y536" i="24" s="1"/>
  <c r="AF536" i="24" s="1"/>
  <c r="D537" i="24" s="1"/>
  <c r="U537" i="24" s="1"/>
  <c r="X536" i="24" l="1"/>
  <c r="AE536" i="24" s="1"/>
  <c r="H537" i="24" s="1"/>
  <c r="W536" i="24"/>
  <c r="AD536" i="24" s="1"/>
  <c r="B537" i="24" s="1"/>
  <c r="V537" i="24"/>
  <c r="AG536" i="24"/>
  <c r="I537" i="24"/>
  <c r="C537" i="24" l="1"/>
  <c r="F537" i="24" s="1"/>
  <c r="G537" i="24"/>
  <c r="E537" i="24" l="1"/>
  <c r="J537" i="24"/>
  <c r="L537" i="24" s="1"/>
  <c r="M537" i="24" s="1"/>
  <c r="O537" i="24" l="1"/>
  <c r="S537" i="24" s="1"/>
  <c r="T537" i="24" s="1"/>
  <c r="AC537" i="24" s="1"/>
  <c r="K537" i="24"/>
  <c r="P537" i="24"/>
  <c r="Q537" i="24" s="1"/>
  <c r="AA537" i="24" l="1"/>
  <c r="AB537" i="24"/>
  <c r="R537" i="24"/>
  <c r="Y537" i="24" s="1"/>
  <c r="AF537" i="24" l="1"/>
  <c r="I538" i="24" s="1"/>
  <c r="W537" i="24"/>
  <c r="AD537" i="24" s="1"/>
  <c r="G538" i="24" s="1"/>
  <c r="X537" i="24"/>
  <c r="AE537" i="24" s="1"/>
  <c r="H538" i="24" s="1"/>
  <c r="D538" i="24" l="1"/>
  <c r="V538" i="24" s="1"/>
  <c r="B538" i="24"/>
  <c r="J538" i="24"/>
  <c r="P538" i="24" s="1"/>
  <c r="Q538" i="24" s="1"/>
  <c r="C538" i="24"/>
  <c r="U538" i="24" l="1"/>
  <c r="AG537" i="24"/>
  <c r="F538" i="24"/>
  <c r="O538" i="24"/>
  <c r="K538" i="24"/>
  <c r="L538" i="24"/>
  <c r="M538" i="24" s="1"/>
  <c r="E538" i="24"/>
  <c r="S538" i="24" l="1"/>
  <c r="T538" i="24" s="1"/>
  <c r="AA538" i="24" s="1"/>
  <c r="AC538" i="24" l="1"/>
  <c r="AB538" i="24"/>
  <c r="R538" i="24"/>
  <c r="Y538" i="24" s="1"/>
  <c r="AF538" i="24" s="1"/>
  <c r="D539" i="24" l="1"/>
  <c r="I539" i="24"/>
  <c r="X538" i="24"/>
  <c r="AE538" i="24" s="1"/>
  <c r="H539" i="24" s="1"/>
  <c r="W538" i="24"/>
  <c r="AD538" i="24" s="1"/>
  <c r="B539" i="24" s="1"/>
  <c r="AG538" i="24" l="1"/>
  <c r="V539" i="24"/>
  <c r="U539" i="24"/>
  <c r="C539" i="24"/>
  <c r="E539" i="24" s="1"/>
  <c r="G539" i="24"/>
  <c r="J539" i="24" s="1"/>
  <c r="O539" i="24" l="1"/>
  <c r="P539" i="24"/>
  <c r="Q539" i="24" s="1"/>
  <c r="L539" i="24"/>
  <c r="M539" i="24" s="1"/>
  <c r="K539" i="24"/>
  <c r="F539" i="24"/>
  <c r="S539" i="24" l="1"/>
  <c r="T539" i="24" l="1"/>
  <c r="R539" i="24"/>
  <c r="AA539" i="24" l="1"/>
  <c r="AB539" i="24"/>
  <c r="AC539" i="24"/>
  <c r="W539" i="24"/>
  <c r="Y539" i="24"/>
  <c r="X539" i="24"/>
  <c r="AF539" i="24" l="1"/>
  <c r="D540" i="24" s="1"/>
  <c r="AD539" i="24"/>
  <c r="AE539" i="24"/>
  <c r="I540" i="24" l="1"/>
  <c r="C540" i="24"/>
  <c r="H540" i="24"/>
  <c r="B540" i="24"/>
  <c r="G540" i="24"/>
  <c r="U540" i="24"/>
  <c r="V540" i="24"/>
  <c r="AG539" i="24"/>
  <c r="E540" i="24" l="1"/>
  <c r="J540" i="24"/>
  <c r="O540" i="24" s="1"/>
  <c r="F540" i="24"/>
  <c r="L540" i="24" l="1"/>
  <c r="M540" i="24" s="1"/>
  <c r="K540" i="24"/>
  <c r="P540" i="24"/>
  <c r="Q540" i="24" s="1"/>
  <c r="S540" i="24" l="1"/>
  <c r="T540" i="24" s="1"/>
  <c r="AB540" i="24" s="1"/>
  <c r="AC540" i="24"/>
  <c r="AA540" i="24"/>
  <c r="R540" i="24"/>
  <c r="Y540" i="24" s="1"/>
  <c r="W540" i="24" l="1"/>
  <c r="AD540" i="24" s="1"/>
  <c r="B541" i="24" s="1"/>
  <c r="X540" i="24"/>
  <c r="AE540" i="24" s="1"/>
  <c r="H541" i="24" s="1"/>
  <c r="AF540" i="24"/>
  <c r="D541" i="24" s="1"/>
  <c r="G541" i="24" l="1"/>
  <c r="I541" i="24"/>
  <c r="C541" i="24"/>
  <c r="F541" i="24" s="1"/>
  <c r="AG540" i="24"/>
  <c r="U541" i="24"/>
  <c r="V541" i="24"/>
  <c r="J541" i="24" l="1"/>
  <c r="L541" i="24" s="1"/>
  <c r="M541" i="24" s="1"/>
  <c r="E541" i="24"/>
  <c r="P541" i="24" l="1"/>
  <c r="Q541" i="24" s="1"/>
  <c r="O541" i="24"/>
  <c r="S541" i="24" s="1"/>
  <c r="K541" i="24"/>
  <c r="R541" i="24" l="1"/>
  <c r="Y541" i="24" s="1"/>
  <c r="T541" i="24"/>
  <c r="AC541" i="24" l="1"/>
  <c r="AA541" i="24"/>
  <c r="AB541" i="24"/>
  <c r="X541" i="24"/>
  <c r="W541" i="24"/>
  <c r="AF541" i="24"/>
  <c r="AE541" i="24" l="1"/>
  <c r="AD541" i="24"/>
  <c r="G542" i="24" s="1"/>
  <c r="I542" i="24"/>
  <c r="D542" i="24"/>
  <c r="C542" i="24"/>
  <c r="H542" i="24"/>
  <c r="B542" i="24" l="1"/>
  <c r="E542" i="24" s="1"/>
  <c r="J542" i="24"/>
  <c r="K542" i="24" s="1"/>
  <c r="V542" i="24"/>
  <c r="U542" i="24"/>
  <c r="AG541" i="24"/>
  <c r="F542" i="24" l="1"/>
  <c r="O542" i="24"/>
  <c r="L542" i="24"/>
  <c r="M542" i="24" s="1"/>
  <c r="P542" i="24"/>
  <c r="Q542" i="24" s="1"/>
  <c r="S542" i="24" l="1"/>
  <c r="T542" i="24" s="1"/>
  <c r="AA542" i="24" s="1"/>
  <c r="AB542" i="24" l="1"/>
  <c r="AC542" i="24"/>
  <c r="R542" i="24"/>
  <c r="Y542" i="24" s="1"/>
  <c r="AF542" i="24" l="1"/>
  <c r="I543" i="24" s="1"/>
  <c r="X542" i="24"/>
  <c r="AE542" i="24" s="1"/>
  <c r="C543" i="24" s="1"/>
  <c r="W542" i="24"/>
  <c r="AD542" i="24" s="1"/>
  <c r="B543" i="24" s="1"/>
  <c r="D543" i="24"/>
  <c r="AG542" i="24" s="1"/>
  <c r="U543" i="24" l="1"/>
  <c r="V543" i="24"/>
  <c r="H543" i="24"/>
  <c r="E543" i="24"/>
  <c r="F543" i="24"/>
  <c r="G543" i="24"/>
  <c r="J543" i="24" l="1"/>
  <c r="O543" i="24" s="1"/>
  <c r="P543" i="24" l="1"/>
  <c r="Q543" i="24" s="1"/>
  <c r="K543" i="24"/>
  <c r="L543" i="24"/>
  <c r="M543" i="24" s="1"/>
  <c r="S543" i="24" l="1"/>
  <c r="T543" i="24" s="1"/>
  <c r="AA543" i="24" s="1"/>
  <c r="AB543" i="24"/>
  <c r="AC543" i="24"/>
  <c r="R543" i="24"/>
  <c r="W543" i="24" l="1"/>
  <c r="AD543" i="24" s="1"/>
  <c r="Y543" i="24"/>
  <c r="AF543" i="24" s="1"/>
  <c r="D544" i="24" s="1"/>
  <c r="X543" i="24"/>
  <c r="AE543" i="24" s="1"/>
  <c r="C544" i="24" s="1"/>
  <c r="I544" i="24" l="1"/>
  <c r="G544" i="24"/>
  <c r="B544" i="24"/>
  <c r="E544" i="24" s="1"/>
  <c r="H544" i="24"/>
  <c r="V544" i="24"/>
  <c r="U544" i="24"/>
  <c r="AG543" i="24"/>
  <c r="J544" i="24" l="1"/>
  <c r="P544" i="24" s="1"/>
  <c r="Q544" i="24" s="1"/>
  <c r="F544" i="24"/>
  <c r="K544" i="24" l="1"/>
  <c r="O544" i="24"/>
  <c r="L544" i="24"/>
  <c r="M544" i="24" s="1"/>
  <c r="S544" i="24" l="1"/>
  <c r="T544" i="24" s="1"/>
  <c r="AB544" i="24" s="1"/>
  <c r="AC544" i="24" l="1"/>
  <c r="AA544" i="24"/>
  <c r="R544" i="24"/>
  <c r="W544" i="24" s="1"/>
  <c r="Y544" i="24" l="1"/>
  <c r="AF544" i="24" s="1"/>
  <c r="I545" i="24" s="1"/>
  <c r="X544" i="24"/>
  <c r="AE544" i="24" s="1"/>
  <c r="H545" i="24" s="1"/>
  <c r="AD544" i="24"/>
  <c r="B545" i="24" s="1"/>
  <c r="G545" i="24" l="1"/>
  <c r="J545" i="24" s="1"/>
  <c r="K545" i="24" s="1"/>
  <c r="C545" i="24"/>
  <c r="F545" i="24" s="1"/>
  <c r="D545" i="24"/>
  <c r="V545" i="24" s="1"/>
  <c r="E545" i="24" l="1"/>
  <c r="AG544" i="24"/>
  <c r="U545" i="24"/>
  <c r="P545" i="24"/>
  <c r="Q545" i="24" s="1"/>
  <c r="L545" i="24"/>
  <c r="M545" i="24" s="1"/>
  <c r="O545" i="24"/>
  <c r="S545" i="24" l="1"/>
  <c r="T545" i="24" s="1"/>
  <c r="AC545" i="24" s="1"/>
  <c r="AB545" i="24" l="1"/>
  <c r="AA545" i="24"/>
  <c r="R545" i="24"/>
  <c r="X545" i="24" s="1"/>
  <c r="AE545" i="24" s="1"/>
  <c r="H546" i="24" l="1"/>
  <c r="C546" i="24"/>
  <c r="W545" i="24"/>
  <c r="AD545" i="24" s="1"/>
  <c r="Y545" i="24"/>
  <c r="AF545" i="24" s="1"/>
  <c r="D546" i="24" s="1"/>
  <c r="U546" i="24" s="1"/>
  <c r="G546" i="24" l="1"/>
  <c r="B546" i="24"/>
  <c r="E546" i="24" s="1"/>
  <c r="V546" i="24"/>
  <c r="AG545" i="24"/>
  <c r="I546" i="24"/>
  <c r="F546" i="24" l="1"/>
  <c r="J546" i="24"/>
  <c r="O546" i="24" s="1"/>
  <c r="P546" i="24" l="1"/>
  <c r="Q546" i="24" s="1"/>
  <c r="K546" i="24"/>
  <c r="L546" i="24"/>
  <c r="M546" i="24" s="1"/>
  <c r="S546" i="24" l="1"/>
  <c r="T546" i="24" s="1"/>
  <c r="AA546" i="24" s="1"/>
  <c r="AB546" i="24"/>
  <c r="AC546" i="24"/>
  <c r="R546" i="24"/>
  <c r="Y546" i="24" s="1"/>
  <c r="AF546" i="24" l="1"/>
  <c r="I547" i="24" s="1"/>
  <c r="W546" i="24"/>
  <c r="AD546" i="24" s="1"/>
  <c r="G547" i="24" s="1"/>
  <c r="X546" i="24"/>
  <c r="AE546" i="24" s="1"/>
  <c r="C547" i="24" s="1"/>
  <c r="D547" i="24"/>
  <c r="U547" i="24" s="1"/>
  <c r="B547" i="24" l="1"/>
  <c r="F547" i="24" s="1"/>
  <c r="H547" i="24"/>
  <c r="J547" i="24" s="1"/>
  <c r="L547" i="24" s="1"/>
  <c r="M547" i="24" s="1"/>
  <c r="AG546" i="24"/>
  <c r="V547" i="24"/>
  <c r="K547" i="24" l="1"/>
  <c r="O547" i="24"/>
  <c r="S547" i="24" s="1"/>
  <c r="T547" i="24" s="1"/>
  <c r="AA547" i="24" s="1"/>
  <c r="E547" i="24"/>
  <c r="P547" i="24"/>
  <c r="Q547" i="24" s="1"/>
  <c r="AC547" i="24" l="1"/>
  <c r="AB547" i="24"/>
  <c r="R547" i="24"/>
  <c r="Y547" i="24" s="1"/>
  <c r="X547" i="24" l="1"/>
  <c r="AE547" i="24" s="1"/>
  <c r="C548" i="24" s="1"/>
  <c r="W547" i="24"/>
  <c r="AD547" i="24" s="1"/>
  <c r="B548" i="24" s="1"/>
  <c r="AF547" i="24"/>
  <c r="I548" i="24" s="1"/>
  <c r="G548" i="24" l="1"/>
  <c r="D548" i="24"/>
  <c r="V548" i="24" s="1"/>
  <c r="H548" i="24"/>
  <c r="E548" i="24"/>
  <c r="F548" i="24"/>
  <c r="J548" i="24" l="1"/>
  <c r="K548" i="24" s="1"/>
  <c r="AG547" i="24"/>
  <c r="U548" i="24"/>
  <c r="O548" i="24" l="1"/>
  <c r="L548" i="24"/>
  <c r="M548" i="24" s="1"/>
  <c r="P548" i="24"/>
  <c r="Q548" i="24" s="1"/>
  <c r="S548" i="24" l="1"/>
  <c r="T548" i="24" s="1"/>
  <c r="AB548" i="24" s="1"/>
  <c r="AC548" i="24" l="1"/>
  <c r="AA548" i="24"/>
  <c r="R548" i="24"/>
  <c r="Y548" i="24" s="1"/>
  <c r="AF548" i="24" s="1"/>
  <c r="D549" i="24" s="1"/>
  <c r="U549" i="24" s="1"/>
  <c r="W548" i="24" l="1"/>
  <c r="AD548" i="24" s="1"/>
  <c r="B549" i="24" s="1"/>
  <c r="X548" i="24"/>
  <c r="AE548" i="24" s="1"/>
  <c r="H549" i="24" s="1"/>
  <c r="V549" i="24"/>
  <c r="I549" i="24"/>
  <c r="AG548" i="24"/>
  <c r="C549" i="24" l="1"/>
  <c r="F549" i="24" s="1"/>
  <c r="G549" i="24"/>
  <c r="J549" i="24" s="1"/>
  <c r="O549" i="24" s="1"/>
  <c r="E549" i="24" l="1"/>
  <c r="K549" i="24"/>
  <c r="L549" i="24"/>
  <c r="M549" i="24" s="1"/>
  <c r="P549" i="24"/>
  <c r="Q549" i="24" s="1"/>
  <c r="S549" i="24" l="1"/>
  <c r="T549" i="24" s="1"/>
  <c r="AC549" i="24"/>
  <c r="AA549" i="24"/>
  <c r="AB549" i="24"/>
  <c r="R549" i="24"/>
  <c r="X549" i="24" s="1"/>
  <c r="AE549" i="24" l="1"/>
  <c r="W549" i="24"/>
  <c r="AD549" i="24" s="1"/>
  <c r="G550" i="24" s="1"/>
  <c r="Y549" i="24"/>
  <c r="AF549" i="24" s="1"/>
  <c r="D550" i="24" s="1"/>
  <c r="AG549" i="24" s="1"/>
  <c r="C550" i="24"/>
  <c r="H550" i="24"/>
  <c r="I550" i="24" l="1"/>
  <c r="J550" i="24" s="1"/>
  <c r="L550" i="24" s="1"/>
  <c r="M550" i="24" s="1"/>
  <c r="B550" i="24"/>
  <c r="E550" i="24" s="1"/>
  <c r="V550" i="24"/>
  <c r="U550" i="24"/>
  <c r="F550" i="24" l="1"/>
  <c r="O550" i="24"/>
  <c r="S550" i="24" s="1"/>
  <c r="T550" i="24" s="1"/>
  <c r="AA550" i="24" s="1"/>
  <c r="P550" i="24"/>
  <c r="Q550" i="24" s="1"/>
  <c r="K550" i="24"/>
  <c r="AC550" i="24" l="1"/>
  <c r="AB550" i="24"/>
  <c r="R550" i="24"/>
  <c r="W550" i="24" s="1"/>
  <c r="Y550" i="24" l="1"/>
  <c r="AF550" i="24" s="1"/>
  <c r="D551" i="24" s="1"/>
  <c r="X550" i="24"/>
  <c r="AE550" i="24" s="1"/>
  <c r="H551" i="24" s="1"/>
  <c r="AD550" i="24"/>
  <c r="C551" i="24" l="1"/>
  <c r="I551" i="24"/>
  <c r="G551" i="24"/>
  <c r="B551" i="24"/>
  <c r="U551" i="24"/>
  <c r="V551" i="24"/>
  <c r="AG550" i="24"/>
  <c r="E551" i="24" l="1"/>
  <c r="J551" i="24"/>
  <c r="L551" i="24" s="1"/>
  <c r="M551" i="24" s="1"/>
  <c r="F551" i="24"/>
  <c r="O551" i="24" l="1"/>
  <c r="S551" i="24" s="1"/>
  <c r="T551" i="24" s="1"/>
  <c r="AA551" i="24" s="1"/>
  <c r="P551" i="24"/>
  <c r="Q551" i="24" s="1"/>
  <c r="K551" i="24"/>
  <c r="AC551" i="24" l="1"/>
  <c r="AB551" i="24"/>
  <c r="R551" i="24"/>
  <c r="Y551" i="24" s="1"/>
  <c r="W551" i="24" l="1"/>
  <c r="AD551" i="24" s="1"/>
  <c r="X551" i="24"/>
  <c r="AE551" i="24" s="1"/>
  <c r="C552" i="24" s="1"/>
  <c r="AF551" i="24"/>
  <c r="G552" i="24" l="1"/>
  <c r="B552" i="24"/>
  <c r="F552" i="24" s="1"/>
  <c r="H552" i="24"/>
  <c r="D552" i="24"/>
  <c r="I552" i="24"/>
  <c r="E552" i="24" l="1"/>
  <c r="J552" i="24"/>
  <c r="K552" i="24" s="1"/>
  <c r="AG551" i="24"/>
  <c r="V552" i="24"/>
  <c r="U552" i="24"/>
  <c r="P552" i="24" l="1"/>
  <c r="Q552" i="24" s="1"/>
  <c r="L552" i="24"/>
  <c r="M552" i="24" s="1"/>
  <c r="O552" i="24"/>
  <c r="S552" i="24" l="1"/>
  <c r="T552" i="24" s="1"/>
  <c r="AB552" i="24" s="1"/>
  <c r="AA552" i="24" l="1"/>
  <c r="AC552" i="24"/>
  <c r="R552" i="24"/>
  <c r="Y552" i="24" s="1"/>
  <c r="W552" i="24" l="1"/>
  <c r="AD552" i="24" s="1"/>
  <c r="B553" i="24" s="1"/>
  <c r="X552" i="24"/>
  <c r="AE552" i="24" s="1"/>
  <c r="C553" i="24" s="1"/>
  <c r="AF552" i="24"/>
  <c r="I553" i="24" s="1"/>
  <c r="H553" i="24" l="1"/>
  <c r="E553" i="24"/>
  <c r="D553" i="24"/>
  <c r="U553" i="24" s="1"/>
  <c r="G553" i="24"/>
  <c r="F553" i="24"/>
  <c r="J553" i="24" l="1"/>
  <c r="K553" i="24" s="1"/>
  <c r="AG552" i="24"/>
  <c r="V553" i="24"/>
  <c r="O553" i="24" l="1"/>
  <c r="P553" i="24"/>
  <c r="Q553" i="24" s="1"/>
  <c r="L553" i="24"/>
  <c r="M553" i="24" s="1"/>
  <c r="S553" i="24" l="1"/>
  <c r="T553" i="24" s="1"/>
  <c r="AC553" i="24" s="1"/>
  <c r="AA553" i="24" l="1"/>
  <c r="AB553" i="24"/>
  <c r="R553" i="24"/>
  <c r="X553" i="24" s="1"/>
  <c r="W553" i="24" l="1"/>
  <c r="AD553" i="24" s="1"/>
  <c r="B554" i="24" s="1"/>
  <c r="Y553" i="24"/>
  <c r="AF553" i="24" s="1"/>
  <c r="I554" i="24" s="1"/>
  <c r="AE553" i="24"/>
  <c r="C554" i="24" s="1"/>
  <c r="G554" i="24" l="1"/>
  <c r="H554" i="24"/>
  <c r="D554" i="24"/>
  <c r="U554" i="24" s="1"/>
  <c r="F554" i="24"/>
  <c r="E554" i="24"/>
  <c r="J554" i="24" l="1"/>
  <c r="L554" i="24" s="1"/>
  <c r="M554" i="24" s="1"/>
  <c r="AG553" i="24"/>
  <c r="V554" i="24"/>
  <c r="P554" i="24" l="1"/>
  <c r="Q554" i="24" s="1"/>
  <c r="O554" i="24"/>
  <c r="S554" i="24" s="1"/>
  <c r="T554" i="24" s="1"/>
  <c r="AA554" i="24" s="1"/>
  <c r="K554" i="24"/>
  <c r="AC554" i="24" l="1"/>
  <c r="AB554" i="24"/>
  <c r="R554" i="24"/>
  <c r="Y554" i="24" s="1"/>
  <c r="X554" i="24" l="1"/>
  <c r="AE554" i="24" s="1"/>
  <c r="W554" i="24"/>
  <c r="AD554" i="24" s="1"/>
  <c r="AF554" i="24"/>
  <c r="I555" i="24" l="1"/>
  <c r="D555" i="24"/>
  <c r="G555" i="24"/>
  <c r="B555" i="24"/>
  <c r="H555" i="24"/>
  <c r="C555" i="24"/>
  <c r="E555" i="24" l="1"/>
  <c r="J555" i="24"/>
  <c r="K555" i="24" s="1"/>
  <c r="F555" i="24"/>
  <c r="V555" i="24"/>
  <c r="U555" i="24"/>
  <c r="AG554" i="24"/>
  <c r="O555" i="24" l="1"/>
  <c r="L555" i="24"/>
  <c r="M555" i="24" s="1"/>
  <c r="P555" i="24"/>
  <c r="Q555" i="24" s="1"/>
  <c r="S555" i="24" l="1"/>
  <c r="T555" i="24" s="1"/>
  <c r="AA555" i="24" s="1"/>
  <c r="AB555" i="24" l="1"/>
  <c r="AC555" i="24"/>
  <c r="R555" i="24"/>
  <c r="W555" i="24" s="1"/>
  <c r="AD555" i="24" l="1"/>
  <c r="G556" i="24" s="1"/>
  <c r="Y555" i="24"/>
  <c r="AF555" i="24" s="1"/>
  <c r="I556" i="24" s="1"/>
  <c r="X555" i="24"/>
  <c r="AE555" i="24" s="1"/>
  <c r="H556" i="24" s="1"/>
  <c r="B556" i="24" l="1"/>
  <c r="C556" i="24"/>
  <c r="D556" i="24"/>
  <c r="V556" i="24" s="1"/>
  <c r="J556" i="24"/>
  <c r="L556" i="24" s="1"/>
  <c r="M556" i="24" s="1"/>
  <c r="F556" i="24" l="1"/>
  <c r="E556" i="24"/>
  <c r="AG555" i="24"/>
  <c r="U556" i="24"/>
  <c r="O556" i="24"/>
  <c r="S556" i="24" s="1"/>
  <c r="T556" i="24" s="1"/>
  <c r="K556" i="24"/>
  <c r="P556" i="24"/>
  <c r="Q556" i="24" s="1"/>
  <c r="AB556" i="24" l="1"/>
  <c r="AA556" i="24"/>
  <c r="AC556" i="24"/>
  <c r="R556" i="24"/>
  <c r="W556" i="24" s="1"/>
  <c r="Y556" i="24" l="1"/>
  <c r="AF556" i="24" s="1"/>
  <c r="X556" i="24"/>
  <c r="AE556" i="24" s="1"/>
  <c r="H557" i="24" s="1"/>
  <c r="AD556" i="24"/>
  <c r="G557" i="24" s="1"/>
  <c r="C557" i="24" l="1"/>
  <c r="B557" i="24"/>
  <c r="I557" i="24"/>
  <c r="J557" i="24" s="1"/>
  <c r="D557" i="24"/>
  <c r="F557" i="24" l="1"/>
  <c r="E557" i="24"/>
  <c r="L557" i="24"/>
  <c r="M557" i="24" s="1"/>
  <c r="P557" i="24"/>
  <c r="Q557" i="24" s="1"/>
  <c r="K557" i="24"/>
  <c r="AG556" i="24"/>
  <c r="U557" i="24"/>
  <c r="V557" i="24"/>
  <c r="O557" i="24"/>
  <c r="S557" i="24" l="1"/>
  <c r="T557" i="24" s="1"/>
  <c r="AC557" i="24" s="1"/>
  <c r="AA557" i="24" l="1"/>
  <c r="AB557" i="24"/>
  <c r="R557" i="24"/>
  <c r="X557" i="24" s="1"/>
  <c r="W557" i="24" l="1"/>
  <c r="AD557" i="24" s="1"/>
  <c r="B558" i="24" s="1"/>
  <c r="Y557" i="24"/>
  <c r="AF557" i="24" s="1"/>
  <c r="D558" i="24" s="1"/>
  <c r="AE557" i="24"/>
  <c r="H558" i="24" s="1"/>
  <c r="I558" i="24" l="1"/>
  <c r="C558" i="24"/>
  <c r="F558" i="24" s="1"/>
  <c r="G558" i="24"/>
  <c r="AG557" i="24"/>
  <c r="V558" i="24"/>
  <c r="U558" i="24"/>
  <c r="E558" i="24" l="1"/>
  <c r="J558" i="24"/>
  <c r="O558" i="24" s="1"/>
  <c r="P558" i="24" l="1"/>
  <c r="Q558" i="24" s="1"/>
  <c r="L558" i="24"/>
  <c r="M558" i="24" s="1"/>
  <c r="K558" i="24"/>
  <c r="S558" i="24" l="1"/>
  <c r="T558" i="24" s="1"/>
  <c r="AA558" i="24" s="1"/>
  <c r="AB558" i="24"/>
  <c r="AC558" i="24"/>
  <c r="R558" i="24"/>
  <c r="W558" i="24" s="1"/>
  <c r="AD558" i="24" l="1"/>
  <c r="B559" i="24" s="1"/>
  <c r="Y558" i="24"/>
  <c r="AF558" i="24" s="1"/>
  <c r="D559" i="24" s="1"/>
  <c r="AG558" i="24" s="1"/>
  <c r="X558" i="24"/>
  <c r="AE558" i="24" s="1"/>
  <c r="H559" i="24" s="1"/>
  <c r="G559" i="24"/>
  <c r="C559" i="24" l="1"/>
  <c r="F559" i="24" s="1"/>
  <c r="I559" i="24"/>
  <c r="J559" i="24" s="1"/>
  <c r="O559" i="24" s="1"/>
  <c r="V559" i="24"/>
  <c r="U559" i="24"/>
  <c r="E559" i="24" l="1"/>
  <c r="L559" i="24"/>
  <c r="M559" i="24" s="1"/>
  <c r="K559" i="24"/>
  <c r="P559" i="24"/>
  <c r="Q559" i="24" s="1"/>
  <c r="S559" i="24" l="1"/>
  <c r="T559" i="24" s="1"/>
  <c r="AA559" i="24" s="1"/>
  <c r="R559" i="24"/>
  <c r="W559" i="24" s="1"/>
  <c r="AC559" i="24" l="1"/>
  <c r="AB559" i="24"/>
  <c r="AD559" i="24"/>
  <c r="G560" i="24" s="1"/>
  <c r="X559" i="24"/>
  <c r="Y559" i="24"/>
  <c r="AF559" i="24" s="1"/>
  <c r="I560" i="24" s="1"/>
  <c r="AE559" i="24" l="1"/>
  <c r="H560" i="24" s="1"/>
  <c r="B560" i="24"/>
  <c r="C560" i="24"/>
  <c r="J560" i="24"/>
  <c r="P560" i="24" s="1"/>
  <c r="Q560" i="24" s="1"/>
  <c r="D560" i="24"/>
  <c r="V560" i="24" s="1"/>
  <c r="E560" i="24" l="1"/>
  <c r="K560" i="24"/>
  <c r="L560" i="24"/>
  <c r="M560" i="24" s="1"/>
  <c r="F560" i="24"/>
  <c r="U560" i="24"/>
  <c r="O560" i="24"/>
  <c r="AG559" i="24"/>
  <c r="S560" i="24" l="1"/>
  <c r="T560" i="24" s="1"/>
  <c r="AB560" i="24" s="1"/>
  <c r="AA560" i="24" l="1"/>
  <c r="AC560" i="24"/>
  <c r="R560" i="24"/>
  <c r="W560" i="24" s="1"/>
  <c r="AD560" i="24" l="1"/>
  <c r="B561" i="24" s="1"/>
  <c r="X560" i="24"/>
  <c r="AE560" i="24" s="1"/>
  <c r="C561" i="24" s="1"/>
  <c r="Y560" i="24"/>
  <c r="AF560" i="24" s="1"/>
  <c r="D561" i="24" s="1"/>
  <c r="AG560" i="24" s="1"/>
  <c r="G561" i="24" l="1"/>
  <c r="F561" i="24"/>
  <c r="U561" i="24"/>
  <c r="I561" i="24"/>
  <c r="V561" i="24"/>
  <c r="E561" i="24"/>
  <c r="H561" i="24"/>
  <c r="J561" i="24" l="1"/>
  <c r="P561" i="24" s="1"/>
  <c r="Q561" i="24" s="1"/>
  <c r="O561" i="24" l="1"/>
  <c r="K561" i="24"/>
  <c r="L561" i="24"/>
  <c r="M561" i="24" s="1"/>
  <c r="S561" i="24" l="1"/>
  <c r="T561" i="24" s="1"/>
  <c r="AC561" i="24" s="1"/>
  <c r="AB561" i="24" l="1"/>
  <c r="AA561" i="24"/>
  <c r="R561" i="24"/>
  <c r="W561" i="24" s="1"/>
  <c r="X561" i="24" l="1"/>
  <c r="AE561" i="24" s="1"/>
  <c r="C562" i="24" s="1"/>
  <c r="Y561" i="24"/>
  <c r="AF561" i="24" s="1"/>
  <c r="I562" i="24" s="1"/>
  <c r="AD561" i="24"/>
  <c r="G562" i="24" s="1"/>
  <c r="B562" i="24" l="1"/>
  <c r="F562" i="24" s="1"/>
  <c r="D562" i="24"/>
  <c r="U562" i="24" s="1"/>
  <c r="H562" i="24"/>
  <c r="J562" i="24" s="1"/>
  <c r="L562" i="24" s="1"/>
  <c r="M562" i="24" s="1"/>
  <c r="E562" i="24" l="1"/>
  <c r="V562" i="24"/>
  <c r="AG561" i="24"/>
  <c r="K562" i="24"/>
  <c r="P562" i="24"/>
  <c r="Q562" i="24" s="1"/>
  <c r="O562" i="24"/>
  <c r="S562" i="24" s="1"/>
  <c r="T562" i="24" l="1"/>
  <c r="R562" i="24"/>
  <c r="X562" i="24" s="1"/>
  <c r="AA562" i="24" l="1"/>
  <c r="AB562" i="24"/>
  <c r="AE562" i="24" s="1"/>
  <c r="H563" i="24" s="1"/>
  <c r="AC562" i="24"/>
  <c r="W562" i="24"/>
  <c r="AD562" i="24" s="1"/>
  <c r="B563" i="24" s="1"/>
  <c r="Y562" i="24"/>
  <c r="AF562" i="24" l="1"/>
  <c r="I563" i="24" s="1"/>
  <c r="C563" i="24"/>
  <c r="E563" i="24" s="1"/>
  <c r="G563" i="24"/>
  <c r="D563" i="24" l="1"/>
  <c r="V563" i="24" s="1"/>
  <c r="J563" i="24"/>
  <c r="P563" i="24" s="1"/>
  <c r="Q563" i="24" s="1"/>
  <c r="F563" i="24"/>
  <c r="K563" i="24" l="1"/>
  <c r="U563" i="24"/>
  <c r="AG562" i="24"/>
  <c r="O563" i="24"/>
  <c r="L563" i="24"/>
  <c r="M563" i="24" s="1"/>
  <c r="S563" i="24" l="1"/>
  <c r="T563" i="24" s="1"/>
  <c r="AA563" i="24" s="1"/>
  <c r="AC563" i="24" l="1"/>
  <c r="AB563" i="24"/>
  <c r="R563" i="24"/>
  <c r="W563" i="24" s="1"/>
  <c r="Y563" i="24" l="1"/>
  <c r="AF563" i="24" s="1"/>
  <c r="I564" i="24" s="1"/>
  <c r="AD563" i="24"/>
  <c r="G564" i="24" s="1"/>
  <c r="X563" i="24"/>
  <c r="AE563" i="24" s="1"/>
  <c r="H564" i="24" s="1"/>
  <c r="B564" i="24" l="1"/>
  <c r="C564" i="24"/>
  <c r="J564" i="24"/>
  <c r="K564" i="24" s="1"/>
  <c r="D564" i="24"/>
  <c r="V564" i="24" s="1"/>
  <c r="E564" i="24" l="1"/>
  <c r="F564" i="24"/>
  <c r="L564" i="24"/>
  <c r="M564" i="24" s="1"/>
  <c r="P564" i="24"/>
  <c r="Q564" i="24" s="1"/>
  <c r="O564" i="24"/>
  <c r="AG563" i="24"/>
  <c r="U564" i="24"/>
  <c r="S564" i="24" l="1"/>
  <c r="T564" i="24" s="1"/>
  <c r="AB564" i="24" s="1"/>
  <c r="AA564" i="24" l="1"/>
  <c r="AC564" i="24"/>
  <c r="R564" i="24"/>
  <c r="Y564" i="24" s="1"/>
  <c r="W564" i="24" l="1"/>
  <c r="AD564" i="24" s="1"/>
  <c r="B565" i="24" s="1"/>
  <c r="X564" i="24"/>
  <c r="AE564" i="24" s="1"/>
  <c r="C565" i="24" s="1"/>
  <c r="AF564" i="24"/>
  <c r="I565" i="24" s="1"/>
  <c r="F565" i="24" l="1"/>
  <c r="H565" i="24"/>
  <c r="D565" i="24"/>
  <c r="AG564" i="24" s="1"/>
  <c r="E565" i="24"/>
  <c r="G565" i="24"/>
  <c r="J565" i="24" l="1"/>
  <c r="L565" i="24" s="1"/>
  <c r="M565" i="24" s="1"/>
  <c r="V565" i="24"/>
  <c r="U565" i="24"/>
  <c r="O565" i="24" l="1"/>
  <c r="S565" i="24" s="1"/>
  <c r="T565" i="24" s="1"/>
  <c r="AC565" i="24" s="1"/>
  <c r="P565" i="24"/>
  <c r="Q565" i="24" s="1"/>
  <c r="K565" i="24"/>
  <c r="AB565" i="24" l="1"/>
  <c r="AA565" i="24"/>
  <c r="R565" i="24"/>
  <c r="X565" i="24" s="1"/>
  <c r="AE565" i="24" s="1"/>
  <c r="H566" i="24" s="1"/>
  <c r="Y565" i="24" l="1"/>
  <c r="AF565" i="24" s="1"/>
  <c r="D566" i="24" s="1"/>
  <c r="V566" i="24" s="1"/>
  <c r="W565" i="24"/>
  <c r="AD565" i="24" s="1"/>
  <c r="G566" i="24" s="1"/>
  <c r="C566" i="24"/>
  <c r="B566" i="24" l="1"/>
  <c r="E566" i="24" s="1"/>
  <c r="AG565" i="24"/>
  <c r="U566" i="24"/>
  <c r="I566" i="24"/>
  <c r="J566" i="24" s="1"/>
  <c r="L566" i="24" s="1"/>
  <c r="M566" i="24" s="1"/>
  <c r="F566" i="24" l="1"/>
  <c r="K566" i="24"/>
  <c r="O566" i="24"/>
  <c r="S566" i="24" s="1"/>
  <c r="T566" i="24" s="1"/>
  <c r="AA566" i="24" s="1"/>
  <c r="P566" i="24"/>
  <c r="Q566" i="24" s="1"/>
  <c r="AC566" i="24" l="1"/>
  <c r="AB566" i="24"/>
  <c r="R566" i="24"/>
  <c r="W566" i="24" s="1"/>
  <c r="AD566" i="24" s="1"/>
  <c r="G567" i="24" s="1"/>
  <c r="X566" i="24" l="1"/>
  <c r="AE566" i="24" s="1"/>
  <c r="H567" i="24" s="1"/>
  <c r="Y566" i="24"/>
  <c r="AF566" i="24" s="1"/>
  <c r="I567" i="24" s="1"/>
  <c r="B567" i="24"/>
  <c r="J567" i="24" l="1"/>
  <c r="K567" i="24" s="1"/>
  <c r="D567" i="24"/>
  <c r="U567" i="24" s="1"/>
  <c r="C567" i="24"/>
  <c r="E567" i="24" s="1"/>
  <c r="L567" i="24" l="1"/>
  <c r="M567" i="24" s="1"/>
  <c r="P567" i="24"/>
  <c r="Q567" i="24" s="1"/>
  <c r="AG566" i="24"/>
  <c r="O567" i="24"/>
  <c r="F567" i="24"/>
  <c r="V567" i="24"/>
  <c r="S567" i="24" l="1"/>
  <c r="T567" i="24" s="1"/>
  <c r="AA567" i="24" s="1"/>
  <c r="AC567" i="24" l="1"/>
  <c r="AB567" i="24"/>
  <c r="R567" i="24"/>
  <c r="X567" i="24" s="1"/>
  <c r="Y567" i="24" l="1"/>
  <c r="AF567" i="24" s="1"/>
  <c r="I568" i="24" s="1"/>
  <c r="W567" i="24"/>
  <c r="AD567" i="24" s="1"/>
  <c r="B568" i="24" s="1"/>
  <c r="AE567" i="24"/>
  <c r="C568" i="24" s="1"/>
  <c r="F568" i="24" l="1"/>
  <c r="H568" i="24"/>
  <c r="E568" i="24"/>
  <c r="G568" i="24"/>
  <c r="D568" i="24"/>
  <c r="U568" i="24" s="1"/>
  <c r="J568" i="24" l="1"/>
  <c r="L568" i="24" s="1"/>
  <c r="M568" i="24" s="1"/>
  <c r="AG567" i="24"/>
  <c r="V568" i="24"/>
  <c r="O568" i="24" l="1"/>
  <c r="S568" i="24" s="1"/>
  <c r="T568" i="24" s="1"/>
  <c r="AB568" i="24" s="1"/>
  <c r="P568" i="24"/>
  <c r="Q568" i="24" s="1"/>
  <c r="K568" i="24"/>
  <c r="AC568" i="24" l="1"/>
  <c r="AA568" i="24"/>
  <c r="R568" i="24"/>
  <c r="X568" i="24" s="1"/>
  <c r="AE568" i="24" s="1"/>
  <c r="C569" i="24" s="1"/>
  <c r="W568" i="24" l="1"/>
  <c r="AD568" i="24" s="1"/>
  <c r="G569" i="24" s="1"/>
  <c r="Y568" i="24"/>
  <c r="AF568" i="24" s="1"/>
  <c r="D569" i="24" s="1"/>
  <c r="AG568" i="24" s="1"/>
  <c r="H569" i="24"/>
  <c r="B569" i="24" l="1"/>
  <c r="E569" i="24" s="1"/>
  <c r="U569" i="24"/>
  <c r="V569" i="24"/>
  <c r="I569" i="24"/>
  <c r="J569" i="24" s="1"/>
  <c r="F569" i="24" l="1"/>
  <c r="L569" i="24"/>
  <c r="M569" i="24" s="1"/>
  <c r="P569" i="24"/>
  <c r="Q569" i="24" s="1"/>
  <c r="O569" i="24"/>
  <c r="K569" i="24"/>
  <c r="S569" i="24" l="1"/>
  <c r="T569" i="24" s="1"/>
  <c r="AC569" i="24" s="1"/>
  <c r="AB569" i="24" l="1"/>
  <c r="AA569" i="24"/>
  <c r="R569" i="24"/>
  <c r="W569" i="24" l="1"/>
  <c r="AD569" i="24" s="1"/>
  <c r="B570" i="24" s="1"/>
  <c r="X569" i="24"/>
  <c r="AE569" i="24" s="1"/>
  <c r="H570" i="24" s="1"/>
  <c r="Y569" i="24"/>
  <c r="AF569" i="24" s="1"/>
  <c r="G570" i="24" l="1"/>
  <c r="C570" i="24"/>
  <c r="E570" i="24" s="1"/>
  <c r="I570" i="24"/>
  <c r="D570" i="24"/>
  <c r="J570" i="24" l="1"/>
  <c r="K570" i="24" s="1"/>
  <c r="F570" i="24"/>
  <c r="V570" i="24"/>
  <c r="U570" i="24"/>
  <c r="AG569" i="24"/>
  <c r="L570" i="24" l="1"/>
  <c r="M570" i="24" s="1"/>
  <c r="P570" i="24"/>
  <c r="Q570" i="24" s="1"/>
  <c r="O570" i="24"/>
  <c r="S570" i="24" l="1"/>
  <c r="R570" i="24" s="1"/>
  <c r="Y570" i="24" s="1"/>
  <c r="T570" i="24" l="1"/>
  <c r="W570" i="24"/>
  <c r="X570" i="24"/>
  <c r="AA570" i="24" l="1"/>
  <c r="AB570" i="24"/>
  <c r="AE570" i="24" s="1"/>
  <c r="H571" i="24" s="1"/>
  <c r="AC570" i="24"/>
  <c r="AF570" i="24" s="1"/>
  <c r="I571" i="24" s="1"/>
  <c r="AD570" i="24"/>
  <c r="G571" i="24" s="1"/>
  <c r="D571" i="24" l="1"/>
  <c r="AG570" i="24" s="1"/>
  <c r="J571" i="24"/>
  <c r="L571" i="24" s="1"/>
  <c r="M571" i="24" s="1"/>
  <c r="B571" i="24"/>
  <c r="C571" i="24"/>
  <c r="U571" i="24" l="1"/>
  <c r="V571" i="24"/>
  <c r="O571" i="24"/>
  <c r="S571" i="24" s="1"/>
  <c r="T571" i="24" s="1"/>
  <c r="AA571" i="24" s="1"/>
  <c r="K571" i="24"/>
  <c r="P571" i="24"/>
  <c r="Q571" i="24" s="1"/>
  <c r="F571" i="24"/>
  <c r="E571" i="24"/>
  <c r="AC571" i="24" l="1"/>
  <c r="AB571" i="24"/>
  <c r="R571" i="24"/>
  <c r="Y571" i="24" s="1"/>
  <c r="W571" i="24" l="1"/>
  <c r="AD571" i="24" s="1"/>
  <c r="G572" i="24" s="1"/>
  <c r="AF571" i="24"/>
  <c r="D572" i="24" s="1"/>
  <c r="AG571" i="24" s="1"/>
  <c r="X571" i="24"/>
  <c r="AE571" i="24" s="1"/>
  <c r="H572" i="24" s="1"/>
  <c r="V572" i="24" l="1"/>
  <c r="I572" i="24"/>
  <c r="J572" i="24" s="1"/>
  <c r="O572" i="24" s="1"/>
  <c r="U572" i="24"/>
  <c r="B572" i="24"/>
  <c r="C572" i="24"/>
  <c r="F572" i="24" l="1"/>
  <c r="K572" i="24"/>
  <c r="L572" i="24"/>
  <c r="M572" i="24" s="1"/>
  <c r="P572" i="24"/>
  <c r="Q572" i="24" s="1"/>
  <c r="E572" i="24"/>
  <c r="S572" i="24" l="1"/>
  <c r="T572" i="24" s="1"/>
  <c r="AB572" i="24" s="1"/>
  <c r="R572" i="24"/>
  <c r="W572" i="24" s="1"/>
  <c r="AA572" i="24" l="1"/>
  <c r="AD572" i="24" s="1"/>
  <c r="B573" i="24" s="1"/>
  <c r="AC572" i="24"/>
  <c r="X572" i="24"/>
  <c r="AE572" i="24" s="1"/>
  <c r="H573" i="24" s="1"/>
  <c r="Y572" i="24"/>
  <c r="AF572" i="24" l="1"/>
  <c r="D573" i="24" s="1"/>
  <c r="U573" i="24" s="1"/>
  <c r="G573" i="24"/>
  <c r="I573" i="24"/>
  <c r="J573" i="24" s="1"/>
  <c r="P573" i="24" s="1"/>
  <c r="Q573" i="24" s="1"/>
  <c r="C573" i="24"/>
  <c r="E573" i="24" s="1"/>
  <c r="V573" i="24"/>
  <c r="AG572" i="24" l="1"/>
  <c r="K573" i="24"/>
  <c r="O573" i="24"/>
  <c r="L573" i="24"/>
  <c r="M573" i="24" s="1"/>
  <c r="F573" i="24"/>
  <c r="S573" i="24" l="1"/>
  <c r="T573" i="24" s="1"/>
  <c r="AC573" i="24" s="1"/>
  <c r="AB573" i="24" l="1"/>
  <c r="AA573" i="24"/>
  <c r="R573" i="24"/>
  <c r="Y573" i="24" s="1"/>
  <c r="W573" i="24" l="1"/>
  <c r="AD573" i="24" s="1"/>
  <c r="G574" i="24" s="1"/>
  <c r="X573" i="24"/>
  <c r="AE573" i="24" s="1"/>
  <c r="H574" i="24" s="1"/>
  <c r="AF573" i="24"/>
  <c r="I574" i="24" s="1"/>
  <c r="J574" i="24" l="1"/>
  <c r="P574" i="24" s="1"/>
  <c r="Q574" i="24" s="1"/>
  <c r="B574" i="24"/>
  <c r="D574" i="24"/>
  <c r="V574" i="24" s="1"/>
  <c r="C574" i="24"/>
  <c r="F574" i="24" l="1"/>
  <c r="L574" i="24"/>
  <c r="M574" i="24" s="1"/>
  <c r="K574" i="24"/>
  <c r="E574" i="24"/>
  <c r="O574" i="24"/>
  <c r="U574" i="24"/>
  <c r="AG573" i="24"/>
  <c r="S574" i="24" l="1"/>
  <c r="T574" i="24" s="1"/>
  <c r="AA574" i="24" s="1"/>
  <c r="AC574" i="24" l="1"/>
  <c r="AB574" i="24"/>
  <c r="R574" i="24"/>
  <c r="W574" i="24" s="1"/>
  <c r="Y574" i="24" l="1"/>
  <c r="AF574" i="24" s="1"/>
  <c r="D575" i="24" s="1"/>
  <c r="U575" i="24" s="1"/>
  <c r="X574" i="24"/>
  <c r="AE574" i="24" s="1"/>
  <c r="C575" i="24" s="1"/>
  <c r="AD574" i="24"/>
  <c r="B575" i="24" s="1"/>
  <c r="I575" i="24" l="1"/>
  <c r="AG574" i="24"/>
  <c r="V575" i="24"/>
  <c r="G575" i="24"/>
  <c r="H575" i="24"/>
  <c r="F575" i="24"/>
  <c r="E575" i="24"/>
  <c r="J575" i="24" l="1"/>
  <c r="K575" i="24" s="1"/>
  <c r="O575" i="24" l="1"/>
  <c r="L575" i="24"/>
  <c r="M575" i="24" s="1"/>
  <c r="P575" i="24"/>
  <c r="Q575" i="24" s="1"/>
  <c r="S575" i="24" l="1"/>
  <c r="T575" i="24" s="1"/>
  <c r="AA575" i="24" s="1"/>
  <c r="AC575" i="24" l="1"/>
  <c r="AB575" i="24"/>
  <c r="R575" i="24"/>
  <c r="X575" i="24" s="1"/>
  <c r="Y575" i="24" l="1"/>
  <c r="AF575" i="24" s="1"/>
  <c r="I576" i="24" s="1"/>
  <c r="W575" i="24"/>
  <c r="AD575" i="24" s="1"/>
  <c r="B576" i="24" s="1"/>
  <c r="AE575" i="24"/>
  <c r="H576" i="24" s="1"/>
  <c r="C576" i="24" l="1"/>
  <c r="E576" i="24" s="1"/>
  <c r="D576" i="24"/>
  <c r="V576" i="24" s="1"/>
  <c r="G576" i="24"/>
  <c r="J576" i="24" s="1"/>
  <c r="O576" i="24" l="1"/>
  <c r="F576" i="24"/>
  <c r="AG575" i="24"/>
  <c r="U576" i="24"/>
  <c r="L576" i="24"/>
  <c r="M576" i="24" s="1"/>
  <c r="P576" i="24"/>
  <c r="Q576" i="24" s="1"/>
  <c r="K576" i="24"/>
  <c r="S576" i="24" l="1"/>
  <c r="T576" i="24" s="1"/>
  <c r="AB576" i="24" s="1"/>
  <c r="AC576" i="24" l="1"/>
  <c r="AA576" i="24"/>
  <c r="R576" i="24"/>
  <c r="Y576" i="24" s="1"/>
  <c r="AF576" i="24" s="1"/>
  <c r="I577" i="24" s="1"/>
  <c r="W576" i="24" l="1"/>
  <c r="AD576" i="24" s="1"/>
  <c r="B577" i="24" s="1"/>
  <c r="X576" i="24"/>
  <c r="AE576" i="24" s="1"/>
  <c r="C577" i="24" s="1"/>
  <c r="D577" i="24"/>
  <c r="AG576" i="24" s="1"/>
  <c r="H577" i="24" l="1"/>
  <c r="F577" i="24"/>
  <c r="G577" i="24"/>
  <c r="E577" i="24"/>
  <c r="V577" i="24"/>
  <c r="U577" i="24"/>
  <c r="J577" i="24" l="1"/>
  <c r="O577" i="24" s="1"/>
  <c r="K577" i="24" l="1"/>
  <c r="P577" i="24"/>
  <c r="Q577" i="24" s="1"/>
  <c r="L577" i="24"/>
  <c r="M577" i="24" s="1"/>
  <c r="S577" i="24" l="1"/>
  <c r="T577" i="24" s="1"/>
  <c r="AC577" i="24"/>
  <c r="AA577" i="24"/>
  <c r="AB577" i="24"/>
  <c r="R577" i="24"/>
  <c r="Y577" i="24" s="1"/>
  <c r="X577" i="24" l="1"/>
  <c r="AE577" i="24" s="1"/>
  <c r="H578" i="24" s="1"/>
  <c r="W577" i="24"/>
  <c r="AD577" i="24" s="1"/>
  <c r="G578" i="24" s="1"/>
  <c r="AF577" i="24"/>
  <c r="I578" i="24" s="1"/>
  <c r="B578" i="24" l="1"/>
  <c r="D578" i="24"/>
  <c r="U578" i="24" s="1"/>
  <c r="J578" i="24"/>
  <c r="P578" i="24" s="1"/>
  <c r="Q578" i="24" s="1"/>
  <c r="C578" i="24"/>
  <c r="AG577" i="24" l="1"/>
  <c r="F578" i="24"/>
  <c r="V578" i="24"/>
  <c r="L578" i="24"/>
  <c r="M578" i="24" s="1"/>
  <c r="O578" i="24"/>
  <c r="K578" i="24"/>
  <c r="E578" i="24"/>
  <c r="S578" i="24" l="1"/>
  <c r="T578" i="24" s="1"/>
  <c r="AA578" i="24" s="1"/>
  <c r="AB578" i="24" l="1"/>
  <c r="AC578" i="24"/>
  <c r="R578" i="24"/>
  <c r="Y578" i="24" s="1"/>
  <c r="AF578" i="24" l="1"/>
  <c r="I579" i="24" s="1"/>
  <c r="W578" i="24"/>
  <c r="AD578" i="24" s="1"/>
  <c r="B579" i="24" s="1"/>
  <c r="D579" i="24"/>
  <c r="AG578" i="24" s="1"/>
  <c r="X578" i="24"/>
  <c r="AE578" i="24" s="1"/>
  <c r="H579" i="24" s="1"/>
  <c r="G579" i="24" l="1"/>
  <c r="J579" i="24" s="1"/>
  <c r="O579" i="24" s="1"/>
  <c r="U579" i="24"/>
  <c r="V579" i="24"/>
  <c r="C579" i="24"/>
  <c r="F579" i="24" s="1"/>
  <c r="E579" i="24" l="1"/>
  <c r="P579" i="24"/>
  <c r="Q579" i="24" s="1"/>
  <c r="K579" i="24"/>
  <c r="L579" i="24"/>
  <c r="M579" i="24" s="1"/>
  <c r="S579" i="24" l="1"/>
  <c r="T579" i="24" s="1"/>
  <c r="AA579" i="24" s="1"/>
  <c r="AB579" i="24"/>
  <c r="AC579" i="24"/>
  <c r="R579" i="24"/>
  <c r="X579" i="24" s="1"/>
  <c r="AE579" i="24" l="1"/>
  <c r="C580" i="24" s="1"/>
  <c r="Y579" i="24"/>
  <c r="AF579" i="24" s="1"/>
  <c r="I580" i="24" s="1"/>
  <c r="W579" i="24"/>
  <c r="AD579" i="24" s="1"/>
  <c r="B580" i="24" s="1"/>
  <c r="H580" i="24" l="1"/>
  <c r="D580" i="24"/>
  <c r="U580" i="24" s="1"/>
  <c r="G580" i="24"/>
  <c r="F580" i="24"/>
  <c r="E580" i="24"/>
  <c r="J580" i="24" l="1"/>
  <c r="K580" i="24" s="1"/>
  <c r="V580" i="24"/>
  <c r="AG579" i="24"/>
  <c r="P580" i="24" l="1"/>
  <c r="Q580" i="24" s="1"/>
  <c r="O580" i="24"/>
  <c r="L580" i="24"/>
  <c r="M580" i="24" s="1"/>
  <c r="S580" i="24" l="1"/>
  <c r="T580" i="24" s="1"/>
  <c r="AB580" i="24" s="1"/>
  <c r="AA580" i="24" l="1"/>
  <c r="AC580" i="24"/>
  <c r="R580" i="24"/>
  <c r="W580" i="24" s="1"/>
  <c r="AD580" i="24" s="1"/>
  <c r="B581" i="24" s="1"/>
  <c r="Y580" i="24" l="1"/>
  <c r="AF580" i="24" s="1"/>
  <c r="I581" i="24" s="1"/>
  <c r="X580" i="24"/>
  <c r="AE580" i="24" s="1"/>
  <c r="H581" i="24" s="1"/>
  <c r="G581" i="24"/>
  <c r="D581" i="24" l="1"/>
  <c r="AG580" i="24" s="1"/>
  <c r="C581" i="24"/>
  <c r="F581" i="24" s="1"/>
  <c r="J581" i="24"/>
  <c r="P581" i="24" s="1"/>
  <c r="Q581" i="24" s="1"/>
  <c r="U581" i="24" l="1"/>
  <c r="V581" i="24"/>
  <c r="E581" i="24"/>
  <c r="L581" i="24"/>
  <c r="M581" i="24" s="1"/>
  <c r="K581" i="24"/>
  <c r="O581" i="24"/>
  <c r="S581" i="24" l="1"/>
  <c r="T581" i="24" s="1"/>
  <c r="AC581" i="24" s="1"/>
  <c r="AB581" i="24" l="1"/>
  <c r="AA581" i="24"/>
  <c r="R581" i="24"/>
  <c r="W581" i="24" s="1"/>
  <c r="X581" i="24" l="1"/>
  <c r="AE581" i="24" s="1"/>
  <c r="C582" i="24" s="1"/>
  <c r="Y581" i="24"/>
  <c r="AF581" i="24" s="1"/>
  <c r="D582" i="24" s="1"/>
  <c r="V582" i="24" s="1"/>
  <c r="AD581" i="24"/>
  <c r="B582" i="24" s="1"/>
  <c r="H582" i="24"/>
  <c r="F582" i="24" l="1"/>
  <c r="G582" i="24"/>
  <c r="I582" i="24"/>
  <c r="E582" i="24"/>
  <c r="U582" i="24"/>
  <c r="AG581" i="24"/>
  <c r="J582" i="24" l="1"/>
  <c r="L582" i="24" s="1"/>
  <c r="M582" i="24" s="1"/>
  <c r="O582" i="24"/>
  <c r="K582" i="24" l="1"/>
  <c r="S582" i="24"/>
  <c r="P582" i="24"/>
  <c r="Q582" i="24" s="1"/>
  <c r="R582" i="24" s="1"/>
  <c r="X582" i="24" s="1"/>
  <c r="T582" i="24"/>
  <c r="AA582" i="24" s="1"/>
  <c r="AC582" i="24" l="1"/>
  <c r="AB582" i="24"/>
  <c r="AE582" i="24" s="1"/>
  <c r="Y582" i="24"/>
  <c r="W582" i="24"/>
  <c r="AD582" i="24" l="1"/>
  <c r="B583" i="24" s="1"/>
  <c r="AF582" i="24"/>
  <c r="I583" i="24" s="1"/>
  <c r="C583" i="24"/>
  <c r="H583" i="24"/>
  <c r="G583" i="24" l="1"/>
  <c r="J583" i="24" s="1"/>
  <c r="P583" i="24" s="1"/>
  <c r="Q583" i="24" s="1"/>
  <c r="D583" i="24"/>
  <c r="V583" i="24" s="1"/>
  <c r="E583" i="24"/>
  <c r="F583" i="24"/>
  <c r="U583" i="24" l="1"/>
  <c r="AG582" i="24"/>
  <c r="K583" i="24"/>
  <c r="O583" i="24"/>
  <c r="L583" i="24"/>
  <c r="M583" i="24" s="1"/>
  <c r="S583" i="24" l="1"/>
  <c r="T583" i="24" s="1"/>
  <c r="AA583" i="24" s="1"/>
  <c r="AB583" i="24" l="1"/>
  <c r="AC583" i="24"/>
  <c r="R583" i="24"/>
  <c r="X583" i="24" s="1"/>
  <c r="AE583" i="24" l="1"/>
  <c r="H584" i="24" s="1"/>
  <c r="W583" i="24"/>
  <c r="AD583" i="24" s="1"/>
  <c r="G584" i="24" s="1"/>
  <c r="Y583" i="24"/>
  <c r="AF583" i="24" s="1"/>
  <c r="C584" i="24" l="1"/>
  <c r="B584" i="24"/>
  <c r="D584" i="24"/>
  <c r="I584" i="24"/>
  <c r="J584" i="24" s="1"/>
  <c r="F584" i="24" l="1"/>
  <c r="E584" i="24"/>
  <c r="K584" i="24"/>
  <c r="P584" i="24"/>
  <c r="Q584" i="24" s="1"/>
  <c r="L584" i="24"/>
  <c r="M584" i="24" s="1"/>
  <c r="AG583" i="24"/>
  <c r="U584" i="24"/>
  <c r="V584" i="24"/>
  <c r="O584" i="24"/>
  <c r="S584" i="24" l="1"/>
  <c r="T584" i="24" s="1"/>
  <c r="AB584" i="24" s="1"/>
  <c r="AA584" i="24" l="1"/>
  <c r="AC584" i="24"/>
  <c r="R584" i="24"/>
  <c r="W584" i="24" s="1"/>
  <c r="Y584" i="24" l="1"/>
  <c r="AF584" i="24" s="1"/>
  <c r="I585" i="24" s="1"/>
  <c r="X584" i="24"/>
  <c r="AE584" i="24" s="1"/>
  <c r="H585" i="24" s="1"/>
  <c r="AD584" i="24"/>
  <c r="G585" i="24" s="1"/>
  <c r="D585" i="24" l="1"/>
  <c r="U585" i="24" s="1"/>
  <c r="B585" i="24"/>
  <c r="J585" i="24"/>
  <c r="L585" i="24" s="1"/>
  <c r="M585" i="24" s="1"/>
  <c r="C585" i="24"/>
  <c r="AG584" i="24" l="1"/>
  <c r="V585" i="24"/>
  <c r="P585" i="24"/>
  <c r="Q585" i="24" s="1"/>
  <c r="O585" i="24"/>
  <c r="S585" i="24" s="1"/>
  <c r="T585" i="24" s="1"/>
  <c r="AC585" i="24" s="1"/>
  <c r="F585" i="24"/>
  <c r="K585" i="24"/>
  <c r="E585" i="24"/>
  <c r="AB585" i="24" l="1"/>
  <c r="AA585" i="24"/>
  <c r="R585" i="24"/>
  <c r="X585" i="24" s="1"/>
  <c r="AE585" i="24" s="1"/>
  <c r="Y585" i="24" l="1"/>
  <c r="AF585" i="24" s="1"/>
  <c r="I586" i="24" s="1"/>
  <c r="H586" i="24"/>
  <c r="C586" i="24"/>
  <c r="W585" i="24"/>
  <c r="AD585" i="24" s="1"/>
  <c r="D586" i="24" l="1"/>
  <c r="U586" i="24" s="1"/>
  <c r="G586" i="24"/>
  <c r="J586" i="24" s="1"/>
  <c r="P586" i="24" s="1"/>
  <c r="Q586" i="24" s="1"/>
  <c r="B586" i="24"/>
  <c r="E586" i="24" s="1"/>
  <c r="V586" i="24" l="1"/>
  <c r="K586" i="24"/>
  <c r="AG585" i="24"/>
  <c r="O586" i="24"/>
  <c r="L586" i="24"/>
  <c r="M586" i="24" s="1"/>
  <c r="F586" i="24"/>
  <c r="S586" i="24" l="1"/>
  <c r="T586" i="24" s="1"/>
  <c r="AA586" i="24" s="1"/>
  <c r="AB586" i="24" l="1"/>
  <c r="AC586" i="24"/>
  <c r="R586" i="24"/>
  <c r="Y586" i="24" s="1"/>
  <c r="AF586" i="24" l="1"/>
  <c r="D587" i="24" s="1"/>
  <c r="V587" i="24" s="1"/>
  <c r="X586" i="24"/>
  <c r="AE586" i="24" s="1"/>
  <c r="U587" i="24"/>
  <c r="AG586" i="24"/>
  <c r="I587" i="24"/>
  <c r="W586" i="24"/>
  <c r="AD586" i="24" s="1"/>
  <c r="B587" i="24" s="1"/>
  <c r="G587" i="24" l="1"/>
  <c r="C587" i="24"/>
  <c r="E587" i="24" s="1"/>
  <c r="H587" i="24"/>
  <c r="F587" i="24" l="1"/>
  <c r="J587" i="24"/>
  <c r="O587" i="24" s="1"/>
  <c r="P587" i="24" l="1"/>
  <c r="Q587" i="24" s="1"/>
  <c r="K587" i="24"/>
  <c r="L587" i="24"/>
  <c r="M587" i="24" s="1"/>
  <c r="S587" i="24" l="1"/>
  <c r="T587" i="24" s="1"/>
  <c r="AA587" i="24" s="1"/>
  <c r="AB587" i="24"/>
  <c r="AC587" i="24"/>
  <c r="R587" i="24"/>
  <c r="W587" i="24" s="1"/>
  <c r="AD587" i="24" l="1"/>
  <c r="G588" i="24" s="1"/>
  <c r="B588" i="24"/>
  <c r="Y587" i="24"/>
  <c r="AF587" i="24" s="1"/>
  <c r="I588" i="24" s="1"/>
  <c r="X587" i="24"/>
  <c r="AE587" i="24" s="1"/>
  <c r="C588" i="24" s="1"/>
  <c r="F588" i="24" l="1"/>
  <c r="E588" i="24"/>
  <c r="H588" i="24"/>
  <c r="J588" i="24" s="1"/>
  <c r="P588" i="24" s="1"/>
  <c r="Q588" i="24" s="1"/>
  <c r="D588" i="24"/>
  <c r="U588" i="24" s="1"/>
  <c r="L588" i="24" l="1"/>
  <c r="M588" i="24" s="1"/>
  <c r="K588" i="24"/>
  <c r="AG587" i="24"/>
  <c r="O588" i="24"/>
  <c r="V588" i="24"/>
  <c r="S588" i="24" l="1"/>
  <c r="T588" i="24" s="1"/>
  <c r="AB588" i="24" s="1"/>
  <c r="AA588" i="24" l="1"/>
  <c r="AC588" i="24"/>
  <c r="R588" i="24"/>
  <c r="X588" i="24" s="1"/>
  <c r="AE588" i="24" s="1"/>
  <c r="H589" i="24" s="1"/>
  <c r="Y588" i="24" l="1"/>
  <c r="AF588" i="24" s="1"/>
  <c r="I589" i="24" s="1"/>
  <c r="W588" i="24"/>
  <c r="AD588" i="24" s="1"/>
  <c r="G589" i="24" s="1"/>
  <c r="J589" i="24" s="1"/>
  <c r="K589" i="24" s="1"/>
  <c r="C589" i="24"/>
  <c r="D589" i="24"/>
  <c r="V589" i="24" s="1"/>
  <c r="B589" i="24" l="1"/>
  <c r="F589" i="24" s="1"/>
  <c r="U589" i="24"/>
  <c r="AG588" i="24"/>
  <c r="E589" i="24"/>
  <c r="O589" i="24"/>
  <c r="L589" i="24"/>
  <c r="M589" i="24" s="1"/>
  <c r="P589" i="24"/>
  <c r="Q589" i="24" s="1"/>
  <c r="S589" i="24" l="1"/>
  <c r="T589" i="24" s="1"/>
  <c r="AC589" i="24" s="1"/>
  <c r="AA589" i="24" l="1"/>
  <c r="AB589" i="24"/>
  <c r="R589" i="24"/>
  <c r="Y589" i="24" s="1"/>
  <c r="AF589" i="24" s="1"/>
  <c r="D590" i="24" s="1"/>
  <c r="V590" i="24" s="1"/>
  <c r="W589" i="24" l="1"/>
  <c r="AD589" i="24" s="1"/>
  <c r="B590" i="24" s="1"/>
  <c r="X589" i="24"/>
  <c r="AE589" i="24" s="1"/>
  <c r="H590" i="24" s="1"/>
  <c r="I590" i="24"/>
  <c r="AG589" i="24"/>
  <c r="U590" i="24"/>
  <c r="C590" i="24" l="1"/>
  <c r="E590" i="24" s="1"/>
  <c r="G590" i="24"/>
  <c r="F590" i="24" l="1"/>
  <c r="J590" i="24"/>
  <c r="K590" i="24" s="1"/>
  <c r="O590" i="24" l="1"/>
  <c r="P590" i="24"/>
  <c r="Q590" i="24" s="1"/>
  <c r="L590" i="24"/>
  <c r="M590" i="24" s="1"/>
  <c r="S590" i="24" l="1"/>
  <c r="T590" i="24" s="1"/>
  <c r="AA590" i="24" s="1"/>
  <c r="AC590" i="24" l="1"/>
  <c r="AB590" i="24"/>
  <c r="R590" i="24"/>
  <c r="X590" i="24" s="1"/>
  <c r="AE590" i="24" l="1"/>
  <c r="W590" i="24"/>
  <c r="AD590" i="24" s="1"/>
  <c r="G591" i="24" s="1"/>
  <c r="Y590" i="24"/>
  <c r="AF590" i="24" s="1"/>
  <c r="D591" i="24" s="1"/>
  <c r="V591" i="24" s="1"/>
  <c r="H591" i="24"/>
  <c r="C591" i="24"/>
  <c r="I591" i="24" l="1"/>
  <c r="J591" i="24" s="1"/>
  <c r="O591" i="24" s="1"/>
  <c r="U591" i="24"/>
  <c r="AG590" i="24"/>
  <c r="B591" i="24"/>
  <c r="E591" i="24" s="1"/>
  <c r="F591" i="24" l="1"/>
  <c r="K591" i="24"/>
  <c r="P591" i="24"/>
  <c r="Q591" i="24" s="1"/>
  <c r="L591" i="24"/>
  <c r="M591" i="24" s="1"/>
  <c r="S591" i="24" l="1"/>
  <c r="T591" i="24" s="1"/>
  <c r="AA591" i="24" s="1"/>
  <c r="AB591" i="24"/>
  <c r="AC591" i="24"/>
  <c r="R591" i="24"/>
  <c r="X591" i="24" s="1"/>
  <c r="AE591" i="24" l="1"/>
  <c r="H592" i="24" s="1"/>
  <c r="W591" i="24"/>
  <c r="AD591" i="24" s="1"/>
  <c r="Y591" i="24"/>
  <c r="AF591" i="24" s="1"/>
  <c r="C592" i="24" l="1"/>
  <c r="G592" i="24"/>
  <c r="B592" i="24"/>
  <c r="I592" i="24"/>
  <c r="D592" i="24"/>
  <c r="AG591" i="24" l="1"/>
  <c r="U592" i="24"/>
  <c r="V592" i="24"/>
  <c r="E592" i="24"/>
  <c r="F592" i="24"/>
  <c r="J592" i="24"/>
  <c r="O592" i="24" s="1"/>
  <c r="L592" i="24" l="1"/>
  <c r="M592" i="24" s="1"/>
  <c r="P592" i="24"/>
  <c r="Q592" i="24" s="1"/>
  <c r="K592" i="24"/>
  <c r="S592" i="24" l="1"/>
  <c r="T592" i="24" s="1"/>
  <c r="AB592" i="24" s="1"/>
  <c r="AC592" i="24"/>
  <c r="AA592" i="24"/>
  <c r="R592" i="24"/>
  <c r="Y592" i="24" s="1"/>
  <c r="AF592" i="24" l="1"/>
  <c r="I593" i="24" s="1"/>
  <c r="W592" i="24"/>
  <c r="AD592" i="24" s="1"/>
  <c r="G593" i="24" s="1"/>
  <c r="X592" i="24"/>
  <c r="AE592" i="24" s="1"/>
  <c r="D593" i="24" l="1"/>
  <c r="V593" i="24" s="1"/>
  <c r="B593" i="24"/>
  <c r="C593" i="24"/>
  <c r="H593" i="24"/>
  <c r="J593" i="24" s="1"/>
  <c r="U593" i="24" l="1"/>
  <c r="F593" i="24"/>
  <c r="O593" i="24"/>
  <c r="AG592" i="24"/>
  <c r="E593" i="24"/>
  <c r="L593" i="24"/>
  <c r="M593" i="24" s="1"/>
  <c r="K593" i="24"/>
  <c r="P593" i="24"/>
  <c r="Q593" i="24" s="1"/>
  <c r="S593" i="24" l="1"/>
  <c r="T593" i="24" s="1"/>
  <c r="AC593" i="24" s="1"/>
  <c r="AA593" i="24" l="1"/>
  <c r="AB593" i="24"/>
  <c r="R593" i="24"/>
  <c r="X593" i="24" s="1"/>
  <c r="Y593" i="24" l="1"/>
  <c r="AF593" i="24" s="1"/>
  <c r="D594" i="24" s="1"/>
  <c r="U594" i="24" s="1"/>
  <c r="W593" i="24"/>
  <c r="AD593" i="24" s="1"/>
  <c r="B594" i="24" s="1"/>
  <c r="AE593" i="24"/>
  <c r="H594" i="24" s="1"/>
  <c r="C594" i="24" l="1"/>
  <c r="F594" i="24" s="1"/>
  <c r="G594" i="24"/>
  <c r="AG593" i="24"/>
  <c r="V594" i="24"/>
  <c r="I594" i="24"/>
  <c r="E594" i="24" l="1"/>
  <c r="J594" i="24"/>
  <c r="P594" i="24" s="1"/>
  <c r="Q594" i="24" s="1"/>
  <c r="O594" i="24" l="1"/>
  <c r="L594" i="24"/>
  <c r="M594" i="24" s="1"/>
  <c r="K594" i="24"/>
  <c r="S594" i="24" l="1"/>
  <c r="T594" i="24" s="1"/>
  <c r="AA594" i="24" s="1"/>
  <c r="AB594" i="24" l="1"/>
  <c r="AC594" i="24"/>
  <c r="R594" i="24"/>
  <c r="W594" i="24" s="1"/>
  <c r="AD594" i="24" l="1"/>
  <c r="B595" i="24" s="1"/>
  <c r="X594" i="24"/>
  <c r="AE594" i="24" s="1"/>
  <c r="C595" i="24" s="1"/>
  <c r="Y594" i="24"/>
  <c r="AF594" i="24" s="1"/>
  <c r="D595" i="24" s="1"/>
  <c r="G595" i="24" l="1"/>
  <c r="I595" i="24"/>
  <c r="H595" i="24"/>
  <c r="F595" i="24"/>
  <c r="V595" i="24"/>
  <c r="AG594" i="24"/>
  <c r="U595" i="24"/>
  <c r="E595" i="24"/>
  <c r="J595" i="24" l="1"/>
  <c r="K595" i="24" s="1"/>
  <c r="O595" i="24" l="1"/>
  <c r="P595" i="24"/>
  <c r="Q595" i="24" s="1"/>
  <c r="L595" i="24"/>
  <c r="M595" i="24" s="1"/>
  <c r="S595" i="24" l="1"/>
  <c r="T595" i="24" s="1"/>
  <c r="AA595" i="24" s="1"/>
  <c r="AB595" i="24" l="1"/>
  <c r="AC595" i="24"/>
  <c r="R595" i="24"/>
  <c r="X595" i="24" s="1"/>
  <c r="AE595" i="24" s="1"/>
  <c r="H596" i="24" s="1"/>
  <c r="W595" i="24" l="1"/>
  <c r="AD595" i="24" s="1"/>
  <c r="G596" i="24" s="1"/>
  <c r="Y595" i="24"/>
  <c r="AF595" i="24" s="1"/>
  <c r="I596" i="24" s="1"/>
  <c r="C596" i="24"/>
  <c r="B596" i="24" l="1"/>
  <c r="F596" i="24" s="1"/>
  <c r="D596" i="24"/>
  <c r="U596" i="24" s="1"/>
  <c r="J596" i="24"/>
  <c r="K596" i="24" s="1"/>
  <c r="E596" i="24" l="1"/>
  <c r="V596" i="24"/>
  <c r="AG595" i="24"/>
  <c r="O596" i="24"/>
  <c r="P596" i="24"/>
  <c r="Q596" i="24" s="1"/>
  <c r="L596" i="24"/>
  <c r="M596" i="24" s="1"/>
  <c r="S596" i="24" l="1"/>
  <c r="T596" i="24" s="1"/>
  <c r="AB596" i="24" s="1"/>
  <c r="AC596" i="24" l="1"/>
  <c r="AA596" i="24"/>
  <c r="R596" i="24"/>
  <c r="X596" i="24" s="1"/>
  <c r="Y596" i="24" l="1"/>
  <c r="AF596" i="24" s="1"/>
  <c r="I597" i="24" s="1"/>
  <c r="W596" i="24"/>
  <c r="AD596" i="24" s="1"/>
  <c r="G597" i="24" s="1"/>
  <c r="AE596" i="24"/>
  <c r="C597" i="24" s="1"/>
  <c r="D597" i="24" l="1"/>
  <c r="V597" i="24" s="1"/>
  <c r="H597" i="24"/>
  <c r="J597" i="24" s="1"/>
  <c r="P597" i="24" s="1"/>
  <c r="Q597" i="24" s="1"/>
  <c r="B597" i="24"/>
  <c r="F597" i="24" s="1"/>
  <c r="U597" i="24" l="1"/>
  <c r="AG596" i="24"/>
  <c r="L597" i="24"/>
  <c r="M597" i="24" s="1"/>
  <c r="O597" i="24"/>
  <c r="E597" i="24"/>
  <c r="K597" i="24"/>
  <c r="S597" i="24" l="1"/>
  <c r="T597" i="24" s="1"/>
  <c r="AC597" i="24" s="1"/>
  <c r="AA597" i="24" l="1"/>
  <c r="AB597" i="24"/>
  <c r="R597" i="24"/>
  <c r="X597" i="24" s="1"/>
  <c r="Y597" i="24" l="1"/>
  <c r="AF597" i="24" s="1"/>
  <c r="I598" i="24" s="1"/>
  <c r="W597" i="24"/>
  <c r="AD597" i="24" s="1"/>
  <c r="B598" i="24" s="1"/>
  <c r="AE597" i="24"/>
  <c r="C598" i="24" s="1"/>
  <c r="G598" i="24" l="1"/>
  <c r="F598" i="24"/>
  <c r="E598" i="24"/>
  <c r="H598" i="24"/>
  <c r="D598" i="24"/>
  <c r="V598" i="24" s="1"/>
  <c r="J598" i="24" l="1"/>
  <c r="K598" i="24" s="1"/>
  <c r="AG597" i="24"/>
  <c r="U598" i="24"/>
  <c r="O598" i="24" l="1"/>
  <c r="L598" i="24"/>
  <c r="M598" i="24" s="1"/>
  <c r="P598" i="24"/>
  <c r="Q598" i="24" s="1"/>
  <c r="S598" i="24" l="1"/>
  <c r="T598" i="24" s="1"/>
  <c r="AA598" i="24" s="1"/>
  <c r="AB598" i="24" l="1"/>
  <c r="AC598" i="24"/>
  <c r="R598" i="24"/>
  <c r="Y598" i="24" s="1"/>
  <c r="AF598" i="24" l="1"/>
  <c r="D599" i="24" s="1"/>
  <c r="U599" i="24" s="1"/>
  <c r="W598" i="24"/>
  <c r="AD598" i="24" s="1"/>
  <c r="B599" i="24" s="1"/>
  <c r="X598" i="24"/>
  <c r="AE598" i="24" s="1"/>
  <c r="H599" i="24" s="1"/>
  <c r="AG598" i="24" l="1"/>
  <c r="V599" i="24"/>
  <c r="I599" i="24"/>
  <c r="G599" i="24"/>
  <c r="C599" i="24"/>
  <c r="F599" i="24" s="1"/>
  <c r="J599" i="24" l="1"/>
  <c r="L599" i="24" s="1"/>
  <c r="M599" i="24" s="1"/>
  <c r="E599" i="24"/>
  <c r="P599" i="24" l="1"/>
  <c r="Q599" i="24" s="1"/>
  <c r="O599" i="24"/>
  <c r="S599" i="24" s="1"/>
  <c r="T599" i="24" s="1"/>
  <c r="AA599" i="24" s="1"/>
  <c r="K599" i="24"/>
  <c r="AC599" i="24" l="1"/>
  <c r="AB599" i="24"/>
  <c r="R599" i="24"/>
  <c r="X599" i="24" s="1"/>
  <c r="AE599" i="24" l="1"/>
  <c r="H600" i="24" s="1"/>
  <c r="Y599" i="24"/>
  <c r="AF599" i="24" s="1"/>
  <c r="D600" i="24" s="1"/>
  <c r="AG599" i="24" s="1"/>
  <c r="W599" i="24"/>
  <c r="AD599" i="24" s="1"/>
  <c r="B600" i="24" s="1"/>
  <c r="C600" i="24" l="1"/>
  <c r="E600" i="24" s="1"/>
  <c r="I600" i="24"/>
  <c r="U600" i="24"/>
  <c r="V600" i="24"/>
  <c r="G600" i="24"/>
  <c r="F600" i="24" l="1"/>
  <c r="J600" i="24"/>
  <c r="P600" i="24" s="1"/>
  <c r="Q600" i="24" s="1"/>
  <c r="L600" i="24" l="1"/>
  <c r="M600" i="24" s="1"/>
  <c r="O600" i="24"/>
  <c r="K600" i="24"/>
  <c r="S600" i="24" l="1"/>
  <c r="T600" i="24" s="1"/>
  <c r="AB600" i="24" s="1"/>
  <c r="AA600" i="24" l="1"/>
  <c r="AC600" i="24"/>
  <c r="R600" i="24"/>
  <c r="X600" i="24" s="1"/>
  <c r="W600" i="24" l="1"/>
  <c r="AD600" i="24" s="1"/>
  <c r="B601" i="24" s="1"/>
  <c r="Y600" i="24"/>
  <c r="AF600" i="24" s="1"/>
  <c r="I601" i="24" s="1"/>
  <c r="AE600" i="24"/>
  <c r="H601" i="24" s="1"/>
  <c r="D601" i="24" l="1"/>
  <c r="U601" i="24" s="1"/>
  <c r="G601" i="24"/>
  <c r="J601" i="24" s="1"/>
  <c r="K601" i="24" s="1"/>
  <c r="C601" i="24"/>
  <c r="F601" i="24" s="1"/>
  <c r="V601" i="24" l="1"/>
  <c r="AG600" i="24"/>
  <c r="E601" i="24"/>
  <c r="O601" i="24"/>
  <c r="P601" i="24"/>
  <c r="Q601" i="24" s="1"/>
  <c r="L601" i="24"/>
  <c r="M601" i="24" s="1"/>
  <c r="S601" i="24" l="1"/>
  <c r="T601" i="24" s="1"/>
  <c r="AC601" i="24" s="1"/>
  <c r="AA601" i="24" l="1"/>
  <c r="AB601" i="24"/>
  <c r="R601" i="24"/>
  <c r="X601" i="24" s="1"/>
  <c r="W601" i="24" l="1"/>
  <c r="AD601" i="24" s="1"/>
  <c r="B602" i="24" s="1"/>
  <c r="Y601" i="24"/>
  <c r="AF601" i="24" s="1"/>
  <c r="I602" i="24" s="1"/>
  <c r="AE601" i="24"/>
  <c r="H602" i="24" s="1"/>
  <c r="D602" i="24" l="1"/>
  <c r="U602" i="24" s="1"/>
  <c r="C602" i="24"/>
  <c r="F602" i="24" s="1"/>
  <c r="G602" i="24"/>
  <c r="J602" i="24" s="1"/>
  <c r="L602" i="24" s="1"/>
  <c r="M602" i="24" s="1"/>
  <c r="AG601" i="24" l="1"/>
  <c r="V602" i="24"/>
  <c r="E602" i="24"/>
  <c r="O602" i="24"/>
  <c r="S602" i="24" s="1"/>
  <c r="T602" i="24" s="1"/>
  <c r="AA602" i="24" s="1"/>
  <c r="K602" i="24"/>
  <c r="P602" i="24"/>
  <c r="Q602" i="24" s="1"/>
  <c r="AC602" i="24" l="1"/>
  <c r="AB602" i="24"/>
  <c r="R602" i="24"/>
  <c r="Y602" i="24" s="1"/>
  <c r="AF602" i="24" l="1"/>
  <c r="I603" i="24" s="1"/>
  <c r="X602" i="24"/>
  <c r="AE602" i="24" s="1"/>
  <c r="W602" i="24"/>
  <c r="AD602" i="24" s="1"/>
  <c r="D603" i="24" l="1"/>
  <c r="AG602" i="24" s="1"/>
  <c r="H603" i="24"/>
  <c r="C603" i="24"/>
  <c r="G603" i="24"/>
  <c r="B603" i="24"/>
  <c r="U603" i="24" l="1"/>
  <c r="V603" i="24"/>
  <c r="E603" i="24"/>
  <c r="J603" i="24"/>
  <c r="L603" i="24" s="1"/>
  <c r="M603" i="24" s="1"/>
  <c r="F603" i="24"/>
  <c r="O603" i="24" l="1"/>
  <c r="S603" i="24" s="1"/>
  <c r="T603" i="24" s="1"/>
  <c r="AA603" i="24" s="1"/>
  <c r="P603" i="24"/>
  <c r="Q603" i="24" s="1"/>
  <c r="K603" i="24"/>
  <c r="AC603" i="24" l="1"/>
  <c r="AB603" i="24"/>
  <c r="R603" i="24"/>
  <c r="W603" i="24" s="1"/>
  <c r="AD603" i="24" l="1"/>
  <c r="G604" i="24" s="1"/>
  <c r="X603" i="24"/>
  <c r="AE603" i="24" s="1"/>
  <c r="C604" i="24" s="1"/>
  <c r="Y603" i="24"/>
  <c r="AF603" i="24" s="1"/>
  <c r="I604" i="24" s="1"/>
  <c r="B604" i="24" l="1"/>
  <c r="E604" i="24" s="1"/>
  <c r="H604" i="24"/>
  <c r="J604" i="24" s="1"/>
  <c r="D604" i="24"/>
  <c r="U604" i="24" s="1"/>
  <c r="F604" i="24" l="1"/>
  <c r="AG603" i="24"/>
  <c r="V604" i="24"/>
  <c r="P604" i="24"/>
  <c r="Q604" i="24" s="1"/>
  <c r="L604" i="24"/>
  <c r="M604" i="24" s="1"/>
  <c r="K604" i="24"/>
  <c r="O604" i="24"/>
  <c r="S604" i="24" l="1"/>
  <c r="T604" i="24" s="1"/>
  <c r="AB604" i="24" s="1"/>
  <c r="AC604" i="24" l="1"/>
  <c r="AA604" i="24"/>
  <c r="R604" i="24"/>
  <c r="Y604" i="24" s="1"/>
  <c r="W604" i="24" l="1"/>
  <c r="AD604" i="24" s="1"/>
  <c r="G605" i="24" s="1"/>
  <c r="X604" i="24"/>
  <c r="AE604" i="24" s="1"/>
  <c r="H605" i="24" s="1"/>
  <c r="AF604" i="24"/>
  <c r="I605" i="24" s="1"/>
  <c r="B605" i="24" l="1"/>
  <c r="D605" i="24"/>
  <c r="V605" i="24" s="1"/>
  <c r="J605" i="24"/>
  <c r="P605" i="24" s="1"/>
  <c r="Q605" i="24" s="1"/>
  <c r="C605" i="24"/>
  <c r="E605" i="24" l="1"/>
  <c r="AG604" i="24"/>
  <c r="U605" i="24"/>
  <c r="O605" i="24"/>
  <c r="L605" i="24"/>
  <c r="M605" i="24" s="1"/>
  <c r="K605" i="24"/>
  <c r="F605" i="24"/>
  <c r="S605" i="24" l="1"/>
  <c r="R605" i="24" s="1"/>
  <c r="X605" i="24" s="1"/>
  <c r="W605" i="24" l="1"/>
  <c r="Y605" i="24"/>
  <c r="T605" i="24"/>
  <c r="AC605" i="24" l="1"/>
  <c r="AB605" i="24"/>
  <c r="AE605" i="24" s="1"/>
  <c r="AA605" i="24"/>
  <c r="AD605" i="24" s="1"/>
  <c r="B606" i="24" s="1"/>
  <c r="AF605" i="24"/>
  <c r="D606" i="24" s="1"/>
  <c r="U606" i="24" s="1"/>
  <c r="C606" i="24" l="1"/>
  <c r="E606" i="24" s="1"/>
  <c r="H606" i="24"/>
  <c r="G606" i="24"/>
  <c r="I606" i="24"/>
  <c r="AG605" i="24"/>
  <c r="V606" i="24"/>
  <c r="F606" i="24" l="1"/>
  <c r="J606" i="24"/>
  <c r="L606" i="24" s="1"/>
  <c r="M606" i="24" s="1"/>
  <c r="O606" i="24" l="1"/>
  <c r="S606" i="24" s="1"/>
  <c r="T606" i="24" s="1"/>
  <c r="AA606" i="24" s="1"/>
  <c r="P606" i="24"/>
  <c r="Q606" i="24" s="1"/>
  <c r="K606" i="24"/>
  <c r="AC606" i="24" l="1"/>
  <c r="AB606" i="24"/>
  <c r="R606" i="24"/>
  <c r="X606" i="24" s="1"/>
  <c r="AE606" i="24" l="1"/>
  <c r="C607" i="24" s="1"/>
  <c r="Y606" i="24"/>
  <c r="AF606" i="24" s="1"/>
  <c r="D607" i="24" s="1"/>
  <c r="AG606" i="24" s="1"/>
  <c r="W606" i="24"/>
  <c r="AD606" i="24" s="1"/>
  <c r="G607" i="24" s="1"/>
  <c r="H607" i="24" l="1"/>
  <c r="U607" i="24"/>
  <c r="I607" i="24"/>
  <c r="B607" i="24"/>
  <c r="F607" i="24" s="1"/>
  <c r="V607" i="24"/>
  <c r="J607" i="24" l="1"/>
  <c r="K607" i="24" s="1"/>
  <c r="E607" i="24"/>
  <c r="O607" i="24" l="1"/>
  <c r="L607" i="24"/>
  <c r="M607" i="24" s="1"/>
  <c r="P607" i="24"/>
  <c r="Q607" i="24" s="1"/>
  <c r="S607" i="24" l="1"/>
  <c r="T607" i="24" s="1"/>
  <c r="AA607" i="24" s="1"/>
  <c r="AB607" i="24" l="1"/>
  <c r="AC607" i="24"/>
  <c r="R607" i="24"/>
  <c r="Y607" i="24" s="1"/>
  <c r="X607" i="24" l="1"/>
  <c r="AE607" i="24" s="1"/>
  <c r="H608" i="24" s="1"/>
  <c r="W607" i="24"/>
  <c r="AD607" i="24" s="1"/>
  <c r="G608" i="24" s="1"/>
  <c r="AF607" i="24"/>
  <c r="D608" i="24" s="1"/>
  <c r="V608" i="24" s="1"/>
  <c r="B608" i="24" l="1"/>
  <c r="AG607" i="24"/>
  <c r="U608" i="24"/>
  <c r="I608" i="24"/>
  <c r="J608" i="24" s="1"/>
  <c r="P608" i="24" s="1"/>
  <c r="Q608" i="24" s="1"/>
  <c r="C608" i="24"/>
  <c r="F608" i="24" l="1"/>
  <c r="O608" i="24"/>
  <c r="L608" i="24"/>
  <c r="M608" i="24" s="1"/>
  <c r="K608" i="24"/>
  <c r="E608" i="24"/>
  <c r="S608" i="24" l="1"/>
  <c r="T608" i="24" s="1"/>
  <c r="AB608" i="24" s="1"/>
  <c r="AC608" i="24" l="1"/>
  <c r="AA608" i="24"/>
  <c r="R608" i="24"/>
  <c r="Y608" i="24" s="1"/>
  <c r="W608" i="24" l="1"/>
  <c r="AD608" i="24" s="1"/>
  <c r="G609" i="24" s="1"/>
  <c r="X608" i="24"/>
  <c r="AE608" i="24" s="1"/>
  <c r="H609" i="24" s="1"/>
  <c r="AF608" i="24"/>
  <c r="I609" i="24" s="1"/>
  <c r="B609" i="24" l="1"/>
  <c r="J609" i="24"/>
  <c r="K609" i="24" s="1"/>
  <c r="C609" i="24"/>
  <c r="D609" i="24"/>
  <c r="U609" i="24" s="1"/>
  <c r="E609" i="24" l="1"/>
  <c r="P609" i="24"/>
  <c r="Q609" i="24" s="1"/>
  <c r="L609" i="24"/>
  <c r="M609" i="24" s="1"/>
  <c r="V609" i="24"/>
  <c r="F609" i="24"/>
  <c r="O609" i="24"/>
  <c r="AG608" i="24"/>
  <c r="S609" i="24" l="1"/>
  <c r="T609" i="24" s="1"/>
  <c r="AC609" i="24" s="1"/>
  <c r="AA609" i="24" l="1"/>
  <c r="AB609" i="24"/>
  <c r="R609" i="24"/>
  <c r="X609" i="24" s="1"/>
  <c r="AE609" i="24" l="1"/>
  <c r="H610" i="24" s="1"/>
  <c r="W609" i="24"/>
  <c r="AD609" i="24" s="1"/>
  <c r="B610" i="24" s="1"/>
  <c r="Y609" i="24"/>
  <c r="AF609" i="24" s="1"/>
  <c r="I610" i="24" s="1"/>
  <c r="C610" i="24" l="1"/>
  <c r="F610" i="24" s="1"/>
  <c r="G610" i="24"/>
  <c r="J610" i="24" s="1"/>
  <c r="P610" i="24" s="1"/>
  <c r="Q610" i="24" s="1"/>
  <c r="D610" i="24"/>
  <c r="U610" i="24" s="1"/>
  <c r="E610" i="24" l="1"/>
  <c r="L610" i="24"/>
  <c r="M610" i="24" s="1"/>
  <c r="K610" i="24"/>
  <c r="AG609" i="24"/>
  <c r="V610" i="24"/>
  <c r="O610" i="24"/>
  <c r="S610" i="24" l="1"/>
  <c r="T610" i="24" s="1"/>
  <c r="AA610" i="24" s="1"/>
  <c r="AC610" i="24" l="1"/>
  <c r="AB610" i="24"/>
  <c r="R610" i="24"/>
  <c r="Y610" i="24" s="1"/>
  <c r="W610" i="24" l="1"/>
  <c r="AD610" i="24" s="1"/>
  <c r="G611" i="24" s="1"/>
  <c r="X610" i="24"/>
  <c r="AE610" i="24" s="1"/>
  <c r="AF610" i="24"/>
  <c r="D611" i="24" s="1"/>
  <c r="AG610" i="24" s="1"/>
  <c r="B611" i="24" l="1"/>
  <c r="I611" i="24"/>
  <c r="V611" i="24"/>
  <c r="H611" i="24"/>
  <c r="C611" i="24"/>
  <c r="U611" i="24"/>
  <c r="E611" i="24" l="1"/>
  <c r="J611" i="24"/>
  <c r="K611" i="24" s="1"/>
  <c r="F611" i="24"/>
  <c r="O611" i="24" l="1"/>
  <c r="P611" i="24"/>
  <c r="Q611" i="24" s="1"/>
  <c r="L611" i="24"/>
  <c r="M611" i="24" s="1"/>
  <c r="S611" i="24" l="1"/>
  <c r="T611" i="24" s="1"/>
  <c r="AA611" i="24" s="1"/>
  <c r="AB611" i="24" l="1"/>
  <c r="AC611" i="24"/>
  <c r="R611" i="24"/>
  <c r="W611" i="24" s="1"/>
  <c r="AD611" i="24" l="1"/>
  <c r="B612" i="24" s="1"/>
  <c r="X611" i="24"/>
  <c r="AE611" i="24" s="1"/>
  <c r="C612" i="24" s="1"/>
  <c r="Y611" i="24"/>
  <c r="AF611" i="24" s="1"/>
  <c r="D612" i="24" s="1"/>
  <c r="V612" i="24" s="1"/>
  <c r="H612" i="24" l="1"/>
  <c r="E612" i="24"/>
  <c r="G612" i="24"/>
  <c r="F612" i="24"/>
  <c r="I612" i="24"/>
  <c r="AG611" i="24"/>
  <c r="U612" i="24"/>
  <c r="J612" i="24" l="1"/>
  <c r="P612" i="24" s="1"/>
  <c r="Q612" i="24" s="1"/>
  <c r="K612" i="24" l="1"/>
  <c r="O612" i="24"/>
  <c r="L612" i="24"/>
  <c r="M612" i="24" s="1"/>
  <c r="S612" i="24" l="1"/>
  <c r="T612" i="24" s="1"/>
  <c r="AB612" i="24" s="1"/>
  <c r="AC612" i="24" l="1"/>
  <c r="AA612" i="24"/>
  <c r="R612" i="24"/>
  <c r="Y612" i="24" s="1"/>
  <c r="AF612" i="24" l="1"/>
  <c r="I613" i="24" s="1"/>
  <c r="W612" i="24"/>
  <c r="AD612" i="24" s="1"/>
  <c r="G613" i="24" s="1"/>
  <c r="X612" i="24"/>
  <c r="AE612" i="24" s="1"/>
  <c r="C613" i="24" s="1"/>
  <c r="D613" i="24"/>
  <c r="U613" i="24" s="1"/>
  <c r="B613" i="24" l="1"/>
  <c r="E613" i="24" s="1"/>
  <c r="H613" i="24"/>
  <c r="J613" i="24" s="1"/>
  <c r="P613" i="24" s="1"/>
  <c r="Q613" i="24" s="1"/>
  <c r="V613" i="24"/>
  <c r="AG612" i="24"/>
  <c r="F613" i="24" l="1"/>
  <c r="O613" i="24"/>
  <c r="L613" i="24"/>
  <c r="M613" i="24" s="1"/>
  <c r="K613" i="24"/>
  <c r="S613" i="24" l="1"/>
  <c r="T613" i="24" s="1"/>
  <c r="AC613" i="24" s="1"/>
  <c r="AB613" i="24" l="1"/>
  <c r="AA613" i="24"/>
  <c r="R613" i="24"/>
  <c r="W613" i="24" s="1"/>
  <c r="AD613" i="24" s="1"/>
  <c r="G614" i="24" s="1"/>
  <c r="Y613" i="24" l="1"/>
  <c r="AF613" i="24" s="1"/>
  <c r="D614" i="24" s="1"/>
  <c r="V614" i="24" s="1"/>
  <c r="X613" i="24"/>
  <c r="AE613" i="24" s="1"/>
  <c r="H614" i="24" s="1"/>
  <c r="B614" i="24"/>
  <c r="C614" i="24" l="1"/>
  <c r="I614" i="24"/>
  <c r="J614" i="24" s="1"/>
  <c r="F614" i="24"/>
  <c r="E614" i="24"/>
  <c r="U614" i="24"/>
  <c r="AG613" i="24"/>
  <c r="P614" i="24" l="1"/>
  <c r="Q614" i="24" s="1"/>
  <c r="O614" i="24"/>
  <c r="K614" i="24"/>
  <c r="L614" i="24"/>
  <c r="M614" i="24" s="1"/>
  <c r="S614" i="24" l="1"/>
  <c r="T614" i="24" s="1"/>
  <c r="R614" i="24"/>
  <c r="X614" i="24" s="1"/>
  <c r="AA614" i="24" l="1"/>
  <c r="AB614" i="24"/>
  <c r="AE614" i="24" s="1"/>
  <c r="AC614" i="24"/>
  <c r="W614" i="24"/>
  <c r="AD614" i="24" s="1"/>
  <c r="B615" i="24" s="1"/>
  <c r="Y614" i="24"/>
  <c r="C615" i="24" l="1"/>
  <c r="H615" i="24"/>
  <c r="AF614" i="24"/>
  <c r="I615" i="24" s="1"/>
  <c r="F615" i="24"/>
  <c r="G615" i="24"/>
  <c r="E615" i="24"/>
  <c r="D615" i="24" l="1"/>
  <c r="U615" i="24" s="1"/>
  <c r="J615" i="24"/>
  <c r="L615" i="24" s="1"/>
  <c r="M615" i="24" s="1"/>
  <c r="V615" i="24"/>
  <c r="AG614" i="24"/>
  <c r="P615" i="24"/>
  <c r="Q615" i="24" s="1"/>
  <c r="O615" i="24" l="1"/>
  <c r="S615" i="24" s="1"/>
  <c r="K615" i="24"/>
  <c r="T615" i="24" l="1"/>
  <c r="R615" i="24"/>
  <c r="X615" i="24" s="1"/>
  <c r="AC615" i="24"/>
  <c r="AB615" i="24"/>
  <c r="AA615" i="24"/>
  <c r="W615" i="24"/>
  <c r="Y615" i="24" l="1"/>
  <c r="AF615" i="24"/>
  <c r="I616" i="24" s="1"/>
  <c r="AD615" i="24"/>
  <c r="B616" i="24" s="1"/>
  <c r="AE615" i="24"/>
  <c r="D616" i="24" l="1"/>
  <c r="U616" i="24" s="1"/>
  <c r="G616" i="24"/>
  <c r="H616" i="24"/>
  <c r="C616" i="24"/>
  <c r="F616" i="24" s="1"/>
  <c r="V616" i="24" l="1"/>
  <c r="AG615" i="24"/>
  <c r="J616" i="24"/>
  <c r="P616" i="24" s="1"/>
  <c r="Q616" i="24" s="1"/>
  <c r="E616" i="24"/>
  <c r="O616" i="24" l="1"/>
  <c r="K616" i="24"/>
  <c r="L616" i="24"/>
  <c r="M616" i="24" s="1"/>
  <c r="S616" i="24" l="1"/>
  <c r="T616" i="24" s="1"/>
  <c r="AB616" i="24" s="1"/>
  <c r="AC616" i="24" l="1"/>
  <c r="AA616" i="24"/>
  <c r="R616" i="24"/>
  <c r="X616" i="24" s="1"/>
  <c r="AE616" i="24" s="1"/>
  <c r="Y616" i="24" l="1"/>
  <c r="AF616" i="24" s="1"/>
  <c r="W616" i="24"/>
  <c r="AD616" i="24" s="1"/>
  <c r="G617" i="24" s="1"/>
  <c r="H617" i="24"/>
  <c r="C617" i="24"/>
  <c r="I617" i="24" l="1"/>
  <c r="J617" i="24" s="1"/>
  <c r="D617" i="24"/>
  <c r="U617" i="24" s="1"/>
  <c r="B617" i="24"/>
  <c r="E617" i="24" s="1"/>
  <c r="V617" i="24" l="1"/>
  <c r="O617" i="24"/>
  <c r="F617" i="24"/>
  <c r="AG616" i="24"/>
  <c r="L617" i="24"/>
  <c r="M617" i="24" s="1"/>
  <c r="K617" i="24"/>
  <c r="P617" i="24"/>
  <c r="Q617" i="24" s="1"/>
  <c r="S617" i="24" l="1"/>
  <c r="T617" i="24" s="1"/>
  <c r="AC617" i="24" s="1"/>
  <c r="AA617" i="24" l="1"/>
  <c r="AB617" i="24"/>
  <c r="R617" i="24"/>
  <c r="W617" i="24" s="1"/>
  <c r="AD617" i="24" l="1"/>
  <c r="B618" i="24" s="1"/>
  <c r="Y617" i="24"/>
  <c r="AF617" i="24" s="1"/>
  <c r="I618" i="24" s="1"/>
  <c r="X617" i="24"/>
  <c r="AE617" i="24" s="1"/>
  <c r="C618" i="24" s="1"/>
  <c r="E618" i="24" s="1"/>
  <c r="G618" i="24"/>
  <c r="D618" i="24" l="1"/>
  <c r="AG617" i="24" s="1"/>
  <c r="H618" i="24"/>
  <c r="J618" i="24" s="1"/>
  <c r="F618" i="24"/>
  <c r="O618" i="24" l="1"/>
  <c r="U618" i="24"/>
  <c r="V618" i="24"/>
  <c r="K618" i="24"/>
  <c r="P618" i="24"/>
  <c r="Q618" i="24" s="1"/>
  <c r="L618" i="24"/>
  <c r="M618" i="24" s="1"/>
  <c r="S618" i="24" l="1"/>
  <c r="T618" i="24" s="1"/>
  <c r="AA618" i="24" s="1"/>
  <c r="AC618" i="24" l="1"/>
  <c r="AB618" i="24"/>
  <c r="R618" i="24"/>
  <c r="Y618" i="24" s="1"/>
  <c r="AF618" i="24" s="1"/>
  <c r="I619" i="24" s="1"/>
  <c r="W618" i="24" l="1"/>
  <c r="AD618" i="24" s="1"/>
  <c r="G619" i="24" s="1"/>
  <c r="X618" i="24"/>
  <c r="AE618" i="24" s="1"/>
  <c r="C619" i="24" s="1"/>
  <c r="D619" i="24"/>
  <c r="U619" i="24" s="1"/>
  <c r="B619" i="24"/>
  <c r="E619" i="24" l="1"/>
  <c r="H619" i="24"/>
  <c r="J619" i="24" s="1"/>
  <c r="O619" i="24" s="1"/>
  <c r="AG618" i="24"/>
  <c r="V619" i="24"/>
  <c r="F619" i="24"/>
  <c r="L619" i="24" l="1"/>
  <c r="M619" i="24" s="1"/>
  <c r="K619" i="24"/>
  <c r="P619" i="24"/>
  <c r="Q619" i="24" s="1"/>
  <c r="S619" i="24"/>
  <c r="T619" i="24" s="1"/>
  <c r="AB619" i="24" s="1"/>
  <c r="AC619" i="24" l="1"/>
  <c r="AA619" i="24"/>
  <c r="R619" i="24"/>
  <c r="W619" i="24" s="1"/>
  <c r="AD619" i="24" s="1"/>
  <c r="Y619" i="24" l="1"/>
  <c r="AF619" i="24" s="1"/>
  <c r="X619" i="24"/>
  <c r="AE619" i="24" s="1"/>
  <c r="H620" i="24" s="1"/>
  <c r="D620" i="24"/>
  <c r="I620" i="24"/>
  <c r="B620" i="24"/>
  <c r="G620" i="24"/>
  <c r="C620" i="24" l="1"/>
  <c r="E620" i="24" s="1"/>
  <c r="J620" i="24"/>
  <c r="U620" i="24"/>
  <c r="V620" i="24"/>
  <c r="AG619" i="24"/>
  <c r="F620" i="24" l="1"/>
  <c r="O620" i="24"/>
  <c r="L620" i="24"/>
  <c r="M620" i="24" s="1"/>
  <c r="P620" i="24"/>
  <c r="Q620" i="24" s="1"/>
  <c r="K620" i="24"/>
  <c r="S620" i="24" l="1"/>
  <c r="T620" i="24" s="1"/>
  <c r="AB620" i="24" s="1"/>
  <c r="AC620" i="24" l="1"/>
  <c r="AA620" i="24"/>
  <c r="R620" i="24"/>
  <c r="X620" i="24" s="1"/>
  <c r="AE620" i="24" l="1"/>
  <c r="H621" i="24" s="1"/>
  <c r="Y620" i="24"/>
  <c r="AF620" i="24" s="1"/>
  <c r="I621" i="24" s="1"/>
  <c r="W620" i="24"/>
  <c r="AD620" i="24" s="1"/>
  <c r="B621" i="24" s="1"/>
  <c r="C621" i="24" l="1"/>
  <c r="E621" i="24" s="1"/>
  <c r="D621" i="24"/>
  <c r="U621" i="24" s="1"/>
  <c r="G621" i="24"/>
  <c r="J621" i="24" s="1"/>
  <c r="K621" i="24" s="1"/>
  <c r="F621" i="24" l="1"/>
  <c r="AG620" i="24"/>
  <c r="V621" i="24"/>
  <c r="P621" i="24"/>
  <c r="Q621" i="24" s="1"/>
  <c r="L621" i="24"/>
  <c r="M621" i="24" s="1"/>
  <c r="O621" i="24"/>
  <c r="S621" i="24" l="1"/>
  <c r="T621" i="24" s="1"/>
  <c r="AC621" i="24" s="1"/>
  <c r="AA621" i="24" l="1"/>
  <c r="AB621" i="24"/>
  <c r="R621" i="24"/>
  <c r="X621" i="24" s="1"/>
  <c r="W621" i="24" l="1"/>
  <c r="AD621" i="24" s="1"/>
  <c r="G622" i="24" s="1"/>
  <c r="Y621" i="24"/>
  <c r="AF621" i="24" s="1"/>
  <c r="I622" i="24" s="1"/>
  <c r="AE621" i="24"/>
  <c r="C622" i="24" s="1"/>
  <c r="B622" i="24" l="1"/>
  <c r="F622" i="24" s="1"/>
  <c r="H622" i="24"/>
  <c r="J622" i="24" s="1"/>
  <c r="P622" i="24" s="1"/>
  <c r="Q622" i="24" s="1"/>
  <c r="D622" i="24"/>
  <c r="V622" i="24" s="1"/>
  <c r="E622" i="24" l="1"/>
  <c r="AG621" i="24"/>
  <c r="K622" i="24"/>
  <c r="U622" i="24"/>
  <c r="L622" i="24"/>
  <c r="M622" i="24" s="1"/>
  <c r="O622" i="24"/>
  <c r="S622" i="24" l="1"/>
  <c r="T622" i="24" s="1"/>
  <c r="AA622" i="24" s="1"/>
  <c r="AB622" i="24" l="1"/>
  <c r="AC622" i="24"/>
  <c r="R622" i="24"/>
  <c r="W622" i="24" s="1"/>
  <c r="AD622" i="24" l="1"/>
  <c r="B623" i="24" s="1"/>
  <c r="X622" i="24"/>
  <c r="AE622" i="24" s="1"/>
  <c r="H623" i="24" s="1"/>
  <c r="Y622" i="24"/>
  <c r="AF622" i="24" s="1"/>
  <c r="G623" i="24" l="1"/>
  <c r="I623" i="24"/>
  <c r="D623" i="24"/>
  <c r="V623" i="24" s="1"/>
  <c r="C623" i="24"/>
  <c r="F623" i="24" s="1"/>
  <c r="J623" i="24" l="1"/>
  <c r="P623" i="24" s="1"/>
  <c r="Q623" i="24" s="1"/>
  <c r="U623" i="24"/>
  <c r="AG622" i="24"/>
  <c r="E623" i="24"/>
  <c r="L623" i="24" l="1"/>
  <c r="M623" i="24" s="1"/>
  <c r="K623" i="24"/>
  <c r="O623" i="24"/>
  <c r="S623" i="24" l="1"/>
  <c r="T623" i="24" s="1"/>
  <c r="AA623" i="24" s="1"/>
  <c r="AC623" i="24" l="1"/>
  <c r="AB623" i="24"/>
  <c r="R623" i="24"/>
  <c r="Y623" i="24" s="1"/>
  <c r="AF623" i="24" s="1"/>
  <c r="I624" i="24" s="1"/>
  <c r="X623" i="24" l="1"/>
  <c r="W623" i="24"/>
  <c r="AD623" i="24" s="1"/>
  <c r="B624" i="24" s="1"/>
  <c r="AE623" i="24"/>
  <c r="C624" i="24" s="1"/>
  <c r="D624" i="24"/>
  <c r="V624" i="24" s="1"/>
  <c r="H624" i="24" l="1"/>
  <c r="G624" i="24"/>
  <c r="J624" i="24" s="1"/>
  <c r="K624" i="24" s="1"/>
  <c r="F624" i="24"/>
  <c r="E624" i="24"/>
  <c r="U624" i="24"/>
  <c r="AG623" i="24"/>
  <c r="P624" i="24" l="1"/>
  <c r="Q624" i="24" s="1"/>
  <c r="L624" i="24"/>
  <c r="M624" i="24" s="1"/>
  <c r="O624" i="24"/>
  <c r="S624" i="24" l="1"/>
  <c r="T624" i="24" s="1"/>
  <c r="AB624" i="24" s="1"/>
  <c r="AC624" i="24" l="1"/>
  <c r="AA624" i="24"/>
  <c r="R624" i="24"/>
  <c r="X624" i="24" s="1"/>
  <c r="AE624" i="24" s="1"/>
  <c r="H625" i="24" s="1"/>
  <c r="W624" i="24" l="1"/>
  <c r="AD624" i="24" s="1"/>
  <c r="B625" i="24" s="1"/>
  <c r="Y624" i="24"/>
  <c r="AF624" i="24" s="1"/>
  <c r="D625" i="24" s="1"/>
  <c r="AG624" i="24" s="1"/>
  <c r="C625" i="24"/>
  <c r="F625" i="24" l="1"/>
  <c r="G625" i="24"/>
  <c r="U625" i="24"/>
  <c r="V625" i="24"/>
  <c r="I625" i="24"/>
  <c r="E625" i="24"/>
  <c r="J625" i="24" l="1"/>
  <c r="L625" i="24" s="1"/>
  <c r="M625" i="24" s="1"/>
  <c r="O625" i="24"/>
  <c r="P625" i="24"/>
  <c r="Q625" i="24" s="1"/>
  <c r="K625" i="24"/>
  <c r="S625" i="24" l="1"/>
  <c r="T625" i="24" s="1"/>
  <c r="AB625" i="24"/>
  <c r="AC625" i="24"/>
  <c r="AA625" i="24"/>
  <c r="R625" i="24"/>
  <c r="W625" i="24" s="1"/>
  <c r="AD625" i="24" l="1"/>
  <c r="Y625" i="24"/>
  <c r="AF625" i="24" s="1"/>
  <c r="D626" i="24" s="1"/>
  <c r="AG625" i="24" s="1"/>
  <c r="X625" i="24"/>
  <c r="AE625" i="24" s="1"/>
  <c r="C626" i="24" s="1"/>
  <c r="G626" i="24"/>
  <c r="B626" i="24"/>
  <c r="V626" i="24" l="1"/>
  <c r="U626" i="24"/>
  <c r="I626" i="24"/>
  <c r="H626" i="24"/>
  <c r="E626" i="24"/>
  <c r="F626" i="24"/>
  <c r="J626" i="24" l="1"/>
  <c r="L626" i="24" s="1"/>
  <c r="M626" i="24" s="1"/>
  <c r="O626" i="24"/>
  <c r="S626" i="24" s="1"/>
  <c r="T626" i="24" s="1"/>
  <c r="AA626" i="24" s="1"/>
  <c r="P626" i="24"/>
  <c r="Q626" i="24" s="1"/>
  <c r="K626" i="24"/>
  <c r="AC626" i="24" l="1"/>
  <c r="AB626" i="24"/>
  <c r="R626" i="24"/>
  <c r="X626" i="24" s="1"/>
  <c r="AE626" i="24" l="1"/>
  <c r="H627" i="24" s="1"/>
  <c r="Y626" i="24"/>
  <c r="AF626" i="24" s="1"/>
  <c r="I627" i="24" s="1"/>
  <c r="W626" i="24"/>
  <c r="AD626" i="24" s="1"/>
  <c r="C627" i="24"/>
  <c r="D627" i="24" l="1"/>
  <c r="B627" i="24"/>
  <c r="F627" i="24" s="1"/>
  <c r="G627" i="24"/>
  <c r="J627" i="24" s="1"/>
  <c r="P627" i="24" s="1"/>
  <c r="Q627" i="24" s="1"/>
  <c r="E627" i="24"/>
  <c r="U627" i="24"/>
  <c r="V627" i="24"/>
  <c r="AG626" i="24"/>
  <c r="L627" i="24" l="1"/>
  <c r="M627" i="24" s="1"/>
  <c r="O627" i="24"/>
  <c r="K627" i="24"/>
  <c r="S627" i="24" l="1"/>
  <c r="T627" i="24" s="1"/>
  <c r="AA627" i="24" s="1"/>
  <c r="AB627" i="24" l="1"/>
  <c r="AC627" i="24"/>
  <c r="R627" i="24"/>
  <c r="W627" i="24" s="1"/>
  <c r="X627" i="24" l="1"/>
  <c r="AE627" i="24" s="1"/>
  <c r="Y627" i="24"/>
  <c r="AF627" i="24" s="1"/>
  <c r="AD627" i="24"/>
  <c r="B628" i="24" s="1"/>
  <c r="G628" i="24" l="1"/>
  <c r="D628" i="24"/>
  <c r="I628" i="24"/>
  <c r="C628" i="24"/>
  <c r="F628" i="24" s="1"/>
  <c r="H628" i="24"/>
  <c r="J628" i="24" l="1"/>
  <c r="O628" i="24" s="1"/>
  <c r="E628" i="24"/>
  <c r="U628" i="24"/>
  <c r="V628" i="24"/>
  <c r="AG627" i="24"/>
  <c r="K628" i="24" l="1"/>
  <c r="L628" i="24"/>
  <c r="M628" i="24" s="1"/>
  <c r="P628" i="24"/>
  <c r="Q628" i="24" s="1"/>
  <c r="S628" i="24" l="1"/>
  <c r="T628" i="24" s="1"/>
  <c r="AB628" i="24" s="1"/>
  <c r="AC628" i="24"/>
  <c r="AA628" i="24"/>
  <c r="R628" i="24"/>
  <c r="W628" i="24" l="1"/>
  <c r="AD628" i="24" s="1"/>
  <c r="Y628" i="24"/>
  <c r="AF628" i="24" s="1"/>
  <c r="X628" i="24"/>
  <c r="AE628" i="24" s="1"/>
  <c r="H629" i="24" l="1"/>
  <c r="C629" i="24"/>
  <c r="I629" i="24"/>
  <c r="D629" i="24"/>
  <c r="G629" i="24"/>
  <c r="B629" i="24"/>
  <c r="E629" i="24" l="1"/>
  <c r="U629" i="24"/>
  <c r="V629" i="24"/>
  <c r="AG628" i="24"/>
  <c r="F629" i="24"/>
  <c r="J629" i="24"/>
  <c r="O629" i="24" s="1"/>
  <c r="P629" i="24" l="1"/>
  <c r="Q629" i="24" s="1"/>
  <c r="K629" i="24"/>
  <c r="L629" i="24"/>
  <c r="M629" i="24" s="1"/>
  <c r="S629" i="24" l="1"/>
  <c r="T629" i="24" s="1"/>
  <c r="AC629" i="24" s="1"/>
  <c r="AA629" i="24"/>
  <c r="AB629" i="24"/>
  <c r="R629" i="24"/>
  <c r="Y629" i="24" s="1"/>
  <c r="AF629" i="24" l="1"/>
  <c r="D630" i="24" s="1"/>
  <c r="W629" i="24"/>
  <c r="AD629" i="24" s="1"/>
  <c r="X629" i="24"/>
  <c r="AE629" i="24" s="1"/>
  <c r="I630" i="24" l="1"/>
  <c r="G630" i="24"/>
  <c r="B630" i="24"/>
  <c r="C630" i="24"/>
  <c r="H630" i="24"/>
  <c r="V630" i="24"/>
  <c r="AG629" i="24"/>
  <c r="U630" i="24"/>
  <c r="J630" i="24" l="1"/>
  <c r="L630" i="24" s="1"/>
  <c r="M630" i="24" s="1"/>
  <c r="F630" i="24"/>
  <c r="E630" i="24"/>
  <c r="O630" i="24" l="1"/>
  <c r="S630" i="24" s="1"/>
  <c r="T630" i="24" s="1"/>
  <c r="AA630" i="24" s="1"/>
  <c r="K630" i="24"/>
  <c r="P630" i="24"/>
  <c r="Q630" i="24" s="1"/>
  <c r="AC630" i="24" l="1"/>
  <c r="AB630" i="24"/>
  <c r="R630" i="24"/>
  <c r="X630" i="24" s="1"/>
  <c r="W630" i="24" l="1"/>
  <c r="AD630" i="24" s="1"/>
  <c r="Y630" i="24"/>
  <c r="AF630" i="24" s="1"/>
  <c r="AE630" i="24"/>
  <c r="H631" i="24" s="1"/>
  <c r="C631" i="24" l="1"/>
  <c r="D631" i="24"/>
  <c r="I631" i="24"/>
  <c r="B631" i="24"/>
  <c r="G631" i="24"/>
  <c r="E631" i="24" l="1"/>
  <c r="J631" i="24"/>
  <c r="O631" i="24" s="1"/>
  <c r="F631" i="24"/>
  <c r="V631" i="24"/>
  <c r="AG630" i="24"/>
  <c r="U631" i="24"/>
  <c r="P631" i="24" l="1"/>
  <c r="Q631" i="24" s="1"/>
  <c r="K631" i="24"/>
  <c r="L631" i="24"/>
  <c r="M631" i="24" s="1"/>
  <c r="S631" i="24" l="1"/>
  <c r="T631" i="24"/>
  <c r="AA631" i="24" s="1"/>
  <c r="R631" i="24"/>
  <c r="AC631" i="24" l="1"/>
  <c r="AB631" i="24"/>
  <c r="W631" i="24"/>
  <c r="Y631" i="24"/>
  <c r="X631" i="24"/>
  <c r="AE631" i="24" l="1"/>
  <c r="AF631" i="24"/>
  <c r="AD631" i="24"/>
  <c r="B632" i="24" l="1"/>
  <c r="G632" i="24"/>
  <c r="I632" i="24"/>
  <c r="D632" i="24"/>
  <c r="H632" i="24"/>
  <c r="C632" i="24"/>
  <c r="E632" i="24" l="1"/>
  <c r="V632" i="24"/>
  <c r="U632" i="24"/>
  <c r="AG631" i="24"/>
  <c r="F632" i="24"/>
  <c r="J632" i="24"/>
  <c r="O632" i="24" l="1"/>
  <c r="L632" i="24"/>
  <c r="M632" i="24" s="1"/>
  <c r="P632" i="24"/>
  <c r="Q632" i="24" s="1"/>
  <c r="K632" i="24"/>
  <c r="S632" i="24" l="1"/>
  <c r="T632" i="24" s="1"/>
  <c r="AB632" i="24" s="1"/>
  <c r="AC632" i="24" l="1"/>
  <c r="AA632" i="24"/>
  <c r="R632" i="24"/>
  <c r="W632" i="24" s="1"/>
  <c r="AD632" i="24" s="1"/>
  <c r="X632" i="24" l="1"/>
  <c r="AE632" i="24" s="1"/>
  <c r="C633" i="24" s="1"/>
  <c r="Y632" i="24"/>
  <c r="AF632" i="24" s="1"/>
  <c r="D633" i="24" s="1"/>
  <c r="U633" i="24" s="1"/>
  <c r="B633" i="24"/>
  <c r="G633" i="24"/>
  <c r="H633" i="24" l="1"/>
  <c r="AG632" i="24"/>
  <c r="V633" i="24"/>
  <c r="I633" i="24"/>
  <c r="F633" i="24"/>
  <c r="E633" i="24"/>
  <c r="J633" i="24" l="1"/>
  <c r="P633" i="24" s="1"/>
  <c r="Q633" i="24" s="1"/>
  <c r="O633" i="24" l="1"/>
  <c r="L633" i="24"/>
  <c r="M633" i="24" s="1"/>
  <c r="K633" i="24"/>
  <c r="S633" i="24" l="1"/>
  <c r="T633" i="24" s="1"/>
  <c r="AC633" i="24" s="1"/>
  <c r="AB633" i="24" l="1"/>
  <c r="AA633" i="24"/>
  <c r="R633" i="24"/>
  <c r="W633" i="24" s="1"/>
  <c r="AD633" i="24" s="1"/>
  <c r="G634" i="24" s="1"/>
  <c r="Y633" i="24" l="1"/>
  <c r="X633" i="24"/>
  <c r="AE633" i="24" s="1"/>
  <c r="AF633" i="24"/>
  <c r="I634" i="24" s="1"/>
  <c r="B634" i="24"/>
  <c r="H634" i="24" l="1"/>
  <c r="C634" i="24"/>
  <c r="E634" i="24" s="1"/>
  <c r="J634" i="24"/>
  <c r="P634" i="24" s="1"/>
  <c r="Q634" i="24" s="1"/>
  <c r="D634" i="24"/>
  <c r="AG633" i="24" s="1"/>
  <c r="L634" i="24" l="1"/>
  <c r="M634" i="24" s="1"/>
  <c r="F634" i="24"/>
  <c r="K634" i="24"/>
  <c r="O634" i="24"/>
  <c r="S634" i="24" s="1"/>
  <c r="T634" i="24" s="1"/>
  <c r="AC634" i="24" s="1"/>
  <c r="V634" i="24"/>
  <c r="U634" i="24"/>
  <c r="AB634" i="24" l="1"/>
  <c r="AA634" i="24"/>
  <c r="R634" i="24"/>
  <c r="Y634" i="24" s="1"/>
  <c r="X634" i="24" l="1"/>
  <c r="AE634" i="24" s="1"/>
  <c r="C635" i="24" s="1"/>
  <c r="W634" i="24"/>
  <c r="AD634" i="24" s="1"/>
  <c r="B635" i="24" s="1"/>
  <c r="AF634" i="24"/>
  <c r="D635" i="24" s="1"/>
  <c r="I635" i="24" l="1"/>
  <c r="G635" i="24"/>
  <c r="F635" i="24"/>
  <c r="V635" i="24"/>
  <c r="U635" i="24"/>
  <c r="E635" i="24"/>
  <c r="H635" i="24"/>
  <c r="AG634" i="24"/>
  <c r="J635" i="24" l="1"/>
  <c r="L635" i="24" s="1"/>
  <c r="M635" i="24" s="1"/>
  <c r="O635" i="24" l="1"/>
  <c r="S635" i="24" s="1"/>
  <c r="T635" i="24" s="1"/>
  <c r="AA635" i="24" s="1"/>
  <c r="K635" i="24"/>
  <c r="P635" i="24"/>
  <c r="Q635" i="24" s="1"/>
  <c r="AB635" i="24" l="1"/>
  <c r="AC635" i="24"/>
  <c r="R635" i="24"/>
  <c r="X635" i="24" s="1"/>
  <c r="AE635" i="24" s="1"/>
  <c r="C636" i="24" s="1"/>
  <c r="H636" i="24" l="1"/>
  <c r="W635" i="24"/>
  <c r="AD635" i="24" s="1"/>
  <c r="G636" i="24" s="1"/>
  <c r="Y635" i="24"/>
  <c r="AF635" i="24" s="1"/>
  <c r="D636" i="24" s="1"/>
  <c r="AG635" i="24" s="1"/>
  <c r="I636" i="24" l="1"/>
  <c r="J636" i="24" s="1"/>
  <c r="P636" i="24" s="1"/>
  <c r="Q636" i="24" s="1"/>
  <c r="B636" i="24"/>
  <c r="E636" i="24" s="1"/>
  <c r="V636" i="24"/>
  <c r="U636" i="24"/>
  <c r="O636" i="24" l="1"/>
  <c r="K636" i="24"/>
  <c r="L636" i="24"/>
  <c r="M636" i="24" s="1"/>
  <c r="F636" i="24"/>
  <c r="S636" i="24" l="1"/>
  <c r="T636" i="24" s="1"/>
  <c r="AB636" i="24" s="1"/>
  <c r="AC636" i="24" l="1"/>
  <c r="AA636" i="24"/>
  <c r="R636" i="24"/>
  <c r="X636" i="24" s="1"/>
  <c r="AE636" i="24" s="1"/>
  <c r="W636" i="24" l="1"/>
  <c r="Y636" i="24"/>
  <c r="AF636" i="24" s="1"/>
  <c r="D637" i="24" s="1"/>
  <c r="AG636" i="24" s="1"/>
  <c r="AD636" i="24"/>
  <c r="B637" i="24" s="1"/>
  <c r="H637" i="24"/>
  <c r="C637" i="24"/>
  <c r="U637" i="24" l="1"/>
  <c r="V637" i="24"/>
  <c r="I637" i="24"/>
  <c r="F637" i="24"/>
  <c r="G637" i="24"/>
  <c r="E637" i="24"/>
  <c r="J637" i="24" l="1"/>
  <c r="P637" i="24" s="1"/>
  <c r="Q637" i="24" s="1"/>
  <c r="O637" i="24"/>
  <c r="L637" i="24"/>
  <c r="M637" i="24" s="1"/>
  <c r="K637" i="24"/>
  <c r="S637" i="24" l="1"/>
  <c r="T637" i="24"/>
  <c r="AC637" i="24" s="1"/>
  <c r="R637" i="24"/>
  <c r="X637" i="24" s="1"/>
  <c r="AA637" i="24" l="1"/>
  <c r="AB637" i="24"/>
  <c r="AE637" i="24" s="1"/>
  <c r="H638" i="24" s="1"/>
  <c r="W637" i="24"/>
  <c r="AD637" i="24" s="1"/>
  <c r="G638" i="24" s="1"/>
  <c r="Y637" i="24"/>
  <c r="C638" i="24" l="1"/>
  <c r="AF637" i="24"/>
  <c r="I638" i="24" s="1"/>
  <c r="J638" i="24" s="1"/>
  <c r="K638" i="24" s="1"/>
  <c r="B638" i="24"/>
  <c r="E638" i="24" l="1"/>
  <c r="D638" i="24"/>
  <c r="AG637" i="24" s="1"/>
  <c r="L638" i="24"/>
  <c r="M638" i="24" s="1"/>
  <c r="P638" i="24"/>
  <c r="Q638" i="24" s="1"/>
  <c r="F638" i="24"/>
  <c r="V638" i="24" l="1"/>
  <c r="U638" i="24"/>
  <c r="O638" i="24"/>
  <c r="S638" i="24" s="1"/>
  <c r="T638" i="24" l="1"/>
  <c r="R638" i="24"/>
  <c r="Y638" i="24" s="1"/>
  <c r="AA638" i="24" l="1"/>
  <c r="AB638" i="24"/>
  <c r="AC638" i="24"/>
  <c r="AF638" i="24" s="1"/>
  <c r="D639" i="24" s="1"/>
  <c r="U639" i="24" s="1"/>
  <c r="X638" i="24"/>
  <c r="W638" i="24"/>
  <c r="AD638" i="24" s="1"/>
  <c r="AE638" i="24" l="1"/>
  <c r="C639" i="24" s="1"/>
  <c r="G639" i="24"/>
  <c r="B639" i="24"/>
  <c r="E639" i="24" s="1"/>
  <c r="V639" i="24"/>
  <c r="I639" i="24"/>
  <c r="H639" i="24"/>
  <c r="AG638" i="24"/>
  <c r="F639" i="24" l="1"/>
  <c r="J639" i="24"/>
  <c r="L639" i="24" s="1"/>
  <c r="M639" i="24" s="1"/>
  <c r="O639" i="24" l="1"/>
  <c r="S639" i="24" s="1"/>
  <c r="T639" i="24" s="1"/>
  <c r="AA639" i="24" s="1"/>
  <c r="AC639" i="24"/>
  <c r="P639" i="24"/>
  <c r="Q639" i="24" s="1"/>
  <c r="K639" i="24"/>
  <c r="AB639" i="24" l="1"/>
  <c r="R639" i="24"/>
  <c r="W639" i="24" s="1"/>
  <c r="AD639" i="24" s="1"/>
  <c r="B640" i="24" s="1"/>
  <c r="Y639" i="24" l="1"/>
  <c r="X639" i="24"/>
  <c r="AE639" i="24" s="1"/>
  <c r="C640" i="24" s="1"/>
  <c r="F640" i="24" s="1"/>
  <c r="G640" i="24"/>
  <c r="AF639" i="24"/>
  <c r="D640" i="24" s="1"/>
  <c r="E640" i="24" l="1"/>
  <c r="H640" i="24"/>
  <c r="I640" i="24"/>
  <c r="J640" i="24" s="1"/>
  <c r="L640" i="24" s="1"/>
  <c r="M640" i="24" s="1"/>
  <c r="U640" i="24"/>
  <c r="AG639" i="24"/>
  <c r="V640" i="24"/>
  <c r="O640" i="24" l="1"/>
  <c r="S640" i="24" s="1"/>
  <c r="T640" i="24" s="1"/>
  <c r="AB640" i="24" s="1"/>
  <c r="K640" i="24"/>
  <c r="P640" i="24"/>
  <c r="AC640" i="24" l="1"/>
  <c r="AA640" i="24"/>
  <c r="Q640" i="24"/>
  <c r="R640" i="24" s="1"/>
  <c r="W640" i="24" l="1"/>
  <c r="AD640" i="24" s="1"/>
  <c r="X640" i="24"/>
  <c r="AE640" i="24" s="1"/>
  <c r="C641" i="24" s="1"/>
  <c r="Y640" i="24"/>
  <c r="AF640" i="24" s="1"/>
  <c r="I641" i="24" s="1"/>
  <c r="D641" i="24" l="1"/>
  <c r="U641" i="24" s="1"/>
  <c r="H641" i="24"/>
  <c r="B641" i="24"/>
  <c r="G641" i="24"/>
  <c r="V641" i="24" l="1"/>
  <c r="AG640" i="24"/>
  <c r="E641" i="24"/>
  <c r="F641" i="24"/>
  <c r="J641" i="24"/>
  <c r="K641" i="24" l="1"/>
  <c r="O641" i="24"/>
  <c r="P641" i="24"/>
  <c r="Q641" i="24" s="1"/>
  <c r="L641" i="24"/>
  <c r="M641" i="24" s="1"/>
  <c r="S641" i="24" l="1"/>
  <c r="T641" i="24" s="1"/>
  <c r="AC641" i="24" s="1"/>
  <c r="R641" i="24"/>
  <c r="Y641" i="24" s="1"/>
  <c r="AB641" i="24" l="1"/>
  <c r="AA641" i="24"/>
  <c r="W641" i="24"/>
  <c r="X641" i="24"/>
  <c r="AE641" i="24" s="1"/>
  <c r="AF641" i="24"/>
  <c r="AD641" i="24" l="1"/>
  <c r="I642" i="24"/>
  <c r="D642" i="24"/>
  <c r="H642" i="24"/>
  <c r="C642" i="24"/>
  <c r="B642" i="24"/>
  <c r="G642" i="24"/>
  <c r="F642" i="24" l="1"/>
  <c r="J642" i="24"/>
  <c r="P642" i="24" s="1"/>
  <c r="Q642" i="24" s="1"/>
  <c r="V642" i="24"/>
  <c r="U642" i="24"/>
  <c r="AG641" i="24"/>
  <c r="E642" i="24"/>
  <c r="K642" i="24" l="1"/>
  <c r="O642" i="24"/>
  <c r="L642" i="24"/>
  <c r="M642" i="24" s="1"/>
  <c r="S642" i="24" l="1"/>
  <c r="T642" i="24" s="1"/>
  <c r="AA642" i="24" s="1"/>
  <c r="AB642" i="24" l="1"/>
  <c r="AC642" i="24"/>
  <c r="R642" i="24"/>
  <c r="Y642" i="24" s="1"/>
  <c r="W642" i="24" l="1"/>
  <c r="AD642" i="24" s="1"/>
  <c r="X642" i="24"/>
  <c r="AE642" i="24" s="1"/>
  <c r="C643" i="24" s="1"/>
  <c r="AF642" i="24"/>
  <c r="I643" i="24" s="1"/>
  <c r="G643" i="24" l="1"/>
  <c r="B643" i="24"/>
  <c r="F643" i="24" s="1"/>
  <c r="H643" i="24"/>
  <c r="J643" i="24" s="1"/>
  <c r="D643" i="24"/>
  <c r="AG642" i="24" s="1"/>
  <c r="E643" i="24" l="1"/>
  <c r="V643" i="24"/>
  <c r="U643" i="24"/>
  <c r="K643" i="24"/>
  <c r="L643" i="24"/>
  <c r="M643" i="24" s="1"/>
  <c r="P643" i="24"/>
  <c r="Q643" i="24" s="1"/>
  <c r="O643" i="24"/>
  <c r="S643" i="24" l="1"/>
  <c r="T643" i="24" s="1"/>
  <c r="AA643" i="24" s="1"/>
  <c r="AC643" i="24" l="1"/>
  <c r="AB643" i="24"/>
  <c r="R643" i="24"/>
  <c r="X643" i="24" l="1"/>
  <c r="AE643" i="24" s="1"/>
  <c r="Y643" i="24"/>
  <c r="AF643" i="24" s="1"/>
  <c r="W643" i="24"/>
  <c r="AD643" i="24" s="1"/>
  <c r="G644" i="24" l="1"/>
  <c r="B644" i="24"/>
  <c r="D644" i="24"/>
  <c r="I644" i="24"/>
  <c r="H644" i="24"/>
  <c r="C644" i="24"/>
  <c r="F644" i="24" l="1"/>
  <c r="U644" i="24"/>
  <c r="V644" i="24"/>
  <c r="AG643" i="24"/>
  <c r="E644" i="24"/>
  <c r="J644" i="24"/>
  <c r="K644" i="24" l="1"/>
  <c r="L644" i="24"/>
  <c r="M644" i="24" s="1"/>
  <c r="O644" i="24"/>
  <c r="P644" i="24"/>
  <c r="Q644" i="24" s="1"/>
  <c r="S644" i="24" l="1"/>
  <c r="T644" i="24" s="1"/>
  <c r="AB644" i="24" s="1"/>
  <c r="AA644" i="24" l="1"/>
  <c r="AC644" i="24"/>
  <c r="R644" i="24"/>
  <c r="X644" i="24" l="1"/>
  <c r="AE644" i="24" s="1"/>
  <c r="W644" i="24"/>
  <c r="AD644" i="24" s="1"/>
  <c r="B645" i="24" s="1"/>
  <c r="Y644" i="24"/>
  <c r="AF644" i="24" s="1"/>
  <c r="G645" i="24" l="1"/>
  <c r="I645" i="24"/>
  <c r="D645" i="24"/>
  <c r="H645" i="24"/>
  <c r="C645" i="24"/>
  <c r="E645" i="24" s="1"/>
  <c r="J645" i="24" l="1"/>
  <c r="O645" i="24" s="1"/>
  <c r="F645" i="24"/>
  <c r="AG644" i="24"/>
  <c r="U645" i="24"/>
  <c r="V645" i="24"/>
  <c r="L645" i="24" l="1"/>
  <c r="M645" i="24" s="1"/>
  <c r="P645" i="24"/>
  <c r="Q645" i="24" s="1"/>
  <c r="K645" i="24"/>
  <c r="S645" i="24" l="1"/>
  <c r="T645" i="24" s="1"/>
  <c r="AC645" i="24" s="1"/>
  <c r="AB645" i="24"/>
  <c r="R645" i="24"/>
  <c r="X645" i="24" s="1"/>
  <c r="AA645" i="24" l="1"/>
  <c r="Y645" i="24"/>
  <c r="AF645" i="24" s="1"/>
  <c r="D646" i="24" s="1"/>
  <c r="W645" i="24"/>
  <c r="AD645" i="24" s="1"/>
  <c r="AE645" i="24"/>
  <c r="C646" i="24" s="1"/>
  <c r="H646" i="24" l="1"/>
  <c r="I646" i="24"/>
  <c r="G646" i="24"/>
  <c r="B646" i="24"/>
  <c r="V646" i="24"/>
  <c r="U646" i="24"/>
  <c r="AG645" i="24"/>
  <c r="J646" i="24" l="1"/>
  <c r="P646" i="24" s="1"/>
  <c r="Q646" i="24" s="1"/>
  <c r="E646" i="24"/>
  <c r="F646" i="24"/>
  <c r="O646" i="24" l="1"/>
  <c r="K646" i="24"/>
  <c r="L646" i="24"/>
  <c r="M646" i="24" s="1"/>
  <c r="S646" i="24" l="1"/>
  <c r="T646" i="24"/>
  <c r="AA646" i="24" s="1"/>
  <c r="R646" i="24"/>
  <c r="Y646" i="24" s="1"/>
  <c r="AB646" i="24" l="1"/>
  <c r="AC646" i="24"/>
  <c r="AF646" i="24" s="1"/>
  <c r="X646" i="24"/>
  <c r="W646" i="24"/>
  <c r="AD646" i="24" s="1"/>
  <c r="AE646" i="24" l="1"/>
  <c r="H647" i="24" s="1"/>
  <c r="G647" i="24"/>
  <c r="B647" i="24"/>
  <c r="D647" i="24"/>
  <c r="I647" i="24"/>
  <c r="C647" i="24" l="1"/>
  <c r="E647" i="24" s="1"/>
  <c r="J647" i="24"/>
  <c r="L647" i="24" s="1"/>
  <c r="M647" i="24" s="1"/>
  <c r="U647" i="24"/>
  <c r="V647" i="24"/>
  <c r="AG646" i="24"/>
  <c r="F647" i="24" l="1"/>
  <c r="O647" i="24"/>
  <c r="S647" i="24" s="1"/>
  <c r="T647" i="24" s="1"/>
  <c r="AA647" i="24" s="1"/>
  <c r="K647" i="24"/>
  <c r="P647" i="24"/>
  <c r="Q647" i="24" s="1"/>
  <c r="AC647" i="24" l="1"/>
  <c r="AB647" i="24"/>
  <c r="R647" i="24"/>
  <c r="W647" i="24" s="1"/>
  <c r="X647" i="24" l="1"/>
  <c r="AE647" i="24" s="1"/>
  <c r="H648" i="24" s="1"/>
  <c r="Y647" i="24"/>
  <c r="AF647" i="24" s="1"/>
  <c r="D648" i="24" s="1"/>
  <c r="AD647" i="24"/>
  <c r="G648" i="24" s="1"/>
  <c r="I648" i="24" l="1"/>
  <c r="B648" i="24"/>
  <c r="C648" i="24"/>
  <c r="J648" i="24"/>
  <c r="K648" i="24" s="1"/>
  <c r="U648" i="24"/>
  <c r="AG647" i="24"/>
  <c r="V648" i="24"/>
  <c r="F648" i="24" l="1"/>
  <c r="O648" i="24"/>
  <c r="L648" i="24"/>
  <c r="M648" i="24" s="1"/>
  <c r="P648" i="24"/>
  <c r="Q648" i="24" s="1"/>
  <c r="E648" i="24"/>
  <c r="S648" i="24" l="1"/>
  <c r="T648" i="24" s="1"/>
  <c r="AB648" i="24" s="1"/>
  <c r="AA648" i="24" l="1"/>
  <c r="AC648" i="24"/>
  <c r="R648" i="24"/>
  <c r="Y648" i="24" s="1"/>
  <c r="AF648" i="24" l="1"/>
  <c r="W648" i="24"/>
  <c r="AD648" i="24" s="1"/>
  <c r="X648" i="24"/>
  <c r="AE648" i="24" s="1"/>
  <c r="D649" i="24"/>
  <c r="U649" i="24" s="1"/>
  <c r="I649" i="24"/>
  <c r="V649" i="24" l="1"/>
  <c r="AG648" i="24"/>
  <c r="G649" i="24"/>
  <c r="B649" i="24"/>
  <c r="H649" i="24"/>
  <c r="C649" i="24"/>
  <c r="J649" i="24" l="1"/>
  <c r="E649" i="24"/>
  <c r="F649" i="24"/>
  <c r="O649" i="24" l="1"/>
  <c r="P649" i="24"/>
  <c r="Q649" i="24" s="1"/>
  <c r="K649" i="24"/>
  <c r="L649" i="24"/>
  <c r="M649" i="24" s="1"/>
  <c r="S649" i="24" l="1"/>
  <c r="T649" i="24" s="1"/>
  <c r="AC649" i="24" s="1"/>
  <c r="AB649" i="24" l="1"/>
  <c r="AA649" i="24"/>
  <c r="R649" i="24"/>
  <c r="W649" i="24" s="1"/>
  <c r="X649" i="24" l="1"/>
  <c r="AE649" i="24" s="1"/>
  <c r="C650" i="24" s="1"/>
  <c r="Y649" i="24"/>
  <c r="AF649" i="24" s="1"/>
  <c r="I650" i="24" s="1"/>
  <c r="AD649" i="24"/>
  <c r="B650" i="24" s="1"/>
  <c r="D650" i="24" l="1"/>
  <c r="G650" i="24"/>
  <c r="H650" i="24"/>
  <c r="F650" i="24"/>
  <c r="AG649" i="24"/>
  <c r="V650" i="24"/>
  <c r="U650" i="24"/>
  <c r="J650" i="24"/>
  <c r="O650" i="24" s="1"/>
  <c r="E650" i="24"/>
  <c r="K650" i="24" l="1"/>
  <c r="L650" i="24"/>
  <c r="M650" i="24" s="1"/>
  <c r="P650" i="24"/>
  <c r="Q650" i="24" s="1"/>
  <c r="S650" i="24" l="1"/>
  <c r="T650" i="24" s="1"/>
  <c r="AA650" i="24" s="1"/>
  <c r="AB650" i="24"/>
  <c r="AC650" i="24"/>
  <c r="R650" i="24"/>
  <c r="X650" i="24" s="1"/>
  <c r="Y650" i="24" l="1"/>
  <c r="AF650" i="24" s="1"/>
  <c r="W650" i="24"/>
  <c r="AD650" i="24" s="1"/>
  <c r="AE650" i="24"/>
  <c r="C651" i="24" s="1"/>
  <c r="H651" i="24" l="1"/>
  <c r="G651" i="24"/>
  <c r="B651" i="24"/>
  <c r="E651" i="24" s="1"/>
  <c r="D651" i="24"/>
  <c r="I651" i="24"/>
  <c r="AG650" i="24" l="1"/>
  <c r="U651" i="24"/>
  <c r="V651" i="24"/>
  <c r="F651" i="24"/>
  <c r="J651" i="24"/>
  <c r="O651" i="24" s="1"/>
  <c r="P651" i="24" l="1"/>
  <c r="Q651" i="24" s="1"/>
  <c r="K651" i="24"/>
  <c r="L651" i="24"/>
  <c r="M651" i="24" s="1"/>
  <c r="S651" i="24" l="1"/>
  <c r="T651" i="24" s="1"/>
  <c r="AA651" i="24" s="1"/>
  <c r="AC651" i="24"/>
  <c r="R651" i="24"/>
  <c r="AB651" i="24" l="1"/>
  <c r="X651" i="24"/>
  <c r="W651" i="24"/>
  <c r="AD651" i="24" s="1"/>
  <c r="Y651" i="24"/>
  <c r="AF651" i="24" s="1"/>
  <c r="AE651" i="24" l="1"/>
  <c r="I652" i="24"/>
  <c r="D652" i="24"/>
  <c r="B652" i="24"/>
  <c r="G652" i="24"/>
  <c r="C652" i="24"/>
  <c r="H652" i="24"/>
  <c r="E652" i="24" l="1"/>
  <c r="J652" i="24"/>
  <c r="L652" i="24" s="1"/>
  <c r="M652" i="24" s="1"/>
  <c r="V652" i="24"/>
  <c r="U652" i="24"/>
  <c r="AG651" i="24"/>
  <c r="F652" i="24"/>
  <c r="O652" i="24" l="1"/>
  <c r="S652" i="24" s="1"/>
  <c r="T652" i="24" s="1"/>
  <c r="AB652" i="24" s="1"/>
  <c r="P652" i="24"/>
  <c r="Q652" i="24" s="1"/>
  <c r="K652" i="24"/>
  <c r="AC652" i="24" l="1"/>
  <c r="AA652" i="24"/>
  <c r="R652" i="24"/>
  <c r="X652" i="24" s="1"/>
  <c r="W652" i="24" l="1"/>
  <c r="Y652" i="24"/>
  <c r="AF652" i="24" s="1"/>
  <c r="D653" i="24" s="1"/>
  <c r="AD652" i="24"/>
  <c r="B653" i="24" s="1"/>
  <c r="AE652" i="24"/>
  <c r="G653" i="24" l="1"/>
  <c r="I653" i="24"/>
  <c r="C653" i="24"/>
  <c r="F653" i="24" s="1"/>
  <c r="H653" i="24"/>
  <c r="AG652" i="24"/>
  <c r="V653" i="24"/>
  <c r="U653" i="24"/>
  <c r="J653" i="24" l="1"/>
  <c r="K653" i="24" s="1"/>
  <c r="E653" i="24"/>
  <c r="O653" i="24" l="1"/>
  <c r="L653" i="24"/>
  <c r="M653" i="24" s="1"/>
  <c r="P653" i="24"/>
  <c r="Q653" i="24" s="1"/>
  <c r="S653" i="24" l="1"/>
  <c r="T653" i="24" s="1"/>
  <c r="AC653" i="24" s="1"/>
  <c r="AA653" i="24"/>
  <c r="AB653" i="24"/>
  <c r="R653" i="24"/>
  <c r="X653" i="24" s="1"/>
  <c r="Y653" i="24" l="1"/>
  <c r="AF653" i="24" s="1"/>
  <c r="D654" i="24" s="1"/>
  <c r="W653" i="24"/>
  <c r="AD653" i="24" s="1"/>
  <c r="B654" i="24" s="1"/>
  <c r="AE653" i="24"/>
  <c r="G654" i="24" l="1"/>
  <c r="I654" i="24"/>
  <c r="AG653" i="24"/>
  <c r="U654" i="24"/>
  <c r="V654" i="24"/>
  <c r="C654" i="24"/>
  <c r="F654" i="24" s="1"/>
  <c r="H654" i="24"/>
  <c r="J654" i="24" l="1"/>
  <c r="L654" i="24" s="1"/>
  <c r="M654" i="24" s="1"/>
  <c r="E654" i="24"/>
  <c r="O654" i="24"/>
  <c r="P654" i="24" l="1"/>
  <c r="Q654" i="24" s="1"/>
  <c r="K654" i="24"/>
  <c r="S654" i="24"/>
  <c r="T654" i="24" s="1"/>
  <c r="AA654" i="24" s="1"/>
  <c r="AC654" i="24" l="1"/>
  <c r="AB654" i="24"/>
  <c r="R654" i="24"/>
  <c r="Y654" i="24" s="1"/>
  <c r="W654" i="24" l="1"/>
  <c r="AD654" i="24" s="1"/>
  <c r="G655" i="24" s="1"/>
  <c r="X654" i="24"/>
  <c r="AE654" i="24" s="1"/>
  <c r="C655" i="24" s="1"/>
  <c r="AF654" i="24"/>
  <c r="D655" i="24" s="1"/>
  <c r="B655" i="24" l="1"/>
  <c r="E655" i="24" s="1"/>
  <c r="H655" i="24"/>
  <c r="I655" i="24"/>
  <c r="AG654" i="24"/>
  <c r="V655" i="24"/>
  <c r="U655" i="24"/>
  <c r="F655" i="24" l="1"/>
  <c r="J655" i="24"/>
  <c r="L655" i="24" s="1"/>
  <c r="M655" i="24" s="1"/>
  <c r="O655" i="24" l="1"/>
  <c r="P655" i="24"/>
  <c r="Q655" i="24" s="1"/>
  <c r="S655" i="24"/>
  <c r="T655" i="24" s="1"/>
  <c r="AA655" i="24" s="1"/>
  <c r="K655" i="24"/>
  <c r="AC655" i="24" l="1"/>
  <c r="AB655" i="24"/>
  <c r="R655" i="24"/>
  <c r="X655" i="24" s="1"/>
  <c r="AE655" i="24" s="1"/>
  <c r="Y655" i="24" l="1"/>
  <c r="AF655" i="24" s="1"/>
  <c r="D656" i="24" s="1"/>
  <c r="U656" i="24" s="1"/>
  <c r="W655" i="24"/>
  <c r="AD655" i="24" s="1"/>
  <c r="B656" i="24" s="1"/>
  <c r="H656" i="24"/>
  <c r="C656" i="24"/>
  <c r="I656" i="24"/>
  <c r="F656" i="24" l="1"/>
  <c r="G656" i="24"/>
  <c r="J656" i="24" s="1"/>
  <c r="E656" i="24"/>
  <c r="AG655" i="24"/>
  <c r="V656" i="24"/>
  <c r="P656" i="24" l="1"/>
  <c r="Q656" i="24" s="1"/>
  <c r="O656" i="24"/>
  <c r="K656" i="24"/>
  <c r="L656" i="24"/>
  <c r="M656" i="24" s="1"/>
  <c r="S656" i="24" l="1"/>
  <c r="T656" i="24" s="1"/>
  <c r="AB656" i="24" s="1"/>
  <c r="R656" i="24"/>
  <c r="Y656" i="24" s="1"/>
  <c r="AC656" i="24" l="1"/>
  <c r="AF656" i="24" s="1"/>
  <c r="AA656" i="24"/>
  <c r="X656" i="24"/>
  <c r="AE656" i="24" s="1"/>
  <c r="C657" i="24" s="1"/>
  <c r="W656" i="24"/>
  <c r="D657" i="24" l="1"/>
  <c r="AG656" i="24" s="1"/>
  <c r="I657" i="24"/>
  <c r="AD656" i="24"/>
  <c r="G657" i="24" s="1"/>
  <c r="H657" i="24"/>
  <c r="V657" i="24"/>
  <c r="U657" i="24"/>
  <c r="J657" i="24" l="1"/>
  <c r="B657" i="24"/>
  <c r="E657" i="24" s="1"/>
  <c r="K657" i="24"/>
  <c r="P657" i="24"/>
  <c r="Q657" i="24" s="1"/>
  <c r="L657" i="24"/>
  <c r="M657" i="24" s="1"/>
  <c r="O657" i="24"/>
  <c r="F657" i="24" l="1"/>
  <c r="S657" i="24"/>
  <c r="T657" i="24" s="1"/>
  <c r="AC657" i="24" s="1"/>
  <c r="AA657" i="24" l="1"/>
  <c r="AB657" i="24"/>
  <c r="R657" i="24"/>
  <c r="W657" i="24" s="1"/>
  <c r="AD657" i="24" s="1"/>
  <c r="B658" i="24" s="1"/>
  <c r="Y657" i="24" l="1"/>
  <c r="AF657" i="24" s="1"/>
  <c r="I658" i="24" s="1"/>
  <c r="X657" i="24"/>
  <c r="AE657" i="24" s="1"/>
  <c r="H658" i="24" s="1"/>
  <c r="D658" i="24"/>
  <c r="AG657" i="24" s="1"/>
  <c r="G658" i="24"/>
  <c r="J658" i="24" l="1"/>
  <c r="P658" i="24" s="1"/>
  <c r="Q658" i="24" s="1"/>
  <c r="C658" i="24"/>
  <c r="F658" i="24" s="1"/>
  <c r="U658" i="24"/>
  <c r="O658" i="24"/>
  <c r="V658" i="24"/>
  <c r="L658" i="24" l="1"/>
  <c r="M658" i="24" s="1"/>
  <c r="K658" i="24"/>
  <c r="E658" i="24"/>
  <c r="S658" i="24" l="1"/>
  <c r="T658" i="24" l="1"/>
  <c r="R658" i="24"/>
  <c r="AA658" i="24" l="1"/>
  <c r="AC658" i="24"/>
  <c r="AB658" i="24"/>
  <c r="Y658" i="24"/>
  <c r="W658" i="24"/>
  <c r="AD658" i="24" s="1"/>
  <c r="X658" i="24"/>
  <c r="AF658" i="24" l="1"/>
  <c r="AE658" i="24"/>
  <c r="H659" i="24"/>
  <c r="C659" i="24"/>
  <c r="G659" i="24"/>
  <c r="B659" i="24"/>
  <c r="I659" i="24"/>
  <c r="D659" i="24"/>
  <c r="E659" i="24" l="1"/>
  <c r="J659" i="24"/>
  <c r="O659" i="24" s="1"/>
  <c r="F659" i="24"/>
  <c r="U659" i="24"/>
  <c r="V659" i="24"/>
  <c r="AG658" i="24"/>
  <c r="L659" i="24" l="1"/>
  <c r="M659" i="24" s="1"/>
  <c r="P659" i="24"/>
  <c r="Q659" i="24" s="1"/>
  <c r="K659" i="24"/>
  <c r="S659" i="24" l="1"/>
  <c r="T659" i="24" s="1"/>
  <c r="AA659" i="24" s="1"/>
  <c r="R659" i="24" l="1"/>
  <c r="AC659" i="24"/>
  <c r="AB659" i="24"/>
  <c r="W659" i="24"/>
  <c r="AD659" i="24" s="1"/>
  <c r="Y659" i="24"/>
  <c r="X659" i="24"/>
  <c r="AF659" i="24" l="1"/>
  <c r="AE659" i="24"/>
  <c r="C660" i="24"/>
  <c r="H660" i="24"/>
  <c r="I660" i="24"/>
  <c r="D660" i="24"/>
  <c r="B660" i="24"/>
  <c r="G660" i="24"/>
  <c r="E660" i="24" l="1"/>
  <c r="J660" i="24"/>
  <c r="L660" i="24" s="1"/>
  <c r="M660" i="24" s="1"/>
  <c r="K660" i="24"/>
  <c r="V660" i="24"/>
  <c r="AG659" i="24"/>
  <c r="U660" i="24"/>
  <c r="O660" i="24"/>
  <c r="F660" i="24"/>
  <c r="P660" i="24" l="1"/>
  <c r="Q660" i="24" s="1"/>
  <c r="S660" i="24"/>
  <c r="T660" i="24" s="1"/>
  <c r="AC660" i="24" s="1"/>
  <c r="R660" i="24"/>
  <c r="W660" i="24" s="1"/>
  <c r="AB660" i="24"/>
  <c r="AA660" i="24" l="1"/>
  <c r="AD660" i="24" s="1"/>
  <c r="Y660" i="24"/>
  <c r="X660" i="24"/>
  <c r="AE660" i="24" s="1"/>
  <c r="AF660" i="24"/>
  <c r="G661" i="24" l="1"/>
  <c r="B661" i="24"/>
  <c r="I661" i="24"/>
  <c r="D661" i="24"/>
  <c r="C661" i="24"/>
  <c r="H661" i="24"/>
  <c r="J661" i="24" s="1"/>
  <c r="O661" i="24" s="1"/>
  <c r="F661" i="24" l="1"/>
  <c r="P661" i="24"/>
  <c r="Q661" i="24" s="1"/>
  <c r="L661" i="24"/>
  <c r="M661" i="24" s="1"/>
  <c r="S661" i="24" s="1"/>
  <c r="K661" i="24"/>
  <c r="E661" i="24"/>
  <c r="V661" i="24"/>
  <c r="U661" i="24"/>
  <c r="AG660" i="24"/>
  <c r="T661" i="24" l="1"/>
  <c r="R661" i="24"/>
  <c r="Y661" i="24" s="1"/>
  <c r="AF661" i="24" s="1"/>
  <c r="D662" i="24" s="1"/>
  <c r="AG661" i="24" s="1"/>
  <c r="AB661" i="24"/>
  <c r="AA661" i="24"/>
  <c r="AC661" i="24"/>
  <c r="W661" i="24" l="1"/>
  <c r="AD661" i="24" s="1"/>
  <c r="B662" i="24" s="1"/>
  <c r="X661" i="24"/>
  <c r="AE661" i="24" s="1"/>
  <c r="H662" i="24" s="1"/>
  <c r="I662" i="24"/>
  <c r="V662" i="24"/>
  <c r="G662" i="24"/>
  <c r="U662" i="24"/>
  <c r="C662" i="24" l="1"/>
  <c r="F662" i="24" s="1"/>
  <c r="J662" i="24"/>
  <c r="O662" i="24" s="1"/>
  <c r="E662" i="24"/>
  <c r="K662" i="24" l="1"/>
  <c r="L662" i="24"/>
  <c r="M662" i="24" s="1"/>
  <c r="P662" i="24"/>
  <c r="Q662" i="24" s="1"/>
  <c r="S662" i="24" l="1"/>
  <c r="T662" i="24" s="1"/>
  <c r="AA662" i="24"/>
  <c r="AB662" i="24"/>
  <c r="AC662" i="24"/>
  <c r="R662" i="24"/>
  <c r="Y662" i="24" s="1"/>
  <c r="AF662" i="24" l="1"/>
  <c r="I663" i="24" s="1"/>
  <c r="X662" i="24"/>
  <c r="AE662" i="24" s="1"/>
  <c r="H663" i="24" s="1"/>
  <c r="W662" i="24"/>
  <c r="AD662" i="24" s="1"/>
  <c r="B663" i="24" s="1"/>
  <c r="D663" i="24" l="1"/>
  <c r="V663" i="24" s="1"/>
  <c r="C663" i="24"/>
  <c r="F663" i="24" s="1"/>
  <c r="G663" i="24"/>
  <c r="J663" i="24" s="1"/>
  <c r="P663" i="24" s="1"/>
  <c r="Q663" i="24" s="1"/>
  <c r="AG662" i="24" l="1"/>
  <c r="U663" i="24"/>
  <c r="E663" i="24"/>
  <c r="L663" i="24"/>
  <c r="M663" i="24" s="1"/>
  <c r="O663" i="24"/>
  <c r="K663" i="24"/>
  <c r="S663" i="24" l="1"/>
  <c r="T663" i="24" s="1"/>
  <c r="AA663" i="24" s="1"/>
  <c r="AB663" i="24" l="1"/>
  <c r="AC663" i="24"/>
  <c r="R663" i="24"/>
  <c r="Y663" i="24" s="1"/>
  <c r="X663" i="24" l="1"/>
  <c r="AE663" i="24" s="1"/>
  <c r="C664" i="24" s="1"/>
  <c r="AF663" i="24"/>
  <c r="D664" i="24" s="1"/>
  <c r="U664" i="24" s="1"/>
  <c r="W663" i="24"/>
  <c r="AD663" i="24" s="1"/>
  <c r="G664" i="24" s="1"/>
  <c r="I664" i="24" l="1"/>
  <c r="V664" i="24"/>
  <c r="B664" i="24"/>
  <c r="E664" i="24" s="1"/>
  <c r="AG663" i="24"/>
  <c r="H664" i="24"/>
  <c r="J664" i="24" l="1"/>
  <c r="O664" i="24" s="1"/>
  <c r="F664" i="24"/>
  <c r="L664" i="24" l="1"/>
  <c r="M664" i="24" s="1"/>
  <c r="K664" i="24"/>
  <c r="P664" i="24"/>
  <c r="Q664" i="24" s="1"/>
  <c r="S664" i="24" l="1"/>
  <c r="T664" i="24" s="1"/>
  <c r="AB664" i="24"/>
  <c r="AC664" i="24"/>
  <c r="AA664" i="24"/>
  <c r="R664" i="24"/>
  <c r="Y664" i="24" s="1"/>
  <c r="AF664" i="24" l="1"/>
  <c r="D665" i="24" s="1"/>
  <c r="AG664" i="24" s="1"/>
  <c r="W664" i="24"/>
  <c r="AD664" i="24" s="1"/>
  <c r="B665" i="24" s="1"/>
  <c r="X664" i="24"/>
  <c r="AE664" i="24" s="1"/>
  <c r="C665" i="24" s="1"/>
  <c r="U665" i="24" l="1"/>
  <c r="I665" i="24"/>
  <c r="V665" i="24"/>
  <c r="E665" i="24"/>
  <c r="G665" i="24"/>
  <c r="H665" i="24"/>
  <c r="F665" i="24"/>
  <c r="J665" i="24" l="1"/>
  <c r="O665" i="24" s="1"/>
  <c r="K665" i="24" l="1"/>
  <c r="L665" i="24"/>
  <c r="M665" i="24" s="1"/>
  <c r="P665" i="24"/>
  <c r="Q665" i="24" s="1"/>
  <c r="S665" i="24" l="1"/>
  <c r="T665" i="24" s="1"/>
  <c r="AC665" i="24"/>
  <c r="AA665" i="24"/>
  <c r="AB665" i="24"/>
  <c r="R665" i="24"/>
  <c r="X665" i="24" s="1"/>
  <c r="AE665" i="24" l="1"/>
  <c r="C666" i="24" s="1"/>
  <c r="W665" i="24"/>
  <c r="AD665" i="24" s="1"/>
  <c r="G666" i="24" s="1"/>
  <c r="Y665" i="24"/>
  <c r="AF665" i="24" s="1"/>
  <c r="I666" i="24" s="1"/>
  <c r="H666" i="24" l="1"/>
  <c r="J666" i="24" s="1"/>
  <c r="P666" i="24" s="1"/>
  <c r="Q666" i="24" s="1"/>
  <c r="B666" i="24"/>
  <c r="E666" i="24" s="1"/>
  <c r="D666" i="24"/>
  <c r="V666" i="24" s="1"/>
  <c r="F666" i="24" l="1"/>
  <c r="K666" i="24"/>
  <c r="L666" i="24"/>
  <c r="M666" i="24" s="1"/>
  <c r="AG665" i="24"/>
  <c r="U666" i="24"/>
  <c r="O666" i="24"/>
  <c r="S666" i="24" l="1"/>
  <c r="T666" i="24" s="1"/>
  <c r="AA666" i="24" s="1"/>
  <c r="AB666" i="24" l="1"/>
  <c r="AC666" i="24"/>
  <c r="R666" i="24"/>
  <c r="X666" i="24" s="1"/>
  <c r="Y666" i="24" l="1"/>
  <c r="AF666" i="24" s="1"/>
  <c r="D667" i="24" s="1"/>
  <c r="AG666" i="24" s="1"/>
  <c r="W666" i="24"/>
  <c r="AD666" i="24" s="1"/>
  <c r="B667" i="24" s="1"/>
  <c r="AE666" i="24"/>
  <c r="C667" i="24" s="1"/>
  <c r="U667" i="24" l="1"/>
  <c r="I667" i="24"/>
  <c r="V667" i="24"/>
  <c r="F667" i="24"/>
  <c r="H667" i="24"/>
  <c r="G667" i="24"/>
  <c r="E667" i="24"/>
  <c r="J667" i="24" l="1"/>
  <c r="P667" i="24" s="1"/>
  <c r="Q667" i="24" s="1"/>
  <c r="O667" i="24" l="1"/>
  <c r="K667" i="24"/>
  <c r="L667" i="24"/>
  <c r="M667" i="24" s="1"/>
  <c r="S667" i="24" l="1"/>
  <c r="T667" i="24" s="1"/>
  <c r="AA667" i="24" s="1"/>
  <c r="AB667" i="24" l="1"/>
  <c r="AC667" i="24"/>
  <c r="R667" i="24"/>
  <c r="Y667" i="24" s="1"/>
  <c r="AF667" i="24" l="1"/>
  <c r="D668" i="24" s="1"/>
  <c r="AG667" i="24" s="1"/>
  <c r="X667" i="24"/>
  <c r="AE667" i="24" s="1"/>
  <c r="C668" i="24" s="1"/>
  <c r="W667" i="24"/>
  <c r="AD667" i="24" s="1"/>
  <c r="G668" i="24" s="1"/>
  <c r="I668" i="24"/>
  <c r="U668" i="24"/>
  <c r="V668" i="24"/>
  <c r="H668" i="24" l="1"/>
  <c r="J668" i="24" s="1"/>
  <c r="B668" i="24"/>
  <c r="E668" i="24" s="1"/>
  <c r="O668" i="24" l="1"/>
  <c r="L668" i="24"/>
  <c r="M668" i="24" s="1"/>
  <c r="P668" i="24"/>
  <c r="Q668" i="24" s="1"/>
  <c r="K668" i="24"/>
  <c r="F668" i="24"/>
  <c r="S668" i="24" l="1"/>
  <c r="T668" i="24" l="1"/>
  <c r="R668" i="24"/>
  <c r="AB668" i="24" l="1"/>
  <c r="AA668" i="24"/>
  <c r="AC668" i="24"/>
  <c r="X668" i="24"/>
  <c r="Y668" i="24"/>
  <c r="W668" i="24"/>
  <c r="AD668" i="24" l="1"/>
  <c r="B669" i="24" s="1"/>
  <c r="AF668" i="24"/>
  <c r="AE668" i="24"/>
  <c r="G669" i="24" l="1"/>
  <c r="H669" i="24"/>
  <c r="C669" i="24"/>
  <c r="F669" i="24" s="1"/>
  <c r="D669" i="24"/>
  <c r="I669" i="24"/>
  <c r="J669" i="24" l="1"/>
  <c r="L669" i="24" s="1"/>
  <c r="M669" i="24" s="1"/>
  <c r="AG668" i="24"/>
  <c r="V669" i="24"/>
  <c r="U669" i="24"/>
  <c r="O669" i="24"/>
  <c r="E669" i="24"/>
  <c r="P669" i="24" l="1"/>
  <c r="Q669" i="24" s="1"/>
  <c r="K669" i="24"/>
  <c r="S669" i="24"/>
  <c r="T669" i="24" s="1"/>
  <c r="AC669" i="24" s="1"/>
  <c r="AB669" i="24" l="1"/>
  <c r="AA669" i="24"/>
  <c r="R669" i="24"/>
  <c r="X669" i="24" s="1"/>
  <c r="AE669" i="24" s="1"/>
  <c r="C670" i="24" s="1"/>
  <c r="Y669" i="24" l="1"/>
  <c r="AF669" i="24" s="1"/>
  <c r="D670" i="24" s="1"/>
  <c r="AG669" i="24" s="1"/>
  <c r="H670" i="24"/>
  <c r="W669" i="24"/>
  <c r="AD669" i="24" s="1"/>
  <c r="G670" i="24" s="1"/>
  <c r="V670" i="24" l="1"/>
  <c r="U670" i="24"/>
  <c r="I670" i="24"/>
  <c r="J670" i="24" s="1"/>
  <c r="K670" i="24" s="1"/>
  <c r="B670" i="24"/>
  <c r="E670" i="24" s="1"/>
  <c r="L670" i="24" l="1"/>
  <c r="M670" i="24" s="1"/>
  <c r="P670" i="24"/>
  <c r="Q670" i="24" s="1"/>
  <c r="O670" i="24"/>
  <c r="F670" i="24"/>
  <c r="S670" i="24" l="1"/>
  <c r="T670" i="24" s="1"/>
  <c r="AA670" i="24" s="1"/>
  <c r="AC670" i="24" l="1"/>
  <c r="AB670" i="24"/>
  <c r="R670" i="24"/>
  <c r="W670" i="24" s="1"/>
  <c r="AD670" i="24" l="1"/>
  <c r="B671" i="24" s="1"/>
  <c r="Y670" i="24"/>
  <c r="AF670" i="24" s="1"/>
  <c r="X670" i="24"/>
  <c r="AE670" i="24" s="1"/>
  <c r="C671" i="24" s="1"/>
  <c r="G671" i="24"/>
  <c r="H671" i="24" l="1"/>
  <c r="I671" i="24"/>
  <c r="D671" i="24"/>
  <c r="E671" i="24"/>
  <c r="F671" i="24"/>
  <c r="J671" i="24" l="1"/>
  <c r="K671" i="24" s="1"/>
  <c r="AG670" i="24"/>
  <c r="V671" i="24"/>
  <c r="U671" i="24"/>
  <c r="O671" i="24"/>
  <c r="L671" i="24" l="1"/>
  <c r="M671" i="24" s="1"/>
  <c r="P671" i="24"/>
  <c r="Q671" i="24" s="1"/>
  <c r="S671" i="24" l="1"/>
  <c r="T671" i="24" s="1"/>
  <c r="AA671" i="24" s="1"/>
  <c r="R671" i="24"/>
  <c r="X671" i="24" s="1"/>
  <c r="AC671" i="24" l="1"/>
  <c r="AB671" i="24"/>
  <c r="AE671" i="24" s="1"/>
  <c r="H672" i="24" s="1"/>
  <c r="W671" i="24"/>
  <c r="AD671" i="24" s="1"/>
  <c r="G672" i="24" s="1"/>
  <c r="Y671" i="24"/>
  <c r="AF671" i="24" s="1"/>
  <c r="D672" i="24" s="1"/>
  <c r="U672" i="24" s="1"/>
  <c r="C672" i="24" l="1"/>
  <c r="AG671" i="24"/>
  <c r="V672" i="24"/>
  <c r="I672" i="24"/>
  <c r="J672" i="24" s="1"/>
  <c r="K672" i="24" s="1"/>
  <c r="B672" i="24"/>
  <c r="F672" i="24" s="1"/>
  <c r="E672" i="24" l="1"/>
  <c r="L672" i="24"/>
  <c r="M672" i="24" s="1"/>
  <c r="O672" i="24"/>
  <c r="P672" i="24"/>
  <c r="Q672" i="24" s="1"/>
  <c r="S672" i="24" l="1"/>
  <c r="T672" i="24" s="1"/>
  <c r="AB672" i="24" s="1"/>
  <c r="AC672" i="24" l="1"/>
  <c r="AA672" i="24"/>
  <c r="R672" i="24"/>
  <c r="X672" i="24" s="1"/>
  <c r="AE672" i="24" s="1"/>
  <c r="C673" i="24" s="1"/>
  <c r="Y672" i="24" l="1"/>
  <c r="W672" i="24"/>
  <c r="AD672" i="24" s="1"/>
  <c r="B673" i="24" s="1"/>
  <c r="F673" i="24" s="1"/>
  <c r="AF672" i="24"/>
  <c r="I673" i="24" s="1"/>
  <c r="H673" i="24"/>
  <c r="E673" i="24" l="1"/>
  <c r="G673" i="24"/>
  <c r="J673" i="24" s="1"/>
  <c r="K673" i="24" s="1"/>
  <c r="D673" i="24"/>
  <c r="U673" i="24" s="1"/>
  <c r="AG672" i="24" l="1"/>
  <c r="O673" i="24"/>
  <c r="V673" i="24"/>
  <c r="P673" i="24"/>
  <c r="Q673" i="24" s="1"/>
  <c r="L673" i="24"/>
  <c r="M673" i="24" s="1"/>
  <c r="S673" i="24" l="1"/>
  <c r="T673" i="24" s="1"/>
  <c r="AC673" i="24" s="1"/>
  <c r="AB673" i="24"/>
  <c r="R673" i="24"/>
  <c r="Y673" i="24" s="1"/>
  <c r="AA673" i="24" l="1"/>
  <c r="W673" i="24"/>
  <c r="X673" i="24"/>
  <c r="AE673" i="24" s="1"/>
  <c r="C674" i="24" s="1"/>
  <c r="AF673" i="24"/>
  <c r="D674" i="24" s="1"/>
  <c r="AG673" i="24" s="1"/>
  <c r="AD673" i="24" l="1"/>
  <c r="G674" i="24" s="1"/>
  <c r="H674" i="24"/>
  <c r="I674" i="24"/>
  <c r="V674" i="24"/>
  <c r="U674" i="24"/>
  <c r="B674" i="24"/>
  <c r="F674" i="24" s="1"/>
  <c r="J674" i="24" l="1"/>
  <c r="P674" i="24" s="1"/>
  <c r="Q674" i="24" s="1"/>
  <c r="E674" i="24"/>
  <c r="K674" i="24" l="1"/>
  <c r="L674" i="24"/>
  <c r="M674" i="24" s="1"/>
  <c r="O674" i="24"/>
  <c r="S674" i="24" l="1"/>
  <c r="T674" i="24" s="1"/>
  <c r="AA674" i="24" s="1"/>
  <c r="AC674" i="24" l="1"/>
  <c r="AB674" i="24"/>
  <c r="R674" i="24"/>
  <c r="X674" i="24" s="1"/>
  <c r="Y674" i="24" l="1"/>
  <c r="AF674" i="24" s="1"/>
  <c r="W674" i="24"/>
  <c r="AD674" i="24" s="1"/>
  <c r="B675" i="24" s="1"/>
  <c r="AE674" i="24"/>
  <c r="C675" i="24" s="1"/>
  <c r="E675" i="24" l="1"/>
  <c r="H675" i="24"/>
  <c r="G675" i="24"/>
  <c r="D675" i="24"/>
  <c r="I675" i="24"/>
  <c r="F675" i="24"/>
  <c r="J675" i="24" l="1"/>
  <c r="K675" i="24" s="1"/>
  <c r="U675" i="24"/>
  <c r="AG674" i="24"/>
  <c r="V675" i="24"/>
  <c r="P675" i="24" l="1"/>
  <c r="Q675" i="24" s="1"/>
  <c r="O675" i="24"/>
  <c r="L675" i="24"/>
  <c r="M675" i="24" s="1"/>
  <c r="S675" i="24" l="1"/>
  <c r="T675" i="24" s="1"/>
  <c r="AA675" i="24" s="1"/>
  <c r="AB675" i="24" l="1"/>
  <c r="AC675" i="24"/>
  <c r="R675" i="24"/>
  <c r="Y675" i="24" s="1"/>
  <c r="AF675" i="24" l="1"/>
  <c r="D676" i="24" s="1"/>
  <c r="V676" i="24" s="1"/>
  <c r="X675" i="24"/>
  <c r="AE675" i="24" s="1"/>
  <c r="H676" i="24" s="1"/>
  <c r="W675" i="24"/>
  <c r="AD675" i="24" s="1"/>
  <c r="I676" i="24"/>
  <c r="U676" i="24"/>
  <c r="AG675" i="24"/>
  <c r="B676" i="24" l="1"/>
  <c r="G676" i="24"/>
  <c r="J676" i="24" s="1"/>
  <c r="O676" i="24" s="1"/>
  <c r="C676" i="24"/>
  <c r="E676" i="24" l="1"/>
  <c r="F676" i="24"/>
  <c r="K676" i="24"/>
  <c r="P676" i="24"/>
  <c r="Q676" i="24" s="1"/>
  <c r="L676" i="24"/>
  <c r="M676" i="24" s="1"/>
  <c r="S676" i="24" l="1"/>
  <c r="T676" i="24" s="1"/>
  <c r="AB676" i="24" s="1"/>
  <c r="AC676" i="24"/>
  <c r="AA676" i="24"/>
  <c r="R676" i="24"/>
  <c r="X676" i="24" s="1"/>
  <c r="W676" i="24" l="1"/>
  <c r="AD676" i="24" s="1"/>
  <c r="B677" i="24" s="1"/>
  <c r="AE676" i="24"/>
  <c r="H677" i="24" s="1"/>
  <c r="Y676" i="24"/>
  <c r="AF676" i="24" s="1"/>
  <c r="I677" i="24" s="1"/>
  <c r="G677" i="24" l="1"/>
  <c r="J677" i="24" s="1"/>
  <c r="C677" i="24"/>
  <c r="F677" i="24" s="1"/>
  <c r="D677" i="24"/>
  <c r="U677" i="24" s="1"/>
  <c r="E677" i="24" l="1"/>
  <c r="O677" i="24"/>
  <c r="AG676" i="24"/>
  <c r="V677" i="24"/>
  <c r="P677" i="24"/>
  <c r="Q677" i="24" s="1"/>
  <c r="L677" i="24"/>
  <c r="M677" i="24" s="1"/>
  <c r="K677" i="24"/>
  <c r="S677" i="24" l="1"/>
  <c r="T677" i="24" s="1"/>
  <c r="AC677" i="24" s="1"/>
  <c r="AA677" i="24" l="1"/>
  <c r="AB677" i="24"/>
  <c r="R677" i="24"/>
  <c r="Y677" i="24" s="1"/>
  <c r="X677" i="24" l="1"/>
  <c r="AE677" i="24" s="1"/>
  <c r="H678" i="24" s="1"/>
  <c r="W677" i="24"/>
  <c r="AD677" i="24" s="1"/>
  <c r="AF677" i="24"/>
  <c r="D678" i="24" s="1"/>
  <c r="G678" i="24" l="1"/>
  <c r="B678" i="24"/>
  <c r="I678" i="24"/>
  <c r="C678" i="24"/>
  <c r="V678" i="24"/>
  <c r="U678" i="24"/>
  <c r="AG677" i="24"/>
  <c r="J678" i="24" l="1"/>
  <c r="P678" i="24" s="1"/>
  <c r="Q678" i="24" s="1"/>
  <c r="F678" i="24"/>
  <c r="E678" i="24"/>
  <c r="O678" i="24" l="1"/>
  <c r="L678" i="24"/>
  <c r="M678" i="24" s="1"/>
  <c r="K678" i="24"/>
  <c r="S678" i="24" l="1"/>
  <c r="T678" i="24" s="1"/>
  <c r="AA678" i="24" s="1"/>
  <c r="AC678" i="24" l="1"/>
  <c r="AB678" i="24"/>
  <c r="R678" i="24"/>
  <c r="Y678" i="24" s="1"/>
  <c r="AF678" i="24" s="1"/>
  <c r="D679" i="24" s="1"/>
  <c r="W678" i="24" l="1"/>
  <c r="AD678" i="24" s="1"/>
  <c r="G679" i="24" s="1"/>
  <c r="X678" i="24"/>
  <c r="AE678" i="24" s="1"/>
  <c r="C679" i="24" s="1"/>
  <c r="I679" i="24"/>
  <c r="V679" i="24"/>
  <c r="AG678" i="24"/>
  <c r="U679" i="24"/>
  <c r="B679" i="24" l="1"/>
  <c r="E679" i="24" s="1"/>
  <c r="H679" i="24"/>
  <c r="J679" i="24" s="1"/>
  <c r="P679" i="24" s="1"/>
  <c r="Q679" i="24" s="1"/>
  <c r="F679" i="24" l="1"/>
  <c r="L679" i="24"/>
  <c r="M679" i="24" s="1"/>
  <c r="O679" i="24"/>
  <c r="K679" i="24"/>
  <c r="S679" i="24" l="1"/>
  <c r="R679" i="24" s="1"/>
  <c r="X679" i="24" s="1"/>
  <c r="T679" i="24" l="1"/>
  <c r="Y679" i="24"/>
  <c r="W679" i="24"/>
  <c r="AA679" i="24" l="1"/>
  <c r="AD679" i="24" s="1"/>
  <c r="G680" i="24" s="1"/>
  <c r="AC679" i="24"/>
  <c r="AF679" i="24" s="1"/>
  <c r="I680" i="24" s="1"/>
  <c r="AB679" i="24"/>
  <c r="AE679" i="24" s="1"/>
  <c r="H680" i="24" l="1"/>
  <c r="C680" i="24"/>
  <c r="D680" i="24"/>
  <c r="V680" i="24" s="1"/>
  <c r="J680" i="24"/>
  <c r="L680" i="24" s="1"/>
  <c r="M680" i="24" s="1"/>
  <c r="B680" i="24"/>
  <c r="F680" i="24" l="1"/>
  <c r="AG679" i="24"/>
  <c r="P680" i="24"/>
  <c r="Q680" i="24" s="1"/>
  <c r="O680" i="24"/>
  <c r="S680" i="24" s="1"/>
  <c r="T680" i="24" s="1"/>
  <c r="AB680" i="24" s="1"/>
  <c r="K680" i="24"/>
  <c r="U680" i="24"/>
  <c r="E680" i="24"/>
  <c r="AA680" i="24" l="1"/>
  <c r="AC680" i="24"/>
  <c r="R680" i="24"/>
  <c r="X680" i="24" s="1"/>
  <c r="AE680" i="24" l="1"/>
  <c r="C681" i="24" s="1"/>
  <c r="W680" i="24"/>
  <c r="AD680" i="24" s="1"/>
  <c r="G681" i="24" s="1"/>
  <c r="Y680" i="24"/>
  <c r="AF680" i="24" s="1"/>
  <c r="D681" i="24" s="1"/>
  <c r="AG680" i="24" s="1"/>
  <c r="H681" i="24" l="1"/>
  <c r="U681" i="24"/>
  <c r="V681" i="24"/>
  <c r="I681" i="24"/>
  <c r="B681" i="24"/>
  <c r="E681" i="24" s="1"/>
  <c r="J681" i="24" l="1"/>
  <c r="L681" i="24" s="1"/>
  <c r="M681" i="24" s="1"/>
  <c r="F681" i="24"/>
  <c r="P681" i="24" l="1"/>
  <c r="Q681" i="24" s="1"/>
  <c r="O681" i="24"/>
  <c r="S681" i="24" s="1"/>
  <c r="T681" i="24" s="1"/>
  <c r="AC681" i="24" s="1"/>
  <c r="K681" i="24"/>
  <c r="AB681" i="24" l="1"/>
  <c r="AA681" i="24"/>
  <c r="R681" i="24"/>
  <c r="Y681" i="24" s="1"/>
  <c r="AF681" i="24" s="1"/>
  <c r="I682" i="24" s="1"/>
  <c r="X681" i="24" l="1"/>
  <c r="AE681" i="24" s="1"/>
  <c r="H682" i="24" s="1"/>
  <c r="W681" i="24"/>
  <c r="AD681" i="24" s="1"/>
  <c r="B682" i="24" s="1"/>
  <c r="D682" i="24"/>
  <c r="U682" i="24" s="1"/>
  <c r="AG681" i="24" l="1"/>
  <c r="V682" i="24"/>
  <c r="C682" i="24"/>
  <c r="F682" i="24" s="1"/>
  <c r="G682" i="24"/>
  <c r="J682" i="24" s="1"/>
  <c r="P682" i="24" s="1"/>
  <c r="Q682" i="24" s="1"/>
  <c r="E682" i="24" l="1"/>
  <c r="L682" i="24"/>
  <c r="M682" i="24" s="1"/>
  <c r="O682" i="24"/>
  <c r="K682" i="24"/>
  <c r="S682" i="24" l="1"/>
  <c r="T682" i="24" s="1"/>
  <c r="AA682" i="24" s="1"/>
  <c r="AC682" i="24" l="1"/>
  <c r="AB682" i="24"/>
  <c r="R682" i="24"/>
  <c r="Y682" i="24" s="1"/>
  <c r="AF682" i="24" s="1"/>
  <c r="D683" i="24" s="1"/>
  <c r="U683" i="24" s="1"/>
  <c r="X682" i="24" l="1"/>
  <c r="AE682" i="24" s="1"/>
  <c r="C683" i="24" s="1"/>
  <c r="I683" i="24"/>
  <c r="AG682" i="24"/>
  <c r="V683" i="24"/>
  <c r="W682" i="24"/>
  <c r="AD682" i="24" s="1"/>
  <c r="B683" i="24" s="1"/>
  <c r="E683" i="24" l="1"/>
  <c r="F683" i="24"/>
  <c r="H683" i="24"/>
  <c r="G683" i="24"/>
  <c r="J683" i="24" l="1"/>
  <c r="P683" i="24" s="1"/>
  <c r="Q683" i="24" s="1"/>
  <c r="K683" i="24" l="1"/>
  <c r="L683" i="24"/>
  <c r="M683" i="24" s="1"/>
  <c r="O683" i="24"/>
  <c r="S683" i="24" l="1"/>
  <c r="T683" i="24" s="1"/>
  <c r="AA683" i="24" s="1"/>
  <c r="AC683" i="24" l="1"/>
  <c r="AB683" i="24"/>
  <c r="R683" i="24"/>
  <c r="Y683" i="24" s="1"/>
  <c r="AF683" i="24" s="1"/>
  <c r="I684" i="24" s="1"/>
  <c r="W683" i="24" l="1"/>
  <c r="AD683" i="24" s="1"/>
  <c r="G684" i="24" s="1"/>
  <c r="D684" i="24"/>
  <c r="AG683" i="24" s="1"/>
  <c r="X683" i="24"/>
  <c r="AE683" i="24" s="1"/>
  <c r="H684" i="24" s="1"/>
  <c r="J684" i="24" l="1"/>
  <c r="V684" i="24"/>
  <c r="B684" i="24"/>
  <c r="O684" i="24"/>
  <c r="U684" i="24"/>
  <c r="C684" i="24"/>
  <c r="L684" i="24"/>
  <c r="M684" i="24" s="1"/>
  <c r="P684" i="24"/>
  <c r="Q684" i="24" s="1"/>
  <c r="K684" i="24"/>
  <c r="S684" i="24" l="1"/>
  <c r="T684" i="24" s="1"/>
  <c r="AB684" i="24" s="1"/>
  <c r="F684" i="24"/>
  <c r="E684" i="24"/>
  <c r="R684" i="24"/>
  <c r="X684" i="24" s="1"/>
  <c r="AC684" i="24" l="1"/>
  <c r="AA684" i="24"/>
  <c r="AE684" i="24"/>
  <c r="H685" i="24" s="1"/>
  <c r="Y684" i="24"/>
  <c r="AF684" i="24" s="1"/>
  <c r="I685" i="24" s="1"/>
  <c r="W684" i="24"/>
  <c r="C685" i="24" l="1"/>
  <c r="AD684" i="24"/>
  <c r="G685" i="24" s="1"/>
  <c r="J685" i="24" s="1"/>
  <c r="L685" i="24" s="1"/>
  <c r="M685" i="24" s="1"/>
  <c r="D685" i="24"/>
  <c r="AG684" i="24" s="1"/>
  <c r="B685" i="24" l="1"/>
  <c r="F685" i="24" s="1"/>
  <c r="P685" i="24"/>
  <c r="Q685" i="24" s="1"/>
  <c r="K685" i="24"/>
  <c r="U685" i="24"/>
  <c r="V685" i="24"/>
  <c r="O685" i="24"/>
  <c r="S685" i="24" s="1"/>
  <c r="T685" i="24" s="1"/>
  <c r="AC685" i="24" s="1"/>
  <c r="AB685" i="24" l="1"/>
  <c r="AA685" i="24"/>
  <c r="E685" i="24"/>
  <c r="R685" i="24"/>
  <c r="X685" i="24" s="1"/>
  <c r="AE685" i="24" l="1"/>
  <c r="H686" i="24" s="1"/>
  <c r="W685" i="24"/>
  <c r="AD685" i="24" s="1"/>
  <c r="B686" i="24" s="1"/>
  <c r="Y685" i="24"/>
  <c r="AF685" i="24" s="1"/>
  <c r="I686" i="24" s="1"/>
  <c r="C686" i="24" l="1"/>
  <c r="F686" i="24" s="1"/>
  <c r="G686" i="24"/>
  <c r="J686" i="24" s="1"/>
  <c r="P686" i="24" s="1"/>
  <c r="Q686" i="24" s="1"/>
  <c r="D686" i="24"/>
  <c r="E686" i="24" l="1"/>
  <c r="O686" i="24"/>
  <c r="V686" i="24"/>
  <c r="U686" i="24"/>
  <c r="AG685" i="24"/>
  <c r="L686" i="24"/>
  <c r="M686" i="24" s="1"/>
  <c r="K686" i="24"/>
  <c r="S686" i="24" l="1"/>
  <c r="T686" i="24" s="1"/>
  <c r="AA686" i="24" s="1"/>
  <c r="AC686" i="24" l="1"/>
  <c r="AB686" i="24"/>
  <c r="R686" i="24"/>
  <c r="W686" i="24" s="1"/>
  <c r="Y686" i="24" l="1"/>
  <c r="AF686" i="24" s="1"/>
  <c r="D687" i="24" s="1"/>
  <c r="V687" i="24" s="1"/>
  <c r="X686" i="24"/>
  <c r="AE686" i="24" s="1"/>
  <c r="H687" i="24" s="1"/>
  <c r="AD686" i="24"/>
  <c r="G687" i="24" s="1"/>
  <c r="AG686" i="24" l="1"/>
  <c r="I687" i="24"/>
  <c r="J687" i="24" s="1"/>
  <c r="L687" i="24" s="1"/>
  <c r="M687" i="24" s="1"/>
  <c r="U687" i="24"/>
  <c r="B687" i="24"/>
  <c r="C687" i="24"/>
  <c r="E687" i="24" l="1"/>
  <c r="O687" i="24"/>
  <c r="S687" i="24" s="1"/>
  <c r="T687" i="24" s="1"/>
  <c r="AA687" i="24" s="1"/>
  <c r="F687" i="24"/>
  <c r="K687" i="24"/>
  <c r="P687" i="24"/>
  <c r="Q687" i="24" s="1"/>
  <c r="AC687" i="24" l="1"/>
  <c r="AB687" i="24"/>
  <c r="R687" i="24"/>
  <c r="W687" i="24" s="1"/>
  <c r="X687" i="24" l="1"/>
  <c r="AE687" i="24" s="1"/>
  <c r="H688" i="24" s="1"/>
  <c r="Y687" i="24"/>
  <c r="AF687" i="24" s="1"/>
  <c r="D688" i="24" s="1"/>
  <c r="AD687" i="24"/>
  <c r="G688" i="24" s="1"/>
  <c r="I688" i="24" l="1"/>
  <c r="J688" i="24" s="1"/>
  <c r="P688" i="24" s="1"/>
  <c r="Q688" i="24" s="1"/>
  <c r="B688" i="24"/>
  <c r="C688" i="24"/>
  <c r="V688" i="24"/>
  <c r="U688" i="24"/>
  <c r="AG687" i="24"/>
  <c r="F688" i="24" l="1"/>
  <c r="O688" i="24"/>
  <c r="E688" i="24"/>
  <c r="K688" i="24"/>
  <c r="L688" i="24"/>
  <c r="M688" i="24" s="1"/>
  <c r="S688" i="24" l="1"/>
  <c r="T688" i="24" s="1"/>
  <c r="AB688" i="24" s="1"/>
  <c r="AA688" i="24" l="1"/>
  <c r="AC688" i="24"/>
  <c r="R688" i="24"/>
  <c r="W688" i="24" s="1"/>
  <c r="Y688" i="24" l="1"/>
  <c r="AF688" i="24" s="1"/>
  <c r="I689" i="24" s="1"/>
  <c r="X688" i="24"/>
  <c r="AE688" i="24" s="1"/>
  <c r="H689" i="24" s="1"/>
  <c r="AD688" i="24"/>
  <c r="B689" i="24" s="1"/>
  <c r="D689" i="24" l="1"/>
  <c r="U689" i="24" s="1"/>
  <c r="G689" i="24"/>
  <c r="J689" i="24" s="1"/>
  <c r="L689" i="24" s="1"/>
  <c r="M689" i="24" s="1"/>
  <c r="C689" i="24"/>
  <c r="E689" i="24" s="1"/>
  <c r="AG688" i="24" l="1"/>
  <c r="V689" i="24"/>
  <c r="O689" i="24"/>
  <c r="S689" i="24" s="1"/>
  <c r="T689" i="24" s="1"/>
  <c r="AC689" i="24" s="1"/>
  <c r="K689" i="24"/>
  <c r="P689" i="24"/>
  <c r="Q689" i="24" s="1"/>
  <c r="F689" i="24"/>
  <c r="AB689" i="24" l="1"/>
  <c r="AA689" i="24"/>
  <c r="R689" i="24"/>
  <c r="X689" i="24" s="1"/>
  <c r="Y689" i="24" l="1"/>
  <c r="AF689" i="24" s="1"/>
  <c r="I690" i="24" s="1"/>
  <c r="W689" i="24"/>
  <c r="AD689" i="24" s="1"/>
  <c r="AE689" i="24"/>
  <c r="C690" i="24" s="1"/>
  <c r="D690" i="24" l="1"/>
  <c r="U690" i="24" s="1"/>
  <c r="B690" i="24"/>
  <c r="E690" i="24" s="1"/>
  <c r="G690" i="24"/>
  <c r="H690" i="24"/>
  <c r="AG689" i="24" l="1"/>
  <c r="V690" i="24"/>
  <c r="F690" i="24"/>
  <c r="J690" i="24"/>
  <c r="L690" i="24" s="1"/>
  <c r="M690" i="24" s="1"/>
  <c r="O690" i="24" l="1"/>
  <c r="S690" i="24" s="1"/>
  <c r="T690" i="24" s="1"/>
  <c r="AA690" i="24" s="1"/>
  <c r="K690" i="24"/>
  <c r="P690" i="24"/>
  <c r="Q690" i="24" s="1"/>
  <c r="AB690" i="24" l="1"/>
  <c r="AC690" i="24"/>
  <c r="R690" i="24"/>
  <c r="W690" i="24" s="1"/>
  <c r="AD690" i="24" s="1"/>
  <c r="X690" i="24" l="1"/>
  <c r="AE690" i="24" s="1"/>
  <c r="H691" i="24" s="1"/>
  <c r="Y690" i="24"/>
  <c r="AF690" i="24" s="1"/>
  <c r="I691" i="24" s="1"/>
  <c r="G691" i="24"/>
  <c r="B691" i="24"/>
  <c r="C691" i="24" l="1"/>
  <c r="F691" i="24" s="1"/>
  <c r="D691" i="24"/>
  <c r="V691" i="24" s="1"/>
  <c r="J691" i="24"/>
  <c r="E691" i="24" l="1"/>
  <c r="AG690" i="24"/>
  <c r="O691" i="24"/>
  <c r="U691" i="24"/>
  <c r="K691" i="24"/>
  <c r="P691" i="24"/>
  <c r="Q691" i="24" s="1"/>
  <c r="L691" i="24"/>
  <c r="M691" i="24" s="1"/>
  <c r="S691" i="24" l="1"/>
  <c r="T691" i="24" s="1"/>
  <c r="AA691" i="24" s="1"/>
  <c r="AB691" i="24" l="1"/>
  <c r="AC691" i="24"/>
  <c r="R691" i="24"/>
  <c r="Y691" i="24" s="1"/>
  <c r="AF691" i="24" l="1"/>
  <c r="D692" i="24" s="1"/>
  <c r="X691" i="24"/>
  <c r="AE691" i="24" s="1"/>
  <c r="C692" i="24" s="1"/>
  <c r="W691" i="24"/>
  <c r="AD691" i="24" s="1"/>
  <c r="G692" i="24" s="1"/>
  <c r="I692" i="24" l="1"/>
  <c r="B692" i="24"/>
  <c r="F692" i="24" s="1"/>
  <c r="H692" i="24"/>
  <c r="V692" i="24"/>
  <c r="U692" i="24"/>
  <c r="AG691" i="24"/>
  <c r="J692" i="24" l="1"/>
  <c r="L692" i="24" s="1"/>
  <c r="M692" i="24" s="1"/>
  <c r="E692" i="24"/>
  <c r="K692" i="24" l="1"/>
  <c r="O692" i="24"/>
  <c r="S692" i="24" s="1"/>
  <c r="T692" i="24" s="1"/>
  <c r="AB692" i="24" s="1"/>
  <c r="P692" i="24"/>
  <c r="Q692" i="24" s="1"/>
  <c r="AA692" i="24" l="1"/>
  <c r="AC692" i="24"/>
  <c r="R692" i="24"/>
  <c r="Y692" i="24" s="1"/>
  <c r="X692" i="24" l="1"/>
  <c r="AE692" i="24" s="1"/>
  <c r="C693" i="24" s="1"/>
  <c r="W692" i="24"/>
  <c r="AD692" i="24" s="1"/>
  <c r="B693" i="24" s="1"/>
  <c r="AF692" i="24"/>
  <c r="D693" i="24" s="1"/>
  <c r="G693" i="24" l="1"/>
  <c r="H693" i="24"/>
  <c r="I693" i="24"/>
  <c r="V693" i="24"/>
  <c r="U693" i="24"/>
  <c r="AG692" i="24"/>
  <c r="F693" i="24"/>
  <c r="E693" i="24"/>
  <c r="J693" i="24" l="1"/>
  <c r="K693" i="24" s="1"/>
  <c r="P693" i="24" l="1"/>
  <c r="Q693" i="24" s="1"/>
  <c r="O693" i="24"/>
  <c r="L693" i="24"/>
  <c r="M693" i="24" s="1"/>
  <c r="S693" i="24" l="1"/>
  <c r="T693" i="24" s="1"/>
  <c r="AC693" i="24" s="1"/>
  <c r="AB693" i="24" l="1"/>
  <c r="AA693" i="24"/>
  <c r="R693" i="24"/>
  <c r="Y693" i="24" s="1"/>
  <c r="W693" i="24" l="1"/>
  <c r="AD693" i="24" s="1"/>
  <c r="B694" i="24" s="1"/>
  <c r="X693" i="24"/>
  <c r="AE693" i="24" s="1"/>
  <c r="H694" i="24" s="1"/>
  <c r="AF693" i="24"/>
  <c r="D694" i="24" s="1"/>
  <c r="V694" i="24" s="1"/>
  <c r="C694" i="24" l="1"/>
  <c r="E694" i="24" s="1"/>
  <c r="G694" i="24"/>
  <c r="I694" i="24"/>
  <c r="U694" i="24"/>
  <c r="AG693" i="24"/>
  <c r="F694" i="24" l="1"/>
  <c r="J694" i="24"/>
  <c r="P694" i="24" s="1"/>
  <c r="Q694" i="24" s="1"/>
  <c r="O694" i="24" l="1"/>
  <c r="L694" i="24"/>
  <c r="M694" i="24" s="1"/>
  <c r="K694" i="24"/>
  <c r="S694" i="24" l="1"/>
  <c r="T694" i="24" s="1"/>
  <c r="AA694" i="24" s="1"/>
  <c r="AC694" i="24" l="1"/>
  <c r="AB694" i="24"/>
  <c r="R694" i="24"/>
  <c r="X694" i="24" s="1"/>
  <c r="W694" i="24" l="1"/>
  <c r="AD694" i="24" s="1"/>
  <c r="B695" i="24" s="1"/>
  <c r="Y694" i="24"/>
  <c r="AF694" i="24" s="1"/>
  <c r="D695" i="24" s="1"/>
  <c r="U695" i="24" s="1"/>
  <c r="AE694" i="24"/>
  <c r="C695" i="24" s="1"/>
  <c r="G695" i="24" l="1"/>
  <c r="F695" i="24"/>
  <c r="E695" i="24"/>
  <c r="H695" i="24"/>
  <c r="AG694" i="24"/>
  <c r="V695" i="24"/>
  <c r="I695" i="24"/>
  <c r="J695" i="24" l="1"/>
  <c r="K695" i="24" s="1"/>
  <c r="O695" i="24" l="1"/>
  <c r="L695" i="24"/>
  <c r="M695" i="24" s="1"/>
  <c r="P695" i="24"/>
  <c r="Q695" i="24" s="1"/>
  <c r="S695" i="24" l="1"/>
  <c r="T695" i="24" s="1"/>
  <c r="AA695" i="24" s="1"/>
  <c r="AB695" i="24" l="1"/>
  <c r="AC695" i="24"/>
  <c r="R695" i="24"/>
  <c r="Y695" i="24" s="1"/>
  <c r="X695" i="24" l="1"/>
  <c r="AE695" i="24" s="1"/>
  <c r="H696" i="24" s="1"/>
  <c r="AF695" i="24"/>
  <c r="I696" i="24" s="1"/>
  <c r="W695" i="24"/>
  <c r="AD695" i="24" s="1"/>
  <c r="G696" i="24" s="1"/>
  <c r="C696" i="24" l="1"/>
  <c r="D696" i="24"/>
  <c r="AG695" i="24" s="1"/>
  <c r="J696" i="24"/>
  <c r="P696" i="24" s="1"/>
  <c r="Q696" i="24" s="1"/>
  <c r="B696" i="24"/>
  <c r="F696" i="24" l="1"/>
  <c r="U696" i="24"/>
  <c r="K696" i="24"/>
  <c r="V696" i="24"/>
  <c r="O696" i="24"/>
  <c r="L696" i="24"/>
  <c r="M696" i="24" s="1"/>
  <c r="E696" i="24"/>
  <c r="S696" i="24" l="1"/>
  <c r="T696" i="24" s="1"/>
  <c r="AB696" i="24" s="1"/>
  <c r="AA696" i="24" l="1"/>
  <c r="AC696" i="24"/>
  <c r="R696" i="24"/>
  <c r="W696" i="24" s="1"/>
  <c r="X696" i="24" l="1"/>
  <c r="AE696" i="24" s="1"/>
  <c r="H697" i="24" s="1"/>
  <c r="Y696" i="24"/>
  <c r="AF696" i="24" s="1"/>
  <c r="I697" i="24" s="1"/>
  <c r="AD696" i="24"/>
  <c r="B697" i="24" s="1"/>
  <c r="D697" i="24" l="1"/>
  <c r="U697" i="24" s="1"/>
  <c r="G697" i="24"/>
  <c r="J697" i="24" s="1"/>
  <c r="P697" i="24" s="1"/>
  <c r="Q697" i="24" s="1"/>
  <c r="C697" i="24"/>
  <c r="E697" i="24" s="1"/>
  <c r="V697" i="24" l="1"/>
  <c r="AG696" i="24"/>
  <c r="F697" i="24"/>
  <c r="L697" i="24"/>
  <c r="M697" i="24" s="1"/>
  <c r="K697" i="24"/>
  <c r="O697" i="24"/>
  <c r="S697" i="24" l="1"/>
  <c r="R697" i="24" s="1"/>
  <c r="Y697" i="24" s="1"/>
  <c r="W697" i="24" l="1"/>
  <c r="X697" i="24"/>
  <c r="T697" i="24"/>
  <c r="AC697" i="24" l="1"/>
  <c r="AF697" i="24" s="1"/>
  <c r="AB697" i="24"/>
  <c r="AE697" i="24" s="1"/>
  <c r="H698" i="24" s="1"/>
  <c r="AA697" i="24"/>
  <c r="AD697" i="24" s="1"/>
  <c r="G698" i="24" s="1"/>
  <c r="D698" i="24" l="1"/>
  <c r="I698" i="24"/>
  <c r="J698" i="24" s="1"/>
  <c r="K698" i="24" s="1"/>
  <c r="B698" i="24"/>
  <c r="C698" i="24"/>
  <c r="AG697" i="24" l="1"/>
  <c r="V698" i="24"/>
  <c r="U698" i="24"/>
  <c r="O698" i="24"/>
  <c r="E698" i="24"/>
  <c r="L698" i="24"/>
  <c r="M698" i="24" s="1"/>
  <c r="P698" i="24"/>
  <c r="Q698" i="24" s="1"/>
  <c r="F698" i="24"/>
  <c r="S698" i="24" l="1"/>
  <c r="T698" i="24" s="1"/>
  <c r="AA698" i="24" s="1"/>
  <c r="AC698" i="24" l="1"/>
  <c r="AB698" i="24"/>
  <c r="R698" i="24"/>
  <c r="X698" i="24" s="1"/>
  <c r="AE698" i="24" s="1"/>
  <c r="Y698" i="24" l="1"/>
  <c r="AF698" i="24" s="1"/>
  <c r="I699" i="24" s="1"/>
  <c r="W698" i="24"/>
  <c r="AD698" i="24" s="1"/>
  <c r="B699" i="24" s="1"/>
  <c r="C699" i="24"/>
  <c r="H699" i="24"/>
  <c r="G699" i="24" l="1"/>
  <c r="J699" i="24" s="1"/>
  <c r="D699" i="24"/>
  <c r="V699" i="24" s="1"/>
  <c r="F699" i="24"/>
  <c r="E699" i="24"/>
  <c r="AG698" i="24" l="1"/>
  <c r="U699" i="24"/>
  <c r="P699" i="24"/>
  <c r="Q699" i="24" s="1"/>
  <c r="L699" i="24"/>
  <c r="M699" i="24" s="1"/>
  <c r="K699" i="24"/>
  <c r="O699" i="24"/>
  <c r="S699" i="24" l="1"/>
  <c r="T699" i="24" s="1"/>
  <c r="AA699" i="24" s="1"/>
  <c r="AB699" i="24" l="1"/>
  <c r="AC699" i="24"/>
  <c r="R699" i="24"/>
  <c r="W699" i="24" s="1"/>
  <c r="X699" i="24" l="1"/>
  <c r="AE699" i="24" s="1"/>
  <c r="Y699" i="24"/>
  <c r="AF699" i="24" s="1"/>
  <c r="AD699" i="24"/>
  <c r="D700" i="24" l="1"/>
  <c r="I700" i="24"/>
  <c r="G700" i="24"/>
  <c r="B700" i="24"/>
  <c r="H700" i="24"/>
  <c r="C700" i="24"/>
  <c r="E700" i="24" l="1"/>
  <c r="F700" i="24"/>
  <c r="J700" i="24"/>
  <c r="O700" i="24" s="1"/>
  <c r="U700" i="24"/>
  <c r="V700" i="24"/>
  <c r="AG699" i="24"/>
  <c r="L700" i="24" l="1"/>
  <c r="M700" i="24" s="1"/>
  <c r="K700" i="24"/>
  <c r="P700" i="24"/>
  <c r="Q700" i="24" s="1"/>
  <c r="S700" i="24" l="1"/>
  <c r="T700" i="24" s="1"/>
  <c r="AB700" i="24" s="1"/>
  <c r="R700" i="24"/>
  <c r="Y700" i="24" s="1"/>
  <c r="AC700" i="24" l="1"/>
  <c r="AA700" i="24"/>
  <c r="X700" i="24"/>
  <c r="AE700" i="24" s="1"/>
  <c r="H701" i="24" s="1"/>
  <c r="W700" i="24"/>
  <c r="AF700" i="24"/>
  <c r="AD700" i="24" l="1"/>
  <c r="C701" i="24"/>
  <c r="B701" i="24"/>
  <c r="G701" i="24"/>
  <c r="I701" i="24"/>
  <c r="D701" i="24"/>
  <c r="E701" i="24" l="1"/>
  <c r="F701" i="24"/>
  <c r="V701" i="24"/>
  <c r="U701" i="24"/>
  <c r="AG700" i="24"/>
  <c r="J701" i="24"/>
  <c r="O701" i="24" l="1"/>
  <c r="L701" i="24"/>
  <c r="M701" i="24" s="1"/>
  <c r="P701" i="24"/>
  <c r="Q701" i="24" s="1"/>
  <c r="K701" i="24"/>
  <c r="S701" i="24" l="1"/>
  <c r="T701" i="24" s="1"/>
  <c r="AC701" i="24" s="1"/>
  <c r="AA701" i="24" l="1"/>
  <c r="AB701" i="24"/>
  <c r="R701" i="24"/>
  <c r="W701" i="24" s="1"/>
  <c r="AD701" i="24" s="1"/>
  <c r="X701" i="24" l="1"/>
  <c r="AE701" i="24" s="1"/>
  <c r="C702" i="24" s="1"/>
  <c r="Y701" i="24"/>
  <c r="AF701" i="24" s="1"/>
  <c r="I702" i="24" s="1"/>
  <c r="B702" i="24"/>
  <c r="G702" i="24"/>
  <c r="H702" i="24" l="1"/>
  <c r="J702" i="24" s="1"/>
  <c r="P702" i="24" s="1"/>
  <c r="Q702" i="24" s="1"/>
  <c r="D702" i="24"/>
  <c r="U702" i="24" s="1"/>
  <c r="E702" i="24"/>
  <c r="F702" i="24"/>
  <c r="AG701" i="24" l="1"/>
  <c r="V702" i="24"/>
  <c r="O702" i="24"/>
  <c r="K702" i="24"/>
  <c r="L702" i="24"/>
  <c r="M702" i="24" s="1"/>
  <c r="S702" i="24" l="1"/>
  <c r="T702" i="24" s="1"/>
  <c r="AA702" i="24" s="1"/>
  <c r="AC702" i="24" l="1"/>
  <c r="AB702" i="24"/>
  <c r="R702" i="24"/>
  <c r="Y702" i="24" s="1"/>
  <c r="AF702" i="24" l="1"/>
  <c r="I703" i="24" s="1"/>
  <c r="W702" i="24"/>
  <c r="AD702" i="24" s="1"/>
  <c r="X702" i="24"/>
  <c r="AE702" i="24" s="1"/>
  <c r="D703" i="24" l="1"/>
  <c r="U703" i="24" s="1"/>
  <c r="G703" i="24"/>
  <c r="B703" i="24"/>
  <c r="C703" i="24"/>
  <c r="H703" i="24"/>
  <c r="V703" i="24" l="1"/>
  <c r="AG702" i="24"/>
  <c r="F703" i="24"/>
  <c r="E703" i="24"/>
  <c r="J703" i="24"/>
  <c r="K703" i="24" l="1"/>
  <c r="P703" i="24"/>
  <c r="Q703" i="24" s="1"/>
  <c r="L703" i="24"/>
  <c r="M703" i="24" s="1"/>
  <c r="O703" i="24"/>
  <c r="S703" i="24" l="1"/>
  <c r="T703" i="24" s="1"/>
  <c r="AA703" i="24" s="1"/>
  <c r="AC703" i="24" l="1"/>
  <c r="AB703" i="24"/>
  <c r="R703" i="24"/>
  <c r="Y703" i="24" s="1"/>
  <c r="AF703" i="24" s="1"/>
  <c r="I704" i="24" s="1"/>
  <c r="X703" i="24" l="1"/>
  <c r="AE703" i="24" s="1"/>
  <c r="D704" i="24"/>
  <c r="V704" i="24" s="1"/>
  <c r="W703" i="24"/>
  <c r="AD703" i="24" s="1"/>
  <c r="B704" i="24" s="1"/>
  <c r="U704" i="24" l="1"/>
  <c r="AG703" i="24"/>
  <c r="G704" i="24"/>
  <c r="C704" i="24"/>
  <c r="F704" i="24" s="1"/>
  <c r="H704" i="24"/>
  <c r="J704" i="24" l="1"/>
  <c r="P704" i="24" s="1"/>
  <c r="Q704" i="24" s="1"/>
  <c r="E704" i="24"/>
  <c r="K704" i="24" l="1"/>
  <c r="O704" i="24"/>
  <c r="L704" i="24"/>
  <c r="M704" i="24" s="1"/>
  <c r="S704" i="24" l="1"/>
  <c r="T704" i="24" s="1"/>
  <c r="AB704" i="24" s="1"/>
  <c r="AC704" i="24" l="1"/>
  <c r="AA704" i="24"/>
  <c r="R704" i="24"/>
  <c r="X704" i="24" s="1"/>
  <c r="Y704" i="24" l="1"/>
  <c r="AF704" i="24" s="1"/>
  <c r="I705" i="24" s="1"/>
  <c r="W704" i="24"/>
  <c r="AD704" i="24" s="1"/>
  <c r="G705" i="24" s="1"/>
  <c r="AE704" i="24"/>
  <c r="C705" i="24" s="1"/>
  <c r="D705" i="24" l="1"/>
  <c r="U705" i="24" s="1"/>
  <c r="H705" i="24"/>
  <c r="J705" i="24" s="1"/>
  <c r="L705" i="24" s="1"/>
  <c r="M705" i="24" s="1"/>
  <c r="B705" i="24"/>
  <c r="E705" i="24" s="1"/>
  <c r="V705" i="24" l="1"/>
  <c r="AG704" i="24"/>
  <c r="F705" i="24"/>
  <c r="O705" i="24"/>
  <c r="S705" i="24" s="1"/>
  <c r="T705" i="24" s="1"/>
  <c r="AC705" i="24" s="1"/>
  <c r="P705" i="24"/>
  <c r="Q705" i="24" s="1"/>
  <c r="K705" i="24"/>
  <c r="AB705" i="24" l="1"/>
  <c r="AA705" i="24"/>
  <c r="R705" i="24"/>
  <c r="Y705" i="24" s="1"/>
  <c r="AF705" i="24" l="1"/>
  <c r="I706" i="24" s="1"/>
  <c r="X705" i="24"/>
  <c r="AE705" i="24" s="1"/>
  <c r="W705" i="24"/>
  <c r="AD705" i="24" s="1"/>
  <c r="D706" i="24" l="1"/>
  <c r="V706" i="24" s="1"/>
  <c r="B706" i="24"/>
  <c r="G706" i="24"/>
  <c r="C706" i="24"/>
  <c r="H706" i="24"/>
  <c r="AG705" i="24" l="1"/>
  <c r="U706" i="24"/>
  <c r="F706" i="24"/>
  <c r="J706" i="24"/>
  <c r="E706" i="24"/>
  <c r="K706" i="24" l="1"/>
  <c r="L706" i="24"/>
  <c r="M706" i="24" s="1"/>
  <c r="O706" i="24"/>
  <c r="P706" i="24"/>
  <c r="Q706" i="24" s="1"/>
  <c r="S706" i="24" l="1"/>
  <c r="T706" i="24" s="1"/>
  <c r="AA706" i="24" s="1"/>
  <c r="AB706" i="24" l="1"/>
  <c r="AC706" i="24"/>
  <c r="R706" i="24"/>
  <c r="Y706" i="24" l="1"/>
  <c r="AF706" i="24" s="1"/>
  <c r="W706" i="24"/>
  <c r="AD706" i="24" s="1"/>
  <c r="X706" i="24"/>
  <c r="AE706" i="24" s="1"/>
  <c r="C707" i="24" l="1"/>
  <c r="H707" i="24"/>
  <c r="B707" i="24"/>
  <c r="G707" i="24"/>
  <c r="I707" i="24"/>
  <c r="D707" i="24"/>
  <c r="J707" i="24" l="1"/>
  <c r="O707" i="24" s="1"/>
  <c r="E707" i="24"/>
  <c r="V707" i="24"/>
  <c r="U707" i="24"/>
  <c r="AG706" i="24"/>
  <c r="F707" i="24"/>
  <c r="L707" i="24" l="1"/>
  <c r="M707" i="24" s="1"/>
  <c r="K707" i="24"/>
  <c r="P707" i="24"/>
  <c r="Q707" i="24" s="1"/>
  <c r="S707" i="24" l="1"/>
  <c r="AA707" i="24"/>
  <c r="AB707" i="24"/>
  <c r="AC707" i="24"/>
  <c r="T707" i="24"/>
  <c r="R707" i="24"/>
  <c r="W707" i="24" s="1"/>
  <c r="Y707" i="24" l="1"/>
  <c r="X707" i="24"/>
  <c r="AD707" i="24"/>
  <c r="AF707" i="24" l="1"/>
  <c r="I708" i="24" s="1"/>
  <c r="AE707" i="24"/>
  <c r="H708" i="24" s="1"/>
  <c r="G708" i="24"/>
  <c r="B708" i="24"/>
  <c r="C708" i="24" l="1"/>
  <c r="E708" i="24" s="1"/>
  <c r="D708" i="24"/>
  <c r="V708" i="24" s="1"/>
  <c r="J708" i="24"/>
  <c r="F708" i="24" l="1"/>
  <c r="O708" i="24"/>
  <c r="U708" i="24"/>
  <c r="AG707" i="24"/>
  <c r="K708" i="24"/>
  <c r="L708" i="24"/>
  <c r="M708" i="24" s="1"/>
  <c r="P708" i="24"/>
  <c r="Q708" i="24" s="1"/>
  <c r="S708" i="24" l="1"/>
  <c r="T708" i="24" s="1"/>
  <c r="AB708" i="24" s="1"/>
  <c r="AA708" i="24" l="1"/>
  <c r="AC708" i="24"/>
  <c r="R708" i="24"/>
  <c r="X708" i="24" s="1"/>
  <c r="AE708" i="24" s="1"/>
  <c r="W708" i="24" l="1"/>
  <c r="AD708" i="24" s="1"/>
  <c r="B709" i="24" s="1"/>
  <c r="Y708" i="24"/>
  <c r="AF708" i="24" s="1"/>
  <c r="I709" i="24" s="1"/>
  <c r="H709" i="24"/>
  <c r="C709" i="24"/>
  <c r="D709" i="24" l="1"/>
  <c r="V709" i="24" s="1"/>
  <c r="G709" i="24"/>
  <c r="J709" i="24" s="1"/>
  <c r="P709" i="24" s="1"/>
  <c r="Q709" i="24" s="1"/>
  <c r="E709" i="24"/>
  <c r="F709" i="24"/>
  <c r="U709" i="24" l="1"/>
  <c r="AG708" i="24"/>
  <c r="O709" i="24"/>
  <c r="K709" i="24"/>
  <c r="L709" i="24"/>
  <c r="M709" i="24" s="1"/>
  <c r="S709" i="24" l="1"/>
  <c r="T709" i="24" s="1"/>
  <c r="AC709" i="24" s="1"/>
  <c r="AB709" i="24" l="1"/>
  <c r="AA709" i="24"/>
  <c r="R709" i="24"/>
  <c r="W709" i="24" s="1"/>
  <c r="AD709" i="24" l="1"/>
  <c r="G710" i="24" s="1"/>
  <c r="Y709" i="24"/>
  <c r="AF709" i="24" s="1"/>
  <c r="I710" i="24" s="1"/>
  <c r="X709" i="24"/>
  <c r="AE709" i="24" s="1"/>
  <c r="C710" i="24" s="1"/>
  <c r="B710" i="24" l="1"/>
  <c r="F710" i="24" s="1"/>
  <c r="D710" i="24"/>
  <c r="AG709" i="24" s="1"/>
  <c r="H710" i="24"/>
  <c r="J710" i="24" s="1"/>
  <c r="E710" i="24" l="1"/>
  <c r="V710" i="24"/>
  <c r="U710" i="24"/>
  <c r="O710" i="24"/>
  <c r="L710" i="24"/>
  <c r="M710" i="24" s="1"/>
  <c r="P710" i="24"/>
  <c r="Q710" i="24" s="1"/>
  <c r="K710" i="24"/>
  <c r="S710" i="24" l="1"/>
  <c r="T710" i="24" s="1"/>
  <c r="AA710" i="24" s="1"/>
  <c r="AC710" i="24" l="1"/>
  <c r="AB710" i="24"/>
  <c r="R710" i="24"/>
  <c r="X710" i="24" s="1"/>
  <c r="W710" i="24" l="1"/>
  <c r="AD710" i="24" s="1"/>
  <c r="B711" i="24" s="1"/>
  <c r="Y710" i="24"/>
  <c r="AF710" i="24" s="1"/>
  <c r="D711" i="24" s="1"/>
  <c r="AE710" i="24"/>
  <c r="H711" i="24" s="1"/>
  <c r="I711" i="24" l="1"/>
  <c r="C711" i="24"/>
  <c r="E711" i="24" s="1"/>
  <c r="G711" i="24"/>
  <c r="V711" i="24"/>
  <c r="U711" i="24"/>
  <c r="AG710" i="24"/>
  <c r="F711" i="24" l="1"/>
  <c r="J711" i="24"/>
  <c r="O711" i="24" s="1"/>
  <c r="K711" i="24" l="1"/>
  <c r="L711" i="24"/>
  <c r="M711" i="24" s="1"/>
  <c r="P711" i="24"/>
  <c r="Q711" i="24" s="1"/>
  <c r="S711" i="24" l="1"/>
  <c r="T711" i="24" s="1"/>
  <c r="AA711" i="24" s="1"/>
  <c r="AB711" i="24"/>
  <c r="AC711" i="24"/>
  <c r="R711" i="24"/>
  <c r="Y711" i="24" s="1"/>
  <c r="AF711" i="24" l="1"/>
  <c r="D712" i="24" s="1"/>
  <c r="W711" i="24"/>
  <c r="AD711" i="24" s="1"/>
  <c r="G712" i="24" s="1"/>
  <c r="X711" i="24"/>
  <c r="AE711" i="24" s="1"/>
  <c r="I712" i="24" l="1"/>
  <c r="H712" i="24"/>
  <c r="C712" i="24"/>
  <c r="B712" i="24"/>
  <c r="V712" i="24"/>
  <c r="U712" i="24"/>
  <c r="AG711" i="24"/>
  <c r="J712" i="24" l="1"/>
  <c r="O712" i="24" s="1"/>
  <c r="F712" i="24"/>
  <c r="E712" i="24"/>
  <c r="P712" i="24" l="1"/>
  <c r="Q712" i="24" s="1"/>
  <c r="L712" i="24"/>
  <c r="M712" i="24" s="1"/>
  <c r="K712" i="24"/>
  <c r="S712" i="24" l="1"/>
  <c r="T712" i="24" s="1"/>
  <c r="AB712" i="24" s="1"/>
  <c r="AC712" i="24"/>
  <c r="AA712" i="24"/>
  <c r="R712" i="24"/>
  <c r="Y712" i="24" s="1"/>
  <c r="AF712" i="24" l="1"/>
  <c r="I713" i="24" s="1"/>
  <c r="X712" i="24"/>
  <c r="AE712" i="24" s="1"/>
  <c r="C713" i="24" s="1"/>
  <c r="W712" i="24"/>
  <c r="AD712" i="24" s="1"/>
  <c r="G713" i="24" s="1"/>
  <c r="D713" i="24" l="1"/>
  <c r="U713" i="24" s="1"/>
  <c r="H713" i="24"/>
  <c r="J713" i="24" s="1"/>
  <c r="B713" i="24"/>
  <c r="E713" i="24" s="1"/>
  <c r="V713" i="24" l="1"/>
  <c r="AG712" i="24"/>
  <c r="F713" i="24"/>
  <c r="O713" i="24"/>
  <c r="L713" i="24"/>
  <c r="M713" i="24" s="1"/>
  <c r="K713" i="24"/>
  <c r="P713" i="24"/>
  <c r="Q713" i="24" s="1"/>
  <c r="S713" i="24" l="1"/>
  <c r="T713" i="24" s="1"/>
  <c r="AC713" i="24" s="1"/>
  <c r="AB713" i="24" l="1"/>
  <c r="AA713" i="24"/>
  <c r="R713" i="24"/>
  <c r="Y713" i="24" s="1"/>
  <c r="W713" i="24" l="1"/>
  <c r="AD713" i="24" s="1"/>
  <c r="B714" i="24" s="1"/>
  <c r="X713" i="24"/>
  <c r="AE713" i="24" s="1"/>
  <c r="H714" i="24" s="1"/>
  <c r="AF713" i="24"/>
  <c r="I714" i="24" s="1"/>
  <c r="G714" i="24" l="1"/>
  <c r="J714" i="24" s="1"/>
  <c r="D714" i="24"/>
  <c r="V714" i="24" s="1"/>
  <c r="C714" i="24"/>
  <c r="E714" i="24" s="1"/>
  <c r="U714" i="24" l="1"/>
  <c r="AG713" i="24"/>
  <c r="O714" i="24"/>
  <c r="F714" i="24"/>
  <c r="K714" i="24"/>
  <c r="P714" i="24"/>
  <c r="Q714" i="24" s="1"/>
  <c r="L714" i="24"/>
  <c r="M714" i="24" s="1"/>
  <c r="S714" i="24" l="1"/>
  <c r="T714" i="24" s="1"/>
  <c r="AA714" i="24" s="1"/>
  <c r="AB714" i="24" l="1"/>
  <c r="AC714" i="24"/>
  <c r="R714" i="24"/>
  <c r="Y714" i="24" s="1"/>
  <c r="X714" i="24" l="1"/>
  <c r="AE714" i="24" s="1"/>
  <c r="C715" i="24" s="1"/>
  <c r="W714" i="24"/>
  <c r="AD714" i="24" s="1"/>
  <c r="B715" i="24" s="1"/>
  <c r="AF714" i="24"/>
  <c r="D715" i="24" s="1"/>
  <c r="H715" i="24" l="1"/>
  <c r="I715" i="24"/>
  <c r="G715" i="24"/>
  <c r="F715" i="24"/>
  <c r="AG714" i="24"/>
  <c r="U715" i="24"/>
  <c r="V715" i="24"/>
  <c r="E715" i="24"/>
  <c r="J715" i="24" l="1"/>
  <c r="O715" i="24" s="1"/>
  <c r="L715" i="24" l="1"/>
  <c r="M715" i="24" s="1"/>
  <c r="K715" i="24"/>
  <c r="P715" i="24"/>
  <c r="Q715" i="24" s="1"/>
  <c r="S715" i="24" l="1"/>
  <c r="T715" i="24" s="1"/>
  <c r="AA715" i="24" s="1"/>
  <c r="AC715" i="24"/>
  <c r="R715" i="24"/>
  <c r="X715" i="24" s="1"/>
  <c r="AB715" i="24" l="1"/>
  <c r="AE715" i="24" s="1"/>
  <c r="W715" i="24"/>
  <c r="AD715" i="24" s="1"/>
  <c r="G716" i="24" s="1"/>
  <c r="Y715" i="24"/>
  <c r="AF715" i="24" s="1"/>
  <c r="I716" i="24" s="1"/>
  <c r="C716" i="24" l="1"/>
  <c r="H716" i="24"/>
  <c r="J716" i="24" s="1"/>
  <c r="D716" i="24"/>
  <c r="AG715" i="24" s="1"/>
  <c r="B716" i="24"/>
  <c r="F716" i="24" s="1"/>
  <c r="U716" i="24" l="1"/>
  <c r="V716" i="24"/>
  <c r="E716" i="24"/>
  <c r="O716" i="24"/>
  <c r="L716" i="24"/>
  <c r="M716" i="24" s="1"/>
  <c r="P716" i="24"/>
  <c r="Q716" i="24" s="1"/>
  <c r="K716" i="24"/>
  <c r="S716" i="24" l="1"/>
  <c r="T716" i="24" s="1"/>
  <c r="AB716" i="24" s="1"/>
  <c r="AA716" i="24" l="1"/>
  <c r="AC716" i="24"/>
  <c r="R716" i="24"/>
  <c r="Y716" i="24" s="1"/>
  <c r="AF716" i="24" l="1"/>
  <c r="X716" i="24"/>
  <c r="AE716" i="24" s="1"/>
  <c r="C717" i="24" s="1"/>
  <c r="W716" i="24"/>
  <c r="AD716" i="24" s="1"/>
  <c r="G717" i="24" s="1"/>
  <c r="D717" i="24"/>
  <c r="I717" i="24"/>
  <c r="H717" i="24" l="1"/>
  <c r="J717" i="24" s="1"/>
  <c r="B717" i="24"/>
  <c r="E717" i="24" s="1"/>
  <c r="V717" i="24"/>
  <c r="U717" i="24"/>
  <c r="AG716" i="24"/>
  <c r="F717" i="24" l="1"/>
  <c r="O717" i="24"/>
  <c r="P717" i="24"/>
  <c r="Q717" i="24" s="1"/>
  <c r="L717" i="24"/>
  <c r="M717" i="24" s="1"/>
  <c r="K717" i="24"/>
  <c r="S717" i="24" l="1"/>
  <c r="T717" i="24" s="1"/>
  <c r="AC717" i="24" s="1"/>
  <c r="AA717" i="24" l="1"/>
  <c r="AB717" i="24"/>
  <c r="R717" i="24"/>
  <c r="X717" i="24" s="1"/>
  <c r="Y717" i="24" l="1"/>
  <c r="AF717" i="24" s="1"/>
  <c r="I718" i="24" s="1"/>
  <c r="W717" i="24"/>
  <c r="AD717" i="24" s="1"/>
  <c r="B718" i="24" s="1"/>
  <c r="AE717" i="24"/>
  <c r="C718" i="24" s="1"/>
  <c r="G718" i="24" l="1"/>
  <c r="H718" i="24"/>
  <c r="D718" i="24"/>
  <c r="U718" i="24" s="1"/>
  <c r="E718" i="24"/>
  <c r="F718" i="24"/>
  <c r="J718" i="24" l="1"/>
  <c r="K718" i="24" s="1"/>
  <c r="AG717" i="24"/>
  <c r="V718" i="24"/>
  <c r="L718" i="24" l="1"/>
  <c r="M718" i="24" s="1"/>
  <c r="O718" i="24"/>
  <c r="P718" i="24"/>
  <c r="Q718" i="24" s="1"/>
  <c r="S718" i="24" l="1"/>
  <c r="T718" i="24" s="1"/>
  <c r="AA718" i="24" s="1"/>
  <c r="AC718" i="24" l="1"/>
  <c r="AB718" i="24"/>
  <c r="R718" i="24"/>
  <c r="X718" i="24" s="1"/>
  <c r="Y718" i="24" l="1"/>
  <c r="AF718" i="24" s="1"/>
  <c r="D719" i="24" s="1"/>
  <c r="U719" i="24" s="1"/>
  <c r="W718" i="24"/>
  <c r="AD718" i="24" s="1"/>
  <c r="AE718" i="24"/>
  <c r="H719" i="24" s="1"/>
  <c r="I719" i="24" l="1"/>
  <c r="C719" i="24"/>
  <c r="V719" i="24"/>
  <c r="AG718" i="24"/>
  <c r="G719" i="24"/>
  <c r="B719" i="24"/>
  <c r="J719" i="24" l="1"/>
  <c r="O719" i="24" s="1"/>
  <c r="E719" i="24"/>
  <c r="F719" i="24"/>
  <c r="L719" i="24" l="1"/>
  <c r="M719" i="24" s="1"/>
  <c r="P719" i="24"/>
  <c r="Q719" i="24" s="1"/>
  <c r="K719" i="24"/>
  <c r="S719" i="24" l="1"/>
  <c r="T719" i="24" s="1"/>
  <c r="AA719" i="24" s="1"/>
  <c r="AC719" i="24"/>
  <c r="R719" i="24"/>
  <c r="W719" i="24" s="1"/>
  <c r="AB719" i="24" l="1"/>
  <c r="AD719" i="24"/>
  <c r="G720" i="24" s="1"/>
  <c r="X719" i="24"/>
  <c r="AE719" i="24" s="1"/>
  <c r="H720" i="24" s="1"/>
  <c r="Y719" i="24"/>
  <c r="AF719" i="24" s="1"/>
  <c r="I720" i="24" s="1"/>
  <c r="B720" i="24" l="1"/>
  <c r="D720" i="24"/>
  <c r="U720" i="24" s="1"/>
  <c r="C720" i="24"/>
  <c r="J720" i="24"/>
  <c r="L720" i="24" s="1"/>
  <c r="M720" i="24" s="1"/>
  <c r="E720" i="24" l="1"/>
  <c r="V720" i="24"/>
  <c r="AG719" i="24"/>
  <c r="K720" i="24"/>
  <c r="P720" i="24"/>
  <c r="Q720" i="24" s="1"/>
  <c r="O720" i="24"/>
  <c r="S720" i="24" s="1"/>
  <c r="T720" i="24" s="1"/>
  <c r="AB720" i="24" s="1"/>
  <c r="F720" i="24"/>
  <c r="AA720" i="24" l="1"/>
  <c r="AC720" i="24"/>
  <c r="R720" i="24"/>
  <c r="W720" i="24" s="1"/>
  <c r="X720" i="24" l="1"/>
  <c r="AE720" i="24" s="1"/>
  <c r="Y720" i="24"/>
  <c r="AF720" i="24" s="1"/>
  <c r="AD720" i="24"/>
  <c r="B721" i="24" l="1"/>
  <c r="G721" i="24"/>
  <c r="D721" i="24"/>
  <c r="I721" i="24"/>
  <c r="C721" i="24"/>
  <c r="H721" i="24"/>
  <c r="U721" i="24" l="1"/>
  <c r="V721" i="24"/>
  <c r="AG720" i="24"/>
  <c r="J721" i="24"/>
  <c r="O721" i="24" s="1"/>
  <c r="F721" i="24"/>
  <c r="E721" i="24"/>
  <c r="L721" i="24" l="1"/>
  <c r="M721" i="24" s="1"/>
  <c r="K721" i="24"/>
  <c r="P721" i="24"/>
  <c r="Q721" i="24" s="1"/>
  <c r="S721" i="24" l="1"/>
  <c r="T721" i="24" s="1"/>
  <c r="AC721" i="24" s="1"/>
  <c r="R721" i="24" l="1"/>
  <c r="AB721" i="24"/>
  <c r="AA721" i="24"/>
  <c r="X721" i="24"/>
  <c r="Y721" i="24"/>
  <c r="AF721" i="24" s="1"/>
  <c r="W721" i="24"/>
  <c r="AE721" i="24" l="1"/>
  <c r="AD721" i="24"/>
  <c r="B722" i="24"/>
  <c r="G722" i="24"/>
  <c r="I722" i="24"/>
  <c r="D722" i="24"/>
  <c r="H722" i="24"/>
  <c r="C722" i="24"/>
  <c r="E722" i="24" l="1"/>
  <c r="F722" i="24"/>
  <c r="J722" i="24"/>
  <c r="O722" i="24" s="1"/>
  <c r="V722" i="24"/>
  <c r="U722" i="24"/>
  <c r="AG721" i="24"/>
  <c r="K722" i="24" l="1"/>
  <c r="L722" i="24"/>
  <c r="M722" i="24" s="1"/>
  <c r="P722" i="24"/>
  <c r="Q722" i="24" s="1"/>
  <c r="S722" i="24" l="1"/>
  <c r="T722" i="24" s="1"/>
  <c r="AA722" i="24" s="1"/>
  <c r="AB722" i="24"/>
  <c r="AC722" i="24"/>
  <c r="R722" i="24"/>
  <c r="X722" i="24" s="1"/>
  <c r="W722" i="24" l="1"/>
  <c r="AD722" i="24" s="1"/>
  <c r="Y722" i="24"/>
  <c r="AF722" i="24" s="1"/>
  <c r="AE722" i="24"/>
  <c r="C723" i="24" l="1"/>
  <c r="H723" i="24"/>
  <c r="D723" i="24"/>
  <c r="I723" i="24"/>
  <c r="B723" i="24"/>
  <c r="G723" i="24"/>
  <c r="U723" i="24" l="1"/>
  <c r="V723" i="24"/>
  <c r="AG722" i="24"/>
  <c r="J723" i="24"/>
  <c r="E723" i="24"/>
  <c r="F723" i="24"/>
  <c r="P723" i="24" l="1"/>
  <c r="Q723" i="24" s="1"/>
  <c r="L723" i="24"/>
  <c r="M723" i="24" s="1"/>
  <c r="K723" i="24"/>
  <c r="O723" i="24"/>
  <c r="S723" i="24" l="1"/>
  <c r="T723" i="24" s="1"/>
  <c r="AA723" i="24" s="1"/>
  <c r="AC723" i="24" l="1"/>
  <c r="AB723" i="24"/>
  <c r="R723" i="24"/>
  <c r="W723" i="24" s="1"/>
  <c r="Y723" i="24" l="1"/>
  <c r="AF723" i="24" s="1"/>
  <c r="D724" i="24" s="1"/>
  <c r="X723" i="24"/>
  <c r="AE723" i="24" s="1"/>
  <c r="AD723" i="24"/>
  <c r="B724" i="24" s="1"/>
  <c r="I724" i="24" l="1"/>
  <c r="G724" i="24"/>
  <c r="H724" i="24"/>
  <c r="C724" i="24"/>
  <c r="F724" i="24" s="1"/>
  <c r="V724" i="24"/>
  <c r="U724" i="24"/>
  <c r="AG723" i="24"/>
  <c r="J724" i="24" l="1"/>
  <c r="O724" i="24" s="1"/>
  <c r="E724" i="24"/>
  <c r="P724" i="24" l="1"/>
  <c r="Q724" i="24" s="1"/>
  <c r="L724" i="24"/>
  <c r="M724" i="24" s="1"/>
  <c r="K724" i="24"/>
  <c r="S724" i="24" l="1"/>
  <c r="T724" i="24" s="1"/>
  <c r="AB724" i="24" s="1"/>
  <c r="AA724" i="24"/>
  <c r="R724" i="24"/>
  <c r="W724" i="24" s="1"/>
  <c r="AC724" i="24" l="1"/>
  <c r="AD724" i="24"/>
  <c r="G725" i="24" s="1"/>
  <c r="Y724" i="24"/>
  <c r="AF724" i="24" s="1"/>
  <c r="D725" i="24" s="1"/>
  <c r="X724" i="24"/>
  <c r="AE724" i="24" s="1"/>
  <c r="B725" i="24" l="1"/>
  <c r="I725" i="24"/>
  <c r="C725" i="24"/>
  <c r="F725" i="24" s="1"/>
  <c r="H725" i="24"/>
  <c r="V725" i="24"/>
  <c r="U725" i="24"/>
  <c r="AG724" i="24"/>
  <c r="J725" i="24" l="1"/>
  <c r="L725" i="24" s="1"/>
  <c r="M725" i="24" s="1"/>
  <c r="E725" i="24"/>
  <c r="K725" i="24" l="1"/>
  <c r="P725" i="24"/>
  <c r="Q725" i="24" s="1"/>
  <c r="O725" i="24"/>
  <c r="S725" i="24" s="1"/>
  <c r="T725" i="24" l="1"/>
  <c r="R725" i="24"/>
  <c r="X725" i="24" s="1"/>
  <c r="AC725" i="24" l="1"/>
  <c r="AA725" i="24"/>
  <c r="AB725" i="24"/>
  <c r="AE725" i="24" s="1"/>
  <c r="H726" i="24" s="1"/>
  <c r="Y725" i="24"/>
  <c r="W725" i="24"/>
  <c r="AD725" i="24" l="1"/>
  <c r="G726" i="24" s="1"/>
  <c r="C726" i="24"/>
  <c r="AF725" i="24"/>
  <c r="D726" i="24" s="1"/>
  <c r="AG725" i="24" s="1"/>
  <c r="B726" i="24" l="1"/>
  <c r="E726" i="24" s="1"/>
  <c r="V726" i="24"/>
  <c r="U726" i="24"/>
  <c r="I726" i="24"/>
  <c r="J726" i="24" s="1"/>
  <c r="O726" i="24" s="1"/>
  <c r="F726" i="24" l="1"/>
  <c r="K726" i="24"/>
  <c r="P726" i="24"/>
  <c r="Q726" i="24" s="1"/>
  <c r="L726" i="24"/>
  <c r="M726" i="24" s="1"/>
  <c r="S726" i="24" l="1"/>
  <c r="T726" i="24" s="1"/>
  <c r="AA726" i="24"/>
  <c r="AB726" i="24"/>
  <c r="AC726" i="24"/>
  <c r="R726" i="24"/>
  <c r="W726" i="24" s="1"/>
  <c r="X726" i="24" l="1"/>
  <c r="AE726" i="24" s="1"/>
  <c r="H727" i="24" s="1"/>
  <c r="Y726" i="24"/>
  <c r="AF726" i="24" s="1"/>
  <c r="I727" i="24" s="1"/>
  <c r="AD726" i="24"/>
  <c r="B727" i="24" s="1"/>
  <c r="C727" i="24" l="1"/>
  <c r="E727" i="24" s="1"/>
  <c r="G727" i="24"/>
  <c r="J727" i="24" s="1"/>
  <c r="D727" i="24"/>
  <c r="V727" i="24" s="1"/>
  <c r="F727" i="24" l="1"/>
  <c r="AG726" i="24"/>
  <c r="U727" i="24"/>
  <c r="P727" i="24"/>
  <c r="Q727" i="24" s="1"/>
  <c r="K727" i="24"/>
  <c r="L727" i="24"/>
  <c r="M727" i="24" s="1"/>
  <c r="O727" i="24"/>
  <c r="S727" i="24" l="1"/>
  <c r="T727" i="24" s="1"/>
  <c r="AA727" i="24" s="1"/>
  <c r="AB727" i="24" l="1"/>
  <c r="AC727" i="24"/>
  <c r="R727" i="24"/>
  <c r="X727" i="24" s="1"/>
  <c r="AE727" i="24" s="1"/>
  <c r="Y727" i="24" l="1"/>
  <c r="AF727" i="24" s="1"/>
  <c r="I728" i="24" s="1"/>
  <c r="W727" i="24"/>
  <c r="AD727" i="24" s="1"/>
  <c r="G728" i="24" s="1"/>
  <c r="H728" i="24"/>
  <c r="C728" i="24"/>
  <c r="B728" i="24" l="1"/>
  <c r="E728" i="24" s="1"/>
  <c r="D728" i="24"/>
  <c r="AG727" i="24" s="1"/>
  <c r="J728" i="24"/>
  <c r="F728" i="24" l="1"/>
  <c r="O728" i="24"/>
  <c r="V728" i="24"/>
  <c r="U728" i="24"/>
  <c r="K728" i="24"/>
  <c r="P728" i="24"/>
  <c r="Q728" i="24" s="1"/>
  <c r="L728" i="24"/>
  <c r="M728" i="24" s="1"/>
  <c r="S728" i="24" l="1"/>
  <c r="T728" i="24" s="1"/>
  <c r="AB728" i="24" s="1"/>
  <c r="AA728" i="24" l="1"/>
  <c r="AC728" i="24"/>
  <c r="R728" i="24"/>
  <c r="W728" i="24" s="1"/>
  <c r="AD728" i="24" s="1"/>
  <c r="G729" i="24" s="1"/>
  <c r="X728" i="24" l="1"/>
  <c r="AE728" i="24" s="1"/>
  <c r="H729" i="24" s="1"/>
  <c r="Y728" i="24"/>
  <c r="AF728" i="24" s="1"/>
  <c r="D729" i="24" s="1"/>
  <c r="U729" i="24" s="1"/>
  <c r="B729" i="24"/>
  <c r="I729" i="24" l="1"/>
  <c r="J729" i="24" s="1"/>
  <c r="K729" i="24" s="1"/>
  <c r="C729" i="24"/>
  <c r="F729" i="24" s="1"/>
  <c r="AG728" i="24"/>
  <c r="V729" i="24"/>
  <c r="O729" i="24" l="1"/>
  <c r="L729" i="24"/>
  <c r="M729" i="24" s="1"/>
  <c r="E729" i="24"/>
  <c r="P729" i="24"/>
  <c r="Q729" i="24" s="1"/>
  <c r="S729" i="24" l="1"/>
  <c r="T729" i="24" s="1"/>
  <c r="AC729" i="24" s="1"/>
  <c r="AA729" i="24" l="1"/>
  <c r="AB729" i="24"/>
  <c r="R729" i="24"/>
  <c r="W729" i="24" s="1"/>
  <c r="X729" i="24" l="1"/>
  <c r="AE729" i="24" s="1"/>
  <c r="C730" i="24" s="1"/>
  <c r="Y729" i="24"/>
  <c r="AF729" i="24" s="1"/>
  <c r="D730" i="24" s="1"/>
  <c r="V730" i="24" s="1"/>
  <c r="AD729" i="24"/>
  <c r="B730" i="24" s="1"/>
  <c r="H730" i="24" l="1"/>
  <c r="F730" i="24"/>
  <c r="E730" i="24"/>
  <c r="G730" i="24"/>
  <c r="I730" i="24"/>
  <c r="AG729" i="24"/>
  <c r="U730" i="24"/>
  <c r="J730" i="24" l="1"/>
  <c r="O730" i="24" s="1"/>
  <c r="K730" i="24" l="1"/>
  <c r="L730" i="24"/>
  <c r="M730" i="24" s="1"/>
  <c r="P730" i="24"/>
  <c r="Q730" i="24" s="1"/>
  <c r="S730" i="24" l="1"/>
  <c r="T730" i="24" s="1"/>
  <c r="AA730" i="24"/>
  <c r="AB730" i="24"/>
  <c r="AC730" i="24"/>
  <c r="R730" i="24"/>
  <c r="X730" i="24" s="1"/>
  <c r="Y730" i="24" l="1"/>
  <c r="AF730" i="24" s="1"/>
  <c r="D731" i="24" s="1"/>
  <c r="AG730" i="24" s="1"/>
  <c r="W730" i="24"/>
  <c r="AD730" i="24" s="1"/>
  <c r="B731" i="24" s="1"/>
  <c r="AE730" i="24"/>
  <c r="C731" i="24" s="1"/>
  <c r="E731" i="24" l="1"/>
  <c r="F731" i="24"/>
  <c r="G731" i="24"/>
  <c r="I731" i="24"/>
  <c r="H731" i="24"/>
  <c r="V731" i="24"/>
  <c r="U731" i="24"/>
  <c r="J731" i="24" l="1"/>
  <c r="O731" i="24" s="1"/>
  <c r="P731" i="24" l="1"/>
  <c r="Q731" i="24" s="1"/>
  <c r="K731" i="24"/>
  <c r="L731" i="24"/>
  <c r="M731" i="24" s="1"/>
  <c r="S731" i="24" l="1"/>
  <c r="T731" i="24" s="1"/>
  <c r="AA731" i="24"/>
  <c r="AB731" i="24"/>
  <c r="AC731" i="24"/>
  <c r="R731" i="24"/>
  <c r="W731" i="24" s="1"/>
  <c r="AD731" i="24" l="1"/>
  <c r="B732" i="24" s="1"/>
  <c r="Y731" i="24"/>
  <c r="AF731" i="24" s="1"/>
  <c r="D732" i="24" s="1"/>
  <c r="AG731" i="24" s="1"/>
  <c r="G732" i="24"/>
  <c r="X731" i="24"/>
  <c r="AE731" i="24" s="1"/>
  <c r="C732" i="24" s="1"/>
  <c r="F732" i="24" s="1"/>
  <c r="I732" i="24" l="1"/>
  <c r="H732" i="24"/>
  <c r="U732" i="24"/>
  <c r="V732" i="24"/>
  <c r="E732" i="24"/>
  <c r="J732" i="24" l="1"/>
  <c r="O732" i="24" s="1"/>
  <c r="P732" i="24" l="1"/>
  <c r="Q732" i="24" s="1"/>
  <c r="K732" i="24"/>
  <c r="L732" i="24"/>
  <c r="M732" i="24" s="1"/>
  <c r="S732" i="24" l="1"/>
  <c r="T732" i="24" s="1"/>
  <c r="AB732" i="24"/>
  <c r="AC732" i="24"/>
  <c r="AA732" i="24"/>
  <c r="R732" i="24"/>
  <c r="X732" i="24" s="1"/>
  <c r="Y732" i="24" l="1"/>
  <c r="AF732" i="24" s="1"/>
  <c r="I733" i="24" s="1"/>
  <c r="W732" i="24"/>
  <c r="AD732" i="24" s="1"/>
  <c r="B733" i="24" s="1"/>
  <c r="AE732" i="24"/>
  <c r="H733" i="24" s="1"/>
  <c r="D733" i="24" l="1"/>
  <c r="U733" i="24" s="1"/>
  <c r="C733" i="24"/>
  <c r="E733" i="24" s="1"/>
  <c r="G733" i="24"/>
  <c r="J733" i="24" s="1"/>
  <c r="P733" i="24" s="1"/>
  <c r="Q733" i="24" s="1"/>
  <c r="AG732" i="24" l="1"/>
  <c r="V733" i="24"/>
  <c r="F733" i="24"/>
  <c r="L733" i="24"/>
  <c r="M733" i="24" s="1"/>
  <c r="O733" i="24"/>
  <c r="K733" i="24"/>
  <c r="S733" i="24" l="1"/>
  <c r="T733" i="24" s="1"/>
  <c r="AC733" i="24" s="1"/>
  <c r="AB733" i="24" l="1"/>
  <c r="AA733" i="24"/>
  <c r="R733" i="24"/>
  <c r="W733" i="24" s="1"/>
  <c r="X733" i="24" l="1"/>
  <c r="AE733" i="24" s="1"/>
  <c r="H734" i="24" s="1"/>
  <c r="Y733" i="24"/>
  <c r="AF733" i="24" s="1"/>
  <c r="D734" i="24" s="1"/>
  <c r="V734" i="24" s="1"/>
  <c r="AD733" i="24"/>
  <c r="B734" i="24" s="1"/>
  <c r="C734" i="24" l="1"/>
  <c r="E734" i="24" s="1"/>
  <c r="G734" i="24"/>
  <c r="U734" i="24"/>
  <c r="I734" i="24"/>
  <c r="AG733" i="24"/>
  <c r="J734" i="24" l="1"/>
  <c r="O734" i="24" s="1"/>
  <c r="F734" i="24"/>
  <c r="P734" i="24" l="1"/>
  <c r="Q734" i="24" s="1"/>
  <c r="K734" i="24"/>
  <c r="L734" i="24"/>
  <c r="M734" i="24" s="1"/>
  <c r="S734" i="24" l="1"/>
  <c r="T734" i="24" s="1"/>
  <c r="AA734" i="24" s="1"/>
  <c r="AB734" i="24"/>
  <c r="AC734" i="24"/>
  <c r="R734" i="24"/>
  <c r="W734" i="24" s="1"/>
  <c r="Y734" i="24" l="1"/>
  <c r="AF734" i="24" s="1"/>
  <c r="I735" i="24" s="1"/>
  <c r="AD734" i="24"/>
  <c r="G735" i="24" s="1"/>
  <c r="X734" i="24"/>
  <c r="AE734" i="24" s="1"/>
  <c r="D735" i="24" l="1"/>
  <c r="AG734" i="24" s="1"/>
  <c r="B735" i="24"/>
  <c r="C735" i="24"/>
  <c r="H735" i="24"/>
  <c r="J735" i="24" s="1"/>
  <c r="L735" i="24" s="1"/>
  <c r="M735" i="24" s="1"/>
  <c r="V735" i="24" l="1"/>
  <c r="U735" i="24"/>
  <c r="E735" i="24"/>
  <c r="F735" i="24"/>
  <c r="P735" i="24"/>
  <c r="Q735" i="24" s="1"/>
  <c r="K735" i="24"/>
  <c r="O735" i="24"/>
  <c r="S735" i="24" s="1"/>
  <c r="T735" i="24" s="1"/>
  <c r="AA735" i="24" s="1"/>
  <c r="AC735" i="24" l="1"/>
  <c r="AB735" i="24"/>
  <c r="R735" i="24"/>
  <c r="Y735" i="24" s="1"/>
  <c r="W735" i="24" l="1"/>
  <c r="AD735" i="24" s="1"/>
  <c r="B736" i="24" s="1"/>
  <c r="X735" i="24"/>
  <c r="AE735" i="24" s="1"/>
  <c r="H736" i="24" s="1"/>
  <c r="AF735" i="24"/>
  <c r="I736" i="24" s="1"/>
  <c r="G736" i="24" l="1"/>
  <c r="J736" i="24" s="1"/>
  <c r="K736" i="24" s="1"/>
  <c r="C736" i="24"/>
  <c r="E736" i="24" s="1"/>
  <c r="D736" i="24"/>
  <c r="AG735" i="24" s="1"/>
  <c r="F736" i="24" l="1"/>
  <c r="V736" i="24"/>
  <c r="P736" i="24"/>
  <c r="Q736" i="24" s="1"/>
  <c r="U736" i="24"/>
  <c r="O736" i="24"/>
  <c r="L736" i="24"/>
  <c r="M736" i="24" s="1"/>
  <c r="S736" i="24" l="1"/>
  <c r="T736" i="24" s="1"/>
  <c r="AB736" i="24" s="1"/>
  <c r="AC736" i="24" l="1"/>
  <c r="AA736" i="24"/>
  <c r="R736" i="24"/>
  <c r="W736" i="24" s="1"/>
  <c r="AD736" i="24" l="1"/>
  <c r="G737" i="24" s="1"/>
  <c r="X736" i="24"/>
  <c r="AE736" i="24" s="1"/>
  <c r="H737" i="24" s="1"/>
  <c r="Y736" i="24"/>
  <c r="AF736" i="24" s="1"/>
  <c r="I737" i="24" s="1"/>
  <c r="B737" i="24" l="1"/>
  <c r="D737" i="24"/>
  <c r="V737" i="24" s="1"/>
  <c r="C737" i="24"/>
  <c r="J737" i="24"/>
  <c r="E737" i="24" l="1"/>
  <c r="AG736" i="24"/>
  <c r="U737" i="24"/>
  <c r="O737" i="24"/>
  <c r="F737" i="24"/>
  <c r="K737" i="24"/>
  <c r="L737" i="24"/>
  <c r="M737" i="24" s="1"/>
  <c r="P737" i="24"/>
  <c r="Q737" i="24" s="1"/>
  <c r="S737" i="24" l="1"/>
  <c r="T737" i="24" s="1"/>
  <c r="AC737" i="24" s="1"/>
  <c r="AB737" i="24" l="1"/>
  <c r="AA737" i="24"/>
  <c r="R737" i="24"/>
  <c r="W737" i="24" s="1"/>
  <c r="AD737" i="24" l="1"/>
  <c r="B738" i="24" s="1"/>
  <c r="X737" i="24"/>
  <c r="AE737" i="24" s="1"/>
  <c r="H738" i="24" s="1"/>
  <c r="Y737" i="24"/>
  <c r="AF737" i="24" s="1"/>
  <c r="I738" i="24" s="1"/>
  <c r="G738" i="24" l="1"/>
  <c r="J738" i="24" s="1"/>
  <c r="K738" i="24" s="1"/>
  <c r="C738" i="24"/>
  <c r="E738" i="24" s="1"/>
  <c r="D738" i="24"/>
  <c r="AG737" i="24" s="1"/>
  <c r="F738" i="24" l="1"/>
  <c r="U738" i="24"/>
  <c r="V738" i="24"/>
  <c r="P738" i="24"/>
  <c r="Q738" i="24" s="1"/>
  <c r="O738" i="24"/>
  <c r="L738" i="24"/>
  <c r="M738" i="24" s="1"/>
  <c r="S738" i="24" l="1"/>
  <c r="T738" i="24" s="1"/>
  <c r="AA738" i="24" s="1"/>
  <c r="AB738" i="24" l="1"/>
  <c r="AC738" i="24"/>
  <c r="R738" i="24"/>
  <c r="W738" i="24" s="1"/>
  <c r="AD738" i="24" l="1"/>
  <c r="B739" i="24" s="1"/>
  <c r="Y738" i="24"/>
  <c r="AF738" i="24" s="1"/>
  <c r="I739" i="24" s="1"/>
  <c r="X738" i="24"/>
  <c r="AE738" i="24" s="1"/>
  <c r="H739" i="24" s="1"/>
  <c r="G739" i="24" l="1"/>
  <c r="J739" i="24" s="1"/>
  <c r="L739" i="24" s="1"/>
  <c r="M739" i="24" s="1"/>
  <c r="D739" i="24"/>
  <c r="U739" i="24" s="1"/>
  <c r="C739" i="24"/>
  <c r="F739" i="24" s="1"/>
  <c r="V739" i="24" l="1"/>
  <c r="AG738" i="24"/>
  <c r="K739" i="24"/>
  <c r="O739" i="24"/>
  <c r="S739" i="24" s="1"/>
  <c r="T739" i="24" s="1"/>
  <c r="AA739" i="24" s="1"/>
  <c r="P739" i="24"/>
  <c r="Q739" i="24" s="1"/>
  <c r="E739" i="24"/>
  <c r="AC739" i="24" l="1"/>
  <c r="AB739" i="24"/>
  <c r="R739" i="24"/>
  <c r="X739" i="24" s="1"/>
  <c r="W739" i="24" l="1"/>
  <c r="AD739" i="24" s="1"/>
  <c r="G740" i="24" s="1"/>
  <c r="Y739" i="24"/>
  <c r="AF739" i="24" s="1"/>
  <c r="D740" i="24" s="1"/>
  <c r="AE739" i="24"/>
  <c r="C740" i="24" s="1"/>
  <c r="B740" i="24" l="1"/>
  <c r="E740" i="24" s="1"/>
  <c r="I740" i="24"/>
  <c r="H740" i="24"/>
  <c r="AG739" i="24"/>
  <c r="V740" i="24"/>
  <c r="U740" i="24"/>
  <c r="F740" i="24" l="1"/>
  <c r="J740" i="24"/>
  <c r="O740" i="24" s="1"/>
  <c r="L740" i="24" l="1"/>
  <c r="M740" i="24" s="1"/>
  <c r="K740" i="24"/>
  <c r="P740" i="24"/>
  <c r="Q740" i="24" s="1"/>
  <c r="S740" i="24" l="1"/>
  <c r="T740" i="24" s="1"/>
  <c r="AB740" i="24" s="1"/>
  <c r="AC740" i="24"/>
  <c r="AA740" i="24"/>
  <c r="R740" i="24"/>
  <c r="Y740" i="24" s="1"/>
  <c r="W740" i="24" l="1"/>
  <c r="AD740" i="24" s="1"/>
  <c r="G741" i="24" s="1"/>
  <c r="X740" i="24"/>
  <c r="AE740" i="24" s="1"/>
  <c r="C741" i="24" s="1"/>
  <c r="AF740" i="24"/>
  <c r="I741" i="24" s="1"/>
  <c r="B741" i="24" l="1"/>
  <c r="F741" i="24" s="1"/>
  <c r="D741" i="24"/>
  <c r="V741" i="24" s="1"/>
  <c r="H741" i="24"/>
  <c r="J741" i="24" s="1"/>
  <c r="E741" i="24" l="1"/>
  <c r="AG740" i="24"/>
  <c r="O741" i="24"/>
  <c r="U741" i="24"/>
  <c r="K741" i="24"/>
  <c r="P741" i="24"/>
  <c r="Q741" i="24" s="1"/>
  <c r="L741" i="24"/>
  <c r="M741" i="24" s="1"/>
  <c r="S741" i="24" l="1"/>
  <c r="T741" i="24" s="1"/>
  <c r="AC741" i="24" s="1"/>
  <c r="AB741" i="24" l="1"/>
  <c r="AA741" i="24"/>
  <c r="R741" i="24"/>
  <c r="W741" i="24" s="1"/>
  <c r="AD741" i="24" l="1"/>
  <c r="X741" i="24"/>
  <c r="AE741" i="24" s="1"/>
  <c r="H742" i="24" s="1"/>
  <c r="Y741" i="24"/>
  <c r="AF741" i="24" s="1"/>
  <c r="D742" i="24" s="1"/>
  <c r="B742" i="24"/>
  <c r="G742" i="24"/>
  <c r="C742" i="24" l="1"/>
  <c r="F742" i="24" s="1"/>
  <c r="I742" i="24"/>
  <c r="J742" i="24" s="1"/>
  <c r="O742" i="24" s="1"/>
  <c r="U742" i="24"/>
  <c r="V742" i="24"/>
  <c r="AG741" i="24"/>
  <c r="E742" i="24" l="1"/>
  <c r="L742" i="24"/>
  <c r="M742" i="24" s="1"/>
  <c r="K742" i="24"/>
  <c r="P742" i="24"/>
  <c r="Q742" i="24" s="1"/>
  <c r="S742" i="24" l="1"/>
  <c r="T742" i="24" s="1"/>
  <c r="AA742" i="24" s="1"/>
  <c r="AB742" i="24"/>
  <c r="AC742" i="24"/>
  <c r="R742" i="24"/>
  <c r="X742" i="24" l="1"/>
  <c r="AE742" i="24" s="1"/>
  <c r="Y742" i="24"/>
  <c r="AF742" i="24" s="1"/>
  <c r="W742" i="24"/>
  <c r="AD742" i="24" s="1"/>
  <c r="G743" i="24" l="1"/>
  <c r="B743" i="24"/>
  <c r="I743" i="24"/>
  <c r="D743" i="24"/>
  <c r="H743" i="24"/>
  <c r="C743" i="24"/>
  <c r="V743" i="24" l="1"/>
  <c r="U743" i="24"/>
  <c r="AG742" i="24"/>
  <c r="E743" i="24"/>
  <c r="F743" i="24"/>
  <c r="J743" i="24"/>
  <c r="P743" i="24" l="1"/>
  <c r="Q743" i="24" s="1"/>
  <c r="K743" i="24"/>
  <c r="L743" i="24"/>
  <c r="M743" i="24" s="1"/>
  <c r="O743" i="24"/>
  <c r="S743" i="24" l="1"/>
  <c r="T743" i="24" s="1"/>
  <c r="AA743" i="24" s="1"/>
  <c r="AB743" i="24" l="1"/>
  <c r="AC743" i="24"/>
  <c r="R743" i="24"/>
  <c r="X743" i="24" s="1"/>
  <c r="W743" i="24" l="1"/>
  <c r="AD743" i="24" s="1"/>
  <c r="B744" i="24" s="1"/>
  <c r="Y743" i="24"/>
  <c r="AF743" i="24" s="1"/>
  <c r="AE743" i="24"/>
  <c r="H744" i="24" s="1"/>
  <c r="G744" i="24" l="1"/>
  <c r="I744" i="24"/>
  <c r="D744" i="24"/>
  <c r="AG743" i="24" s="1"/>
  <c r="C744" i="24"/>
  <c r="E744" i="24" s="1"/>
  <c r="J744" i="24" l="1"/>
  <c r="P744" i="24" s="1"/>
  <c r="Q744" i="24" s="1"/>
  <c r="U744" i="24"/>
  <c r="V744" i="24"/>
  <c r="F744" i="24"/>
  <c r="K744" i="24" l="1"/>
  <c r="O744" i="24"/>
  <c r="L744" i="24"/>
  <c r="M744" i="24" s="1"/>
  <c r="S744" i="24" l="1"/>
  <c r="T744" i="24" s="1"/>
  <c r="AB744" i="24" s="1"/>
  <c r="AC744" i="24" l="1"/>
  <c r="AA744" i="24"/>
  <c r="R744" i="24"/>
  <c r="Y744" i="24" s="1"/>
  <c r="AF744" i="24" s="1"/>
  <c r="I745" i="24" s="1"/>
  <c r="X744" i="24" l="1"/>
  <c r="AE744" i="24" s="1"/>
  <c r="C745" i="24" s="1"/>
  <c r="W744" i="24"/>
  <c r="AD744" i="24" s="1"/>
  <c r="B745" i="24" s="1"/>
  <c r="D745" i="24"/>
  <c r="U745" i="24" s="1"/>
  <c r="H745" i="24" l="1"/>
  <c r="F745" i="24"/>
  <c r="V745" i="24"/>
  <c r="AG744" i="24"/>
  <c r="G745" i="24"/>
  <c r="E745" i="24"/>
  <c r="J745" i="24" l="1"/>
  <c r="O745" i="24" s="1"/>
  <c r="L745" i="24" l="1"/>
  <c r="M745" i="24" s="1"/>
  <c r="P745" i="24"/>
  <c r="Q745" i="24" s="1"/>
  <c r="K745" i="24"/>
  <c r="S745" i="24" l="1"/>
  <c r="T745" i="24" s="1"/>
  <c r="AC745" i="24" s="1"/>
  <c r="AA745" i="24"/>
  <c r="AB745" i="24"/>
  <c r="R745" i="24"/>
  <c r="W745" i="24" s="1"/>
  <c r="AD745" i="24" l="1"/>
  <c r="G746" i="24" s="1"/>
  <c r="X745" i="24"/>
  <c r="AE745" i="24" s="1"/>
  <c r="C746" i="24" s="1"/>
  <c r="Y745" i="24"/>
  <c r="AF745" i="24" s="1"/>
  <c r="I746" i="24" s="1"/>
  <c r="B746" i="24" l="1"/>
  <c r="E746" i="24" s="1"/>
  <c r="H746" i="24"/>
  <c r="J746" i="24" s="1"/>
  <c r="K746" i="24" s="1"/>
  <c r="D746" i="24"/>
  <c r="V746" i="24" s="1"/>
  <c r="F746" i="24" l="1"/>
  <c r="L746" i="24"/>
  <c r="M746" i="24" s="1"/>
  <c r="P746" i="24"/>
  <c r="Q746" i="24" s="1"/>
  <c r="U746" i="24"/>
  <c r="O746" i="24"/>
  <c r="AG745" i="24"/>
  <c r="S746" i="24" l="1"/>
  <c r="T746" i="24" s="1"/>
  <c r="AA746" i="24" s="1"/>
  <c r="AB746" i="24" l="1"/>
  <c r="AC746" i="24"/>
  <c r="R746" i="24"/>
  <c r="X746" i="24" s="1"/>
  <c r="AE746" i="24" l="1"/>
  <c r="H747" i="24" s="1"/>
  <c r="W746" i="24"/>
  <c r="AD746" i="24" s="1"/>
  <c r="B747" i="24" s="1"/>
  <c r="Y746" i="24"/>
  <c r="AF746" i="24" s="1"/>
  <c r="D747" i="24" s="1"/>
  <c r="U747" i="24" s="1"/>
  <c r="C747" i="24" l="1"/>
  <c r="F747" i="24" s="1"/>
  <c r="G747" i="24"/>
  <c r="I747" i="24"/>
  <c r="V747" i="24"/>
  <c r="AG746" i="24"/>
  <c r="E747" i="24" l="1"/>
  <c r="J747" i="24"/>
  <c r="O747" i="24" s="1"/>
  <c r="K747" i="24" l="1"/>
  <c r="P747" i="24"/>
  <c r="Q747" i="24" s="1"/>
  <c r="L747" i="24"/>
  <c r="M747" i="24" s="1"/>
  <c r="S747" i="24" l="1"/>
  <c r="T747" i="24" s="1"/>
  <c r="AA747" i="24" s="1"/>
  <c r="AB747" i="24"/>
  <c r="AC747" i="24"/>
  <c r="R747" i="24"/>
  <c r="Y747" i="24" s="1"/>
  <c r="W747" i="24" l="1"/>
  <c r="AD747" i="24" s="1"/>
  <c r="B748" i="24" s="1"/>
  <c r="AF747" i="24"/>
  <c r="I748" i="24" s="1"/>
  <c r="X747" i="24"/>
  <c r="AE747" i="24" s="1"/>
  <c r="G748" i="24" l="1"/>
  <c r="D748" i="24"/>
  <c r="V748" i="24" s="1"/>
  <c r="H748" i="24"/>
  <c r="C748" i="24"/>
  <c r="J748" i="24" l="1"/>
  <c r="P748" i="24" s="1"/>
  <c r="Q748" i="24" s="1"/>
  <c r="AG747" i="24"/>
  <c r="U748" i="24"/>
  <c r="E748" i="24"/>
  <c r="F748" i="24"/>
  <c r="L748" i="24" l="1"/>
  <c r="M748" i="24" s="1"/>
  <c r="K748" i="24"/>
  <c r="O748" i="24"/>
  <c r="S748" i="24" l="1"/>
  <c r="T748" i="24" s="1"/>
  <c r="AB748" i="24" s="1"/>
  <c r="AA748" i="24" l="1"/>
  <c r="AC748" i="24"/>
  <c r="R748" i="24"/>
  <c r="W748" i="24" s="1"/>
  <c r="X748" i="24" l="1"/>
  <c r="AE748" i="24" s="1"/>
  <c r="C749" i="24" s="1"/>
  <c r="AD748" i="24"/>
  <c r="B749" i="24" s="1"/>
  <c r="Y748" i="24"/>
  <c r="AF748" i="24" s="1"/>
  <c r="D749" i="24" s="1"/>
  <c r="V749" i="24" s="1"/>
  <c r="G749" i="24" l="1"/>
  <c r="E749" i="24"/>
  <c r="H749" i="24"/>
  <c r="F749" i="24"/>
  <c r="I749" i="24"/>
  <c r="U749" i="24"/>
  <c r="AG748" i="24"/>
  <c r="J749" i="24" l="1"/>
  <c r="K749" i="24" s="1"/>
  <c r="O749" i="24" l="1"/>
  <c r="P749" i="24"/>
  <c r="Q749" i="24" s="1"/>
  <c r="L749" i="24"/>
  <c r="M749" i="24" s="1"/>
  <c r="S749" i="24" l="1"/>
  <c r="R749" i="24" s="1"/>
  <c r="Y749" i="24" s="1"/>
  <c r="T749" i="24" l="1"/>
  <c r="X749" i="24"/>
  <c r="W749" i="24"/>
  <c r="AC749" i="24" l="1"/>
  <c r="AF749" i="24" s="1"/>
  <c r="I750" i="24" s="1"/>
  <c r="AA749" i="24"/>
  <c r="AD749" i="24" s="1"/>
  <c r="B750" i="24" s="1"/>
  <c r="AB749" i="24"/>
  <c r="AE749" i="24" s="1"/>
  <c r="H750" i="24" s="1"/>
  <c r="D750" i="24" l="1"/>
  <c r="U750" i="24" s="1"/>
  <c r="C750" i="24"/>
  <c r="F750" i="24" s="1"/>
  <c r="G750" i="24"/>
  <c r="J750" i="24" s="1"/>
  <c r="P750" i="24" s="1"/>
  <c r="Q750" i="24" s="1"/>
  <c r="V750" i="24"/>
  <c r="AG749" i="24" l="1"/>
  <c r="E750" i="24"/>
  <c r="K750" i="24"/>
  <c r="O750" i="24"/>
  <c r="L750" i="24"/>
  <c r="M750" i="24" s="1"/>
  <c r="S750" i="24" l="1"/>
  <c r="T750" i="24" s="1"/>
  <c r="AA750" i="24" s="1"/>
  <c r="AC750" i="24" l="1"/>
  <c r="AB750" i="24"/>
  <c r="R750" i="24"/>
  <c r="X750" i="24" s="1"/>
  <c r="AE750" i="24" s="1"/>
  <c r="H751" i="24" s="1"/>
  <c r="Y750" i="24" l="1"/>
  <c r="W750" i="24"/>
  <c r="AD750" i="24" s="1"/>
  <c r="C751" i="24"/>
  <c r="AF750" i="24"/>
  <c r="D751" i="24" s="1"/>
  <c r="V751" i="24" s="1"/>
  <c r="G751" i="24" l="1"/>
  <c r="B751" i="24"/>
  <c r="E751" i="24" s="1"/>
  <c r="U751" i="24"/>
  <c r="I751" i="24"/>
  <c r="J751" i="24" s="1"/>
  <c r="P751" i="24" s="1"/>
  <c r="Q751" i="24" s="1"/>
  <c r="AG750" i="24"/>
  <c r="F751" i="24" l="1"/>
  <c r="K751" i="24"/>
  <c r="L751" i="24"/>
  <c r="M751" i="24" s="1"/>
  <c r="O751" i="24"/>
  <c r="S751" i="24" l="1"/>
  <c r="T751" i="24" s="1"/>
  <c r="AA751" i="24" s="1"/>
  <c r="AB751" i="24" l="1"/>
  <c r="AC751" i="24"/>
  <c r="R751" i="24"/>
  <c r="X751" i="24" s="1"/>
  <c r="AE751" i="24" s="1"/>
  <c r="C752" i="24" s="1"/>
  <c r="Y751" i="24" l="1"/>
  <c r="AF751" i="24" s="1"/>
  <c r="D752" i="24" s="1"/>
  <c r="U752" i="24" s="1"/>
  <c r="W751" i="24"/>
  <c r="AD751" i="24" s="1"/>
  <c r="B752" i="24" s="1"/>
  <c r="F752" i="24" s="1"/>
  <c r="H752" i="24"/>
  <c r="I752" i="24"/>
  <c r="AG751" i="24"/>
  <c r="V752" i="24"/>
  <c r="E752" i="24" l="1"/>
  <c r="G752" i="24"/>
  <c r="J752" i="24" s="1"/>
  <c r="L752" i="24" s="1"/>
  <c r="M752" i="24" s="1"/>
  <c r="O752" i="24" l="1"/>
  <c r="S752" i="24" s="1"/>
  <c r="T752" i="24" s="1"/>
  <c r="AB752" i="24" s="1"/>
  <c r="P752" i="24"/>
  <c r="Q752" i="24" s="1"/>
  <c r="K752" i="24"/>
  <c r="AC752" i="24" l="1"/>
  <c r="AA752" i="24"/>
  <c r="R752" i="24"/>
  <c r="W752" i="24" s="1"/>
  <c r="Y752" i="24" l="1"/>
  <c r="AF752" i="24" s="1"/>
  <c r="I753" i="24" s="1"/>
  <c r="X752" i="24"/>
  <c r="AE752" i="24" s="1"/>
  <c r="H753" i="24" s="1"/>
  <c r="AD752" i="24"/>
  <c r="B753" i="24" s="1"/>
  <c r="D753" i="24" l="1"/>
  <c r="U753" i="24" s="1"/>
  <c r="C753" i="24"/>
  <c r="F753" i="24" s="1"/>
  <c r="G753" i="24"/>
  <c r="J753" i="24" s="1"/>
  <c r="P753" i="24" s="1"/>
  <c r="Q753" i="24" s="1"/>
  <c r="AG752" i="24" l="1"/>
  <c r="V753" i="24"/>
  <c r="L753" i="24"/>
  <c r="M753" i="24" s="1"/>
  <c r="E753" i="24"/>
  <c r="O753" i="24"/>
  <c r="K753" i="24"/>
  <c r="S753" i="24" l="1"/>
  <c r="T753" i="24" s="1"/>
  <c r="AC753" i="24" s="1"/>
  <c r="AB753" i="24" l="1"/>
  <c r="AA753" i="24"/>
  <c r="R753" i="24"/>
  <c r="Y753" i="24" s="1"/>
  <c r="AF753" i="24" l="1"/>
  <c r="I754" i="24" s="1"/>
  <c r="W753" i="24"/>
  <c r="AD753" i="24" s="1"/>
  <c r="G754" i="24" s="1"/>
  <c r="X753" i="24"/>
  <c r="AE753" i="24" s="1"/>
  <c r="H754" i="24" s="1"/>
  <c r="D754" i="24" l="1"/>
  <c r="V754" i="24" s="1"/>
  <c r="C754" i="24"/>
  <c r="B754" i="24"/>
  <c r="J754" i="24"/>
  <c r="P754" i="24" s="1"/>
  <c r="Q754" i="24" s="1"/>
  <c r="AG753" i="24" l="1"/>
  <c r="U754" i="24"/>
  <c r="E754" i="24"/>
  <c r="F754" i="24"/>
  <c r="K754" i="24"/>
  <c r="O754" i="24"/>
  <c r="L754" i="24"/>
  <c r="M754" i="24" s="1"/>
  <c r="S754" i="24" l="1"/>
  <c r="T754" i="24" s="1"/>
  <c r="AA754" i="24" s="1"/>
  <c r="AB754" i="24" l="1"/>
  <c r="AC754" i="24"/>
  <c r="R754" i="24"/>
  <c r="X754" i="24" s="1"/>
  <c r="Y754" i="24" l="1"/>
  <c r="AF754" i="24" s="1"/>
  <c r="D755" i="24" s="1"/>
  <c r="AG754" i="24" s="1"/>
  <c r="AE754" i="24"/>
  <c r="H755" i="24" s="1"/>
  <c r="W754" i="24"/>
  <c r="AD754" i="24" s="1"/>
  <c r="G755" i="24" s="1"/>
  <c r="I755" i="24" l="1"/>
  <c r="J755" i="24" s="1"/>
  <c r="O755" i="24" s="1"/>
  <c r="V755" i="24"/>
  <c r="U755" i="24"/>
  <c r="C755" i="24"/>
  <c r="B755" i="24"/>
  <c r="L755" i="24" l="1"/>
  <c r="M755" i="24" s="1"/>
  <c r="K755" i="24"/>
  <c r="P755" i="24"/>
  <c r="Q755" i="24" s="1"/>
  <c r="E755" i="24"/>
  <c r="F755" i="24"/>
  <c r="S755" i="24" l="1"/>
  <c r="T755" i="24" s="1"/>
  <c r="AA755" i="24"/>
  <c r="AB755" i="24"/>
  <c r="AC755" i="24"/>
  <c r="R755" i="24"/>
  <c r="W755" i="24" s="1"/>
  <c r="AD755" i="24" l="1"/>
  <c r="G756" i="24" s="1"/>
  <c r="X755" i="24"/>
  <c r="AE755" i="24" s="1"/>
  <c r="C756" i="24" s="1"/>
  <c r="Y755" i="24"/>
  <c r="AF755" i="24" s="1"/>
  <c r="I756" i="24" s="1"/>
  <c r="B756" i="24"/>
  <c r="F756" i="24" l="1"/>
  <c r="D756" i="24"/>
  <c r="V756" i="24" s="1"/>
  <c r="H756" i="24"/>
  <c r="J756" i="24" s="1"/>
  <c r="L756" i="24" s="1"/>
  <c r="M756" i="24" s="1"/>
  <c r="E756" i="24"/>
  <c r="U756" i="24" l="1"/>
  <c r="AG755" i="24"/>
  <c r="K756" i="24"/>
  <c r="O756" i="24"/>
  <c r="S756" i="24" s="1"/>
  <c r="T756" i="24" s="1"/>
  <c r="AB756" i="24" s="1"/>
  <c r="P756" i="24"/>
  <c r="Q756" i="24" s="1"/>
  <c r="AC756" i="24" l="1"/>
  <c r="AA756" i="24"/>
  <c r="R756" i="24"/>
  <c r="X756" i="24" s="1"/>
  <c r="AE756" i="24" l="1"/>
  <c r="C757" i="24" s="1"/>
  <c r="W756" i="24"/>
  <c r="AD756" i="24" s="1"/>
  <c r="G757" i="24" s="1"/>
  <c r="Y756" i="24"/>
  <c r="AF756" i="24" s="1"/>
  <c r="I757" i="24" s="1"/>
  <c r="H757" i="24" l="1"/>
  <c r="J757" i="24" s="1"/>
  <c r="L757" i="24" s="1"/>
  <c r="M757" i="24" s="1"/>
  <c r="B757" i="24"/>
  <c r="F757" i="24" s="1"/>
  <c r="D757" i="24"/>
  <c r="AG756" i="24" s="1"/>
  <c r="E757" i="24" l="1"/>
  <c r="P757" i="24"/>
  <c r="Q757" i="24" s="1"/>
  <c r="K757" i="24"/>
  <c r="O757" i="24"/>
  <c r="S757" i="24" s="1"/>
  <c r="T757" i="24" s="1"/>
  <c r="AC757" i="24" s="1"/>
  <c r="U757" i="24"/>
  <c r="V757" i="24"/>
  <c r="AA757" i="24" l="1"/>
  <c r="AB757" i="24"/>
  <c r="R757" i="24"/>
  <c r="W757" i="24" s="1"/>
  <c r="AD757" i="24" l="1"/>
  <c r="B758" i="24" s="1"/>
  <c r="X757" i="24"/>
  <c r="AE757" i="24" s="1"/>
  <c r="C758" i="24" s="1"/>
  <c r="Y757" i="24"/>
  <c r="AF757" i="24" s="1"/>
  <c r="I758" i="24" s="1"/>
  <c r="G758" i="24" l="1"/>
  <c r="E758" i="24"/>
  <c r="F758" i="24"/>
  <c r="H758" i="24"/>
  <c r="J758" i="24" s="1"/>
  <c r="P758" i="24" s="1"/>
  <c r="Q758" i="24" s="1"/>
  <c r="D758" i="24"/>
  <c r="V758" i="24" s="1"/>
  <c r="U758" i="24" l="1"/>
  <c r="L758" i="24"/>
  <c r="M758" i="24" s="1"/>
  <c r="K758" i="24"/>
  <c r="O758" i="24"/>
  <c r="AG757" i="24"/>
  <c r="S758" i="24" l="1"/>
  <c r="T758" i="24" s="1"/>
  <c r="AA758" i="24" s="1"/>
  <c r="AC758" i="24" l="1"/>
  <c r="AB758" i="24"/>
  <c r="R758" i="24"/>
  <c r="Y758" i="24" s="1"/>
  <c r="AF758" i="24" s="1"/>
  <c r="D759" i="24" s="1"/>
  <c r="U759" i="24" s="1"/>
  <c r="X758" i="24" l="1"/>
  <c r="AE758" i="24" s="1"/>
  <c r="C759" i="24" s="1"/>
  <c r="V759" i="24"/>
  <c r="W758" i="24"/>
  <c r="AD758" i="24" s="1"/>
  <c r="G759" i="24" s="1"/>
  <c r="AG758" i="24"/>
  <c r="I759" i="24"/>
  <c r="H759" i="24" l="1"/>
  <c r="J759" i="24" s="1"/>
  <c r="L759" i="24" s="1"/>
  <c r="M759" i="24" s="1"/>
  <c r="B759" i="24"/>
  <c r="F759" i="24" s="1"/>
  <c r="O759" i="24" l="1"/>
  <c r="S759" i="24" s="1"/>
  <c r="T759" i="24" s="1"/>
  <c r="AA759" i="24" s="1"/>
  <c r="K759" i="24"/>
  <c r="P759" i="24"/>
  <c r="Q759" i="24" s="1"/>
  <c r="E759" i="24"/>
  <c r="AB759" i="24" l="1"/>
  <c r="AC759" i="24"/>
  <c r="R759" i="24"/>
  <c r="X759" i="24" s="1"/>
  <c r="AE759" i="24" l="1"/>
  <c r="H760" i="24" s="1"/>
  <c r="Y759" i="24"/>
  <c r="AF759" i="24" s="1"/>
  <c r="D760" i="24" s="1"/>
  <c r="AG759" i="24" s="1"/>
  <c r="W759" i="24"/>
  <c r="AD759" i="24" s="1"/>
  <c r="G760" i="24" s="1"/>
  <c r="C760" i="24" l="1"/>
  <c r="I760" i="24"/>
  <c r="J760" i="24" s="1"/>
  <c r="O760" i="24" s="1"/>
  <c r="U760" i="24"/>
  <c r="V760" i="24"/>
  <c r="B760" i="24"/>
  <c r="F760" i="24" l="1"/>
  <c r="K760" i="24"/>
  <c r="L760" i="24"/>
  <c r="M760" i="24" s="1"/>
  <c r="P760" i="24"/>
  <c r="Q760" i="24" s="1"/>
  <c r="E760" i="24"/>
  <c r="S760" i="24" l="1"/>
  <c r="T760" i="24" s="1"/>
  <c r="AB760" i="24" s="1"/>
  <c r="AA760" i="24"/>
  <c r="R760" i="24"/>
  <c r="Y760" i="24" s="1"/>
  <c r="AC760" i="24" l="1"/>
  <c r="X760" i="24"/>
  <c r="AE760" i="24" s="1"/>
  <c r="H761" i="24" s="1"/>
  <c r="W760" i="24"/>
  <c r="AD760" i="24" s="1"/>
  <c r="B761" i="24" s="1"/>
  <c r="AF760" i="24"/>
  <c r="D761" i="24" s="1"/>
  <c r="U761" i="24" s="1"/>
  <c r="C761" i="24" l="1"/>
  <c r="F761" i="24" s="1"/>
  <c r="G761" i="24"/>
  <c r="I761" i="24"/>
  <c r="AG760" i="24"/>
  <c r="V761" i="24"/>
  <c r="E761" i="24" l="1"/>
  <c r="J761" i="24"/>
  <c r="P761" i="24" s="1"/>
  <c r="Q761" i="24" s="1"/>
  <c r="K761" i="24" l="1"/>
  <c r="L761" i="24"/>
  <c r="M761" i="24" s="1"/>
  <c r="O761" i="24"/>
  <c r="S761" i="24" l="1"/>
  <c r="T761" i="24" s="1"/>
  <c r="AC761" i="24" s="1"/>
  <c r="AB761" i="24" l="1"/>
  <c r="AA761" i="24"/>
  <c r="R761" i="24"/>
  <c r="X761" i="24" s="1"/>
  <c r="W761" i="24" l="1"/>
  <c r="AD761" i="24" s="1"/>
  <c r="AE761" i="24"/>
  <c r="H762" i="24" s="1"/>
  <c r="Y761" i="24"/>
  <c r="AF761" i="24" s="1"/>
  <c r="I762" i="24" s="1"/>
  <c r="C762" i="24" l="1"/>
  <c r="D762" i="24"/>
  <c r="U762" i="24" s="1"/>
  <c r="B762" i="24"/>
  <c r="G762" i="24"/>
  <c r="J762" i="24" s="1"/>
  <c r="AG761" i="24" l="1"/>
  <c r="V762" i="24"/>
  <c r="K762" i="24"/>
  <c r="P762" i="24"/>
  <c r="Q762" i="24" s="1"/>
  <c r="L762" i="24"/>
  <c r="M762" i="24" s="1"/>
  <c r="O762" i="24"/>
  <c r="E762" i="24"/>
  <c r="F762" i="24"/>
  <c r="S762" i="24" l="1"/>
  <c r="T762" i="24" l="1"/>
  <c r="R762" i="24"/>
  <c r="AA762" i="24" l="1"/>
  <c r="AC762" i="24"/>
  <c r="AB762" i="24"/>
  <c r="W762" i="24"/>
  <c r="X762" i="24"/>
  <c r="Y762" i="24"/>
  <c r="AF762" i="24" l="1"/>
  <c r="AE762" i="24"/>
  <c r="AD762" i="24"/>
  <c r="H763" i="24" l="1"/>
  <c r="C763" i="24"/>
  <c r="B763" i="24"/>
  <c r="G763" i="24"/>
  <c r="I763" i="24"/>
  <c r="D763" i="24"/>
  <c r="J763" i="24" l="1"/>
  <c r="L763" i="24" s="1"/>
  <c r="M763" i="24" s="1"/>
  <c r="E763" i="24"/>
  <c r="F763" i="24"/>
  <c r="AG762" i="24"/>
  <c r="U763" i="24"/>
  <c r="V763" i="24"/>
  <c r="O763" i="24" l="1"/>
  <c r="S763" i="24" s="1"/>
  <c r="T763" i="24" s="1"/>
  <c r="AA763" i="24" s="1"/>
  <c r="P763" i="24"/>
  <c r="Q763" i="24" s="1"/>
  <c r="K763" i="24"/>
  <c r="AB763" i="24" l="1"/>
  <c r="AC763" i="24"/>
  <c r="R763" i="24"/>
  <c r="Y763" i="24" s="1"/>
  <c r="AF763" i="24" l="1"/>
  <c r="W763" i="24"/>
  <c r="AD763" i="24" s="1"/>
  <c r="G764" i="24" s="1"/>
  <c r="X763" i="24"/>
  <c r="AE763" i="24" s="1"/>
  <c r="H764" i="24" s="1"/>
  <c r="I764" i="24"/>
  <c r="D764" i="24"/>
  <c r="B764" i="24" l="1"/>
  <c r="C764" i="24"/>
  <c r="J764" i="24"/>
  <c r="K764" i="24" s="1"/>
  <c r="U764" i="24"/>
  <c r="V764" i="24"/>
  <c r="AG763" i="24"/>
  <c r="F764" i="24" l="1"/>
  <c r="E764" i="24"/>
  <c r="L764" i="24"/>
  <c r="M764" i="24" s="1"/>
  <c r="O764" i="24"/>
  <c r="P764" i="24"/>
  <c r="Q764" i="24" s="1"/>
  <c r="S764" i="24" l="1"/>
  <c r="T764" i="24" s="1"/>
  <c r="AB764" i="24" s="1"/>
  <c r="AA764" i="24" l="1"/>
  <c r="AC764" i="24"/>
  <c r="R764" i="24"/>
  <c r="X764" i="24" s="1"/>
  <c r="AE764" i="24" l="1"/>
  <c r="H765" i="24" s="1"/>
  <c r="W764" i="24"/>
  <c r="AD764" i="24" s="1"/>
  <c r="Y764" i="24"/>
  <c r="AF764" i="24" s="1"/>
  <c r="C765" i="24" l="1"/>
  <c r="D765" i="24"/>
  <c r="I765" i="24"/>
  <c r="G765" i="24"/>
  <c r="B765" i="24"/>
  <c r="E765" i="24" l="1"/>
  <c r="J765" i="24"/>
  <c r="P765" i="24" s="1"/>
  <c r="Q765" i="24" s="1"/>
  <c r="V765" i="24"/>
  <c r="AG764" i="24"/>
  <c r="U765" i="24"/>
  <c r="F765" i="24"/>
  <c r="O765" i="24" l="1"/>
  <c r="L765" i="24"/>
  <c r="M765" i="24" s="1"/>
  <c r="K765" i="24"/>
  <c r="S765" i="24" l="1"/>
  <c r="T765" i="24" s="1"/>
  <c r="AC765" i="24" s="1"/>
  <c r="AA765" i="24" l="1"/>
  <c r="AB765" i="24"/>
  <c r="R765" i="24"/>
  <c r="W765" i="24" s="1"/>
  <c r="AD765" i="24" l="1"/>
  <c r="B766" i="24" s="1"/>
  <c r="X765" i="24"/>
  <c r="AE765" i="24" s="1"/>
  <c r="Y765" i="24"/>
  <c r="AF765" i="24" s="1"/>
  <c r="D766" i="24" s="1"/>
  <c r="G766" i="24" l="1"/>
  <c r="I766" i="24"/>
  <c r="U766" i="24"/>
  <c r="AG765" i="24"/>
  <c r="C766" i="24"/>
  <c r="H766" i="24"/>
  <c r="V766" i="24"/>
  <c r="J766" i="24" l="1"/>
  <c r="P766" i="24" s="1"/>
  <c r="Q766" i="24" s="1"/>
  <c r="E766" i="24"/>
  <c r="F766" i="24"/>
  <c r="K766" i="24" l="1"/>
  <c r="O766" i="24"/>
  <c r="L766" i="24"/>
  <c r="M766" i="24" s="1"/>
  <c r="S766" i="24" l="1"/>
  <c r="T766" i="24" s="1"/>
  <c r="AA766" i="24" s="1"/>
  <c r="AB766" i="24" l="1"/>
  <c r="AC766" i="24"/>
  <c r="R766" i="24"/>
  <c r="Y766" i="24" s="1"/>
  <c r="AF766" i="24" l="1"/>
  <c r="D767" i="24" s="1"/>
  <c r="V767" i="24" s="1"/>
  <c r="W766" i="24"/>
  <c r="AD766" i="24" s="1"/>
  <c r="G767" i="24" s="1"/>
  <c r="X766" i="24"/>
  <c r="AE766" i="24" s="1"/>
  <c r="H767" i="24" s="1"/>
  <c r="I767" i="24" l="1"/>
  <c r="J767" i="24" s="1"/>
  <c r="O767" i="24" s="1"/>
  <c r="AG766" i="24"/>
  <c r="U767" i="24"/>
  <c r="C767" i="24"/>
  <c r="B767" i="24"/>
  <c r="F767" i="24" l="1"/>
  <c r="E767" i="24"/>
  <c r="L767" i="24"/>
  <c r="M767" i="24" s="1"/>
  <c r="P767" i="24"/>
  <c r="Q767" i="24" s="1"/>
  <c r="K767" i="24"/>
  <c r="S767" i="24" l="1"/>
  <c r="T767" i="24" s="1"/>
  <c r="AA767" i="24"/>
  <c r="AB767" i="24"/>
  <c r="AC767" i="24"/>
  <c r="R767" i="24"/>
  <c r="W767" i="24" s="1"/>
  <c r="AD767" i="24" l="1"/>
  <c r="G768" i="24" s="1"/>
  <c r="Y767" i="24"/>
  <c r="AF767" i="24" s="1"/>
  <c r="D768" i="24" s="1"/>
  <c r="X767" i="24"/>
  <c r="AE767" i="24" s="1"/>
  <c r="H768" i="24" s="1"/>
  <c r="B768" i="24"/>
  <c r="I768" i="24" l="1"/>
  <c r="J768" i="24" s="1"/>
  <c r="O768" i="24" s="1"/>
  <c r="C768" i="24"/>
  <c r="F768" i="24" s="1"/>
  <c r="AG767" i="24"/>
  <c r="U768" i="24"/>
  <c r="V768" i="24"/>
  <c r="E768" i="24" l="1"/>
  <c r="P768" i="24"/>
  <c r="Q768" i="24" s="1"/>
  <c r="L768" i="24"/>
  <c r="M768" i="24" s="1"/>
  <c r="K768" i="24"/>
  <c r="S768" i="24" l="1"/>
  <c r="T768" i="24" s="1"/>
  <c r="AB768" i="24" s="1"/>
  <c r="AC768" i="24"/>
  <c r="AA768" i="24"/>
  <c r="R768" i="24"/>
  <c r="Y768" i="24" s="1"/>
  <c r="AF768" i="24" l="1"/>
  <c r="D769" i="24" s="1"/>
  <c r="AG768" i="24" s="1"/>
  <c r="X768" i="24"/>
  <c r="AE768" i="24" s="1"/>
  <c r="H769" i="24" s="1"/>
  <c r="W768" i="24"/>
  <c r="AD768" i="24" s="1"/>
  <c r="I769" i="24" l="1"/>
  <c r="U769" i="24"/>
  <c r="V769" i="24"/>
  <c r="C769" i="24"/>
  <c r="B769" i="24"/>
  <c r="G769" i="24"/>
  <c r="J769" i="24" l="1"/>
  <c r="L769" i="24" s="1"/>
  <c r="M769" i="24" s="1"/>
  <c r="E769" i="24"/>
  <c r="F769" i="24"/>
  <c r="P769" i="24" l="1"/>
  <c r="Q769" i="24" s="1"/>
  <c r="K769" i="24"/>
  <c r="O769" i="24"/>
  <c r="S769" i="24" s="1"/>
  <c r="T769" i="24" l="1"/>
  <c r="R769" i="24"/>
  <c r="X769" i="24" s="1"/>
  <c r="AC769" i="24" l="1"/>
  <c r="AB769" i="24"/>
  <c r="AE769" i="24" s="1"/>
  <c r="C770" i="24" s="1"/>
  <c r="AA769" i="24"/>
  <c r="Y769" i="24"/>
  <c r="AF769" i="24" s="1"/>
  <c r="I770" i="24" s="1"/>
  <c r="W769" i="24"/>
  <c r="AD769" i="24" l="1"/>
  <c r="G770" i="24" s="1"/>
  <c r="H770" i="24"/>
  <c r="D770" i="24"/>
  <c r="AG769" i="24" s="1"/>
  <c r="J770" i="24" l="1"/>
  <c r="K770" i="24" s="1"/>
  <c r="B770" i="24"/>
  <c r="E770" i="24" s="1"/>
  <c r="V770" i="24"/>
  <c r="U770" i="24"/>
  <c r="O770" i="24" l="1"/>
  <c r="F770" i="24"/>
  <c r="L770" i="24"/>
  <c r="M770" i="24" s="1"/>
  <c r="P770" i="24"/>
  <c r="Q770" i="24" s="1"/>
  <c r="S770" i="24" l="1"/>
  <c r="T770" i="24" s="1"/>
  <c r="AA770" i="24" s="1"/>
  <c r="AC770" i="24" l="1"/>
  <c r="AB770" i="24"/>
  <c r="R770" i="24"/>
  <c r="Y770" i="24" s="1"/>
  <c r="AF770" i="24" s="1"/>
  <c r="X770" i="24" l="1"/>
  <c r="AE770" i="24" s="1"/>
  <c r="C771" i="24" s="1"/>
  <c r="W770" i="24"/>
  <c r="AD770" i="24" s="1"/>
  <c r="G771" i="24" s="1"/>
  <c r="D771" i="24"/>
  <c r="I771" i="24"/>
  <c r="H771" i="24" l="1"/>
  <c r="J771" i="24" s="1"/>
  <c r="L771" i="24" s="1"/>
  <c r="M771" i="24" s="1"/>
  <c r="B771" i="24"/>
  <c r="F771" i="24" s="1"/>
  <c r="AG770" i="24"/>
  <c r="V771" i="24"/>
  <c r="U771" i="24"/>
  <c r="E771" i="24" l="1"/>
  <c r="O771" i="24"/>
  <c r="S771" i="24" s="1"/>
  <c r="T771" i="24" s="1"/>
  <c r="AA771" i="24" s="1"/>
  <c r="P771" i="24"/>
  <c r="Q771" i="24" s="1"/>
  <c r="K771" i="24"/>
  <c r="AC771" i="24" l="1"/>
  <c r="AB771" i="24"/>
  <c r="R771" i="24"/>
  <c r="X771" i="24" s="1"/>
  <c r="AE771" i="24" l="1"/>
  <c r="Y771" i="24"/>
  <c r="AF771" i="24" s="1"/>
  <c r="I772" i="24" s="1"/>
  <c r="W771" i="24"/>
  <c r="AD771" i="24" s="1"/>
  <c r="C772" i="24"/>
  <c r="H772" i="24"/>
  <c r="G772" i="24" l="1"/>
  <c r="J772" i="24" s="1"/>
  <c r="K772" i="24" s="1"/>
  <c r="B772" i="24"/>
  <c r="F772" i="24" s="1"/>
  <c r="D772" i="24"/>
  <c r="AG771" i="24" s="1"/>
  <c r="E772" i="24" l="1"/>
  <c r="V772" i="24"/>
  <c r="U772" i="24"/>
  <c r="P772" i="24"/>
  <c r="Q772" i="24" s="1"/>
  <c r="O772" i="24"/>
  <c r="L772" i="24"/>
  <c r="M772" i="24" s="1"/>
  <c r="S772" i="24" l="1"/>
  <c r="T772" i="24" s="1"/>
  <c r="AB772" i="24" s="1"/>
  <c r="AC772" i="24" l="1"/>
  <c r="AA772" i="24"/>
  <c r="R772" i="24"/>
  <c r="X772" i="24" s="1"/>
  <c r="AE772" i="24" l="1"/>
  <c r="H773" i="24" s="1"/>
  <c r="Y772" i="24"/>
  <c r="AF772" i="24" s="1"/>
  <c r="D773" i="24" s="1"/>
  <c r="W772" i="24"/>
  <c r="AD772" i="24" s="1"/>
  <c r="G773" i="24" s="1"/>
  <c r="C773" i="24" l="1"/>
  <c r="B773" i="24"/>
  <c r="I773" i="24"/>
  <c r="J773" i="24" s="1"/>
  <c r="O773" i="24" s="1"/>
  <c r="V773" i="24"/>
  <c r="U773" i="24"/>
  <c r="AG772" i="24"/>
  <c r="F773" i="24" l="1"/>
  <c r="E773" i="24"/>
  <c r="L773" i="24"/>
  <c r="M773" i="24" s="1"/>
  <c r="K773" i="24"/>
  <c r="P773" i="24"/>
  <c r="Q773" i="24" s="1"/>
  <c r="S773" i="24" l="1"/>
  <c r="T773" i="24" s="1"/>
  <c r="AC773" i="24"/>
  <c r="AA773" i="24"/>
  <c r="AB773" i="24"/>
  <c r="R773" i="24"/>
  <c r="W773" i="24" s="1"/>
  <c r="X773" i="24" l="1"/>
  <c r="AE773" i="24" s="1"/>
  <c r="H774" i="24" s="1"/>
  <c r="Y773" i="24"/>
  <c r="AF773" i="24" s="1"/>
  <c r="I774" i="24" s="1"/>
  <c r="AD773" i="24"/>
  <c r="C774" i="24" l="1"/>
  <c r="D774" i="24"/>
  <c r="AG773" i="24" s="1"/>
  <c r="B774" i="24"/>
  <c r="G774" i="24"/>
  <c r="J774" i="24" s="1"/>
  <c r="E774" i="24" l="1"/>
  <c r="U774" i="24"/>
  <c r="V774" i="24"/>
  <c r="L774" i="24"/>
  <c r="M774" i="24" s="1"/>
  <c r="K774" i="24"/>
  <c r="P774" i="24"/>
  <c r="Q774" i="24" s="1"/>
  <c r="F774" i="24"/>
  <c r="O774" i="24"/>
  <c r="S774" i="24" l="1"/>
  <c r="T774" i="24" s="1"/>
  <c r="AA774" i="24" s="1"/>
  <c r="AB774" i="24" l="1"/>
  <c r="AC774" i="24"/>
  <c r="R774" i="24"/>
  <c r="W774" i="24" s="1"/>
  <c r="X774" i="24" l="1"/>
  <c r="AE774" i="24" s="1"/>
  <c r="H775" i="24" s="1"/>
  <c r="Y774" i="24"/>
  <c r="AF774" i="24" s="1"/>
  <c r="I775" i="24" s="1"/>
  <c r="AD774" i="24"/>
  <c r="C775" i="24" l="1"/>
  <c r="D775" i="24"/>
  <c r="AG774" i="24" s="1"/>
  <c r="G775" i="24"/>
  <c r="J775" i="24" s="1"/>
  <c r="B775" i="24"/>
  <c r="O775" i="24" l="1"/>
  <c r="U775" i="24"/>
  <c r="V775" i="24"/>
  <c r="F775" i="24"/>
  <c r="E775" i="24"/>
  <c r="P775" i="24"/>
  <c r="Q775" i="24" s="1"/>
  <c r="L775" i="24"/>
  <c r="M775" i="24" s="1"/>
  <c r="K775" i="24"/>
  <c r="S775" i="24" l="1"/>
  <c r="T775" i="24" s="1"/>
  <c r="AA775" i="24" s="1"/>
  <c r="AC775" i="24" l="1"/>
  <c r="AB775" i="24"/>
  <c r="R775" i="24"/>
  <c r="Y775" i="24" s="1"/>
  <c r="AF775" i="24" l="1"/>
  <c r="I776" i="24" s="1"/>
  <c r="W775" i="24"/>
  <c r="AD775" i="24" s="1"/>
  <c r="B776" i="24" s="1"/>
  <c r="X775" i="24"/>
  <c r="AE775" i="24" s="1"/>
  <c r="H776" i="24" s="1"/>
  <c r="D776" i="24" l="1"/>
  <c r="U776" i="24" s="1"/>
  <c r="G776" i="24"/>
  <c r="J776" i="24" s="1"/>
  <c r="L776" i="24" s="1"/>
  <c r="M776" i="24" s="1"/>
  <c r="C776" i="24"/>
  <c r="E776" i="24" s="1"/>
  <c r="V776" i="24" l="1"/>
  <c r="AG775" i="24"/>
  <c r="F776" i="24"/>
  <c r="P776" i="24"/>
  <c r="Q776" i="24" s="1"/>
  <c r="O776" i="24"/>
  <c r="S776" i="24" s="1"/>
  <c r="T776" i="24" s="1"/>
  <c r="AB776" i="24" s="1"/>
  <c r="K776" i="24"/>
  <c r="AA776" i="24" l="1"/>
  <c r="AC776" i="24"/>
  <c r="R776" i="24"/>
  <c r="Y776" i="24" l="1"/>
  <c r="AF776" i="24" s="1"/>
  <c r="D777" i="24" s="1"/>
  <c r="X776" i="24"/>
  <c r="AE776" i="24" s="1"/>
  <c r="H777" i="24" s="1"/>
  <c r="W776" i="24"/>
  <c r="AD776" i="24" s="1"/>
  <c r="G777" i="24" s="1"/>
  <c r="I777" i="24" l="1"/>
  <c r="J777" i="24" s="1"/>
  <c r="B777" i="24"/>
  <c r="C777" i="24"/>
  <c r="V777" i="24"/>
  <c r="U777" i="24"/>
  <c r="AG776" i="24"/>
  <c r="F777" i="24" l="1"/>
  <c r="E777" i="24"/>
  <c r="O777" i="24"/>
  <c r="L777" i="24"/>
  <c r="M777" i="24" s="1"/>
  <c r="P777" i="24"/>
  <c r="Q777" i="24" s="1"/>
  <c r="K777" i="24"/>
  <c r="S777" i="24" l="1"/>
  <c r="T777" i="24" s="1"/>
  <c r="AC777" i="24" s="1"/>
  <c r="AA777" i="24" l="1"/>
  <c r="AB777" i="24"/>
  <c r="R777" i="24"/>
  <c r="X777" i="24" s="1"/>
  <c r="AE777" i="24" l="1"/>
  <c r="W777" i="24"/>
  <c r="AD777" i="24" s="1"/>
  <c r="G778" i="24" s="1"/>
  <c r="Y777" i="24"/>
  <c r="AF777" i="24" s="1"/>
  <c r="D778" i="24" s="1"/>
  <c r="H778" i="24"/>
  <c r="C778" i="24"/>
  <c r="B778" i="24" l="1"/>
  <c r="F778" i="24" s="1"/>
  <c r="I778" i="24"/>
  <c r="J778" i="24" s="1"/>
  <c r="O778" i="24" s="1"/>
  <c r="U778" i="24"/>
  <c r="V778" i="24"/>
  <c r="AG777" i="24"/>
  <c r="E778" i="24" l="1"/>
  <c r="K778" i="24"/>
  <c r="L778" i="24"/>
  <c r="M778" i="24" s="1"/>
  <c r="P778" i="24"/>
  <c r="Q778" i="24" s="1"/>
  <c r="S778" i="24" l="1"/>
  <c r="T778" i="24" s="1"/>
  <c r="AA778" i="24" s="1"/>
  <c r="R778" i="24"/>
  <c r="AC778" i="24" l="1"/>
  <c r="AB778" i="24"/>
  <c r="Y778" i="24"/>
  <c r="AF778" i="24" s="1"/>
  <c r="X778" i="24"/>
  <c r="AE778" i="24" s="1"/>
  <c r="W778" i="24"/>
  <c r="AD778" i="24" s="1"/>
  <c r="B779" i="24" l="1"/>
  <c r="G779" i="24"/>
  <c r="C779" i="24"/>
  <c r="H779" i="24"/>
  <c r="I779" i="24"/>
  <c r="D779" i="24"/>
  <c r="F779" i="24" l="1"/>
  <c r="AG778" i="24"/>
  <c r="U779" i="24"/>
  <c r="V779" i="24"/>
  <c r="J779" i="24"/>
  <c r="E779" i="24"/>
  <c r="O779" i="24" l="1"/>
  <c r="L779" i="24"/>
  <c r="M779" i="24" s="1"/>
  <c r="K779" i="24"/>
  <c r="P779" i="24"/>
  <c r="Q779" i="24" s="1"/>
  <c r="S779" i="24" l="1"/>
  <c r="T779" i="24" s="1"/>
  <c r="AA779" i="24" s="1"/>
  <c r="AC779" i="24" l="1"/>
  <c r="AB779" i="24"/>
  <c r="R779" i="24"/>
  <c r="W779" i="24" l="1"/>
  <c r="AD779" i="24" s="1"/>
  <c r="Y779" i="24"/>
  <c r="AF779" i="24" s="1"/>
  <c r="X779" i="24"/>
  <c r="AE779" i="24" s="1"/>
  <c r="C780" i="24" l="1"/>
  <c r="H780" i="24"/>
  <c r="D780" i="24"/>
  <c r="I780" i="24"/>
  <c r="G780" i="24"/>
  <c r="B780" i="24"/>
  <c r="J780" i="24" l="1"/>
  <c r="O780" i="24" s="1"/>
  <c r="E780" i="24"/>
  <c r="U780" i="24"/>
  <c r="V780" i="24"/>
  <c r="AG779" i="24"/>
  <c r="F780" i="24"/>
  <c r="P780" i="24" l="1"/>
  <c r="Q780" i="24" s="1"/>
  <c r="L780" i="24"/>
  <c r="M780" i="24" s="1"/>
  <c r="K780" i="24"/>
  <c r="S780" i="24" l="1"/>
  <c r="T780" i="24" s="1"/>
  <c r="AB780" i="24"/>
  <c r="AC780" i="24"/>
  <c r="AA780" i="24"/>
  <c r="R780" i="24"/>
  <c r="Y780" i="24" s="1"/>
  <c r="W780" i="24" l="1"/>
  <c r="AD780" i="24" s="1"/>
  <c r="X780" i="24"/>
  <c r="AE780" i="24" s="1"/>
  <c r="AF780" i="24"/>
  <c r="H781" i="24" l="1"/>
  <c r="C781" i="24"/>
  <c r="D781" i="24"/>
  <c r="I781" i="24"/>
  <c r="G781" i="24"/>
  <c r="B781" i="24"/>
  <c r="E781" i="24" l="1"/>
  <c r="J781" i="24"/>
  <c r="V781" i="24"/>
  <c r="AG780" i="24"/>
  <c r="U781" i="24"/>
  <c r="F781" i="24"/>
  <c r="O781" i="24" l="1"/>
  <c r="K781" i="24"/>
  <c r="P781" i="24"/>
  <c r="Q781" i="24" s="1"/>
  <c r="L781" i="24"/>
  <c r="M781" i="24" s="1"/>
  <c r="S781" i="24" l="1"/>
  <c r="T781" i="24" s="1"/>
  <c r="AC781" i="24" s="1"/>
  <c r="AB781" i="24" l="1"/>
  <c r="AA781" i="24"/>
  <c r="R781" i="24"/>
  <c r="W781" i="24" s="1"/>
  <c r="AD781" i="24" l="1"/>
  <c r="G782" i="24" s="1"/>
  <c r="Y781" i="24"/>
  <c r="AF781" i="24" s="1"/>
  <c r="D782" i="24" s="1"/>
  <c r="X781" i="24"/>
  <c r="AE781" i="24" s="1"/>
  <c r="C782" i="24" s="1"/>
  <c r="B782" i="24" l="1"/>
  <c r="E782" i="24" s="1"/>
  <c r="H782" i="24"/>
  <c r="I782" i="24"/>
  <c r="V782" i="24"/>
  <c r="U782" i="24"/>
  <c r="AG781" i="24"/>
  <c r="F782" i="24" l="1"/>
  <c r="J782" i="24"/>
  <c r="P782" i="24" s="1"/>
  <c r="Q782" i="24" s="1"/>
  <c r="L782" i="24" l="1"/>
  <c r="M782" i="24" s="1"/>
  <c r="K782" i="24"/>
  <c r="O782" i="24"/>
  <c r="S782" i="24" l="1"/>
  <c r="T782" i="24" s="1"/>
  <c r="AA782" i="24" s="1"/>
  <c r="AB782" i="24" l="1"/>
  <c r="AC782" i="24"/>
  <c r="R782" i="24"/>
  <c r="Y782" i="24" s="1"/>
  <c r="AF782" i="24" l="1"/>
  <c r="I783" i="24" s="1"/>
  <c r="X782" i="24"/>
  <c r="AE782" i="24" s="1"/>
  <c r="H783" i="24" s="1"/>
  <c r="W782" i="24"/>
  <c r="AD782" i="24" s="1"/>
  <c r="B783" i="24" s="1"/>
  <c r="D783" i="24" l="1"/>
  <c r="AG782" i="24" s="1"/>
  <c r="C783" i="24"/>
  <c r="E783" i="24" s="1"/>
  <c r="G783" i="24"/>
  <c r="J783" i="24" s="1"/>
  <c r="K783" i="24" s="1"/>
  <c r="U783" i="24" l="1"/>
  <c r="V783" i="24"/>
  <c r="F783" i="24"/>
  <c r="P783" i="24"/>
  <c r="Q783" i="24" s="1"/>
  <c r="L783" i="24"/>
  <c r="M783" i="24" s="1"/>
  <c r="O783" i="24"/>
  <c r="S783" i="24" l="1"/>
  <c r="T783" i="24" s="1"/>
  <c r="AA783" i="24" s="1"/>
  <c r="AC783" i="24" l="1"/>
  <c r="AB783" i="24"/>
  <c r="R783" i="24"/>
  <c r="W783" i="24" s="1"/>
  <c r="AD783" i="24" s="1"/>
  <c r="Y783" i="24" l="1"/>
  <c r="AF783" i="24" s="1"/>
  <c r="D784" i="24" s="1"/>
  <c r="U784" i="24" s="1"/>
  <c r="G784" i="24"/>
  <c r="B784" i="24"/>
  <c r="X783" i="24"/>
  <c r="AE783" i="24" s="1"/>
  <c r="C784" i="24" s="1"/>
  <c r="E784" i="24" l="1"/>
  <c r="AG783" i="24"/>
  <c r="V784" i="24"/>
  <c r="I784" i="24"/>
  <c r="F784" i="24"/>
  <c r="H784" i="24"/>
  <c r="J784" i="24" l="1"/>
  <c r="O784" i="24" s="1"/>
  <c r="P784" i="24" l="1"/>
  <c r="Q784" i="24" s="1"/>
  <c r="L784" i="24"/>
  <c r="M784" i="24" s="1"/>
  <c r="K784" i="24"/>
  <c r="S784" i="24" l="1"/>
  <c r="T784" i="24" s="1"/>
  <c r="AB784" i="24" s="1"/>
  <c r="R784" i="24"/>
  <c r="Y784" i="24" s="1"/>
  <c r="AA784" i="24" l="1"/>
  <c r="AC784" i="24"/>
  <c r="AF784" i="24" s="1"/>
  <c r="D785" i="24" s="1"/>
  <c r="AG784" i="24" s="1"/>
  <c r="W784" i="24"/>
  <c r="AD784" i="24" s="1"/>
  <c r="B785" i="24" s="1"/>
  <c r="X784" i="24"/>
  <c r="AE784" i="24" s="1"/>
  <c r="H785" i="24" s="1"/>
  <c r="C785" i="24" l="1"/>
  <c r="E785" i="24" s="1"/>
  <c r="I785" i="24"/>
  <c r="G785" i="24"/>
  <c r="V785" i="24"/>
  <c r="U785" i="24"/>
  <c r="J785" i="24" l="1"/>
  <c r="O785" i="24" s="1"/>
  <c r="F785" i="24"/>
  <c r="L785" i="24" l="1"/>
  <c r="M785" i="24" s="1"/>
  <c r="P785" i="24"/>
  <c r="Q785" i="24" s="1"/>
  <c r="K785" i="24"/>
  <c r="S785" i="24" l="1"/>
  <c r="T785" i="24" s="1"/>
  <c r="AC785" i="24"/>
  <c r="AA785" i="24"/>
  <c r="AB785" i="24"/>
  <c r="R785" i="24"/>
  <c r="X785" i="24" s="1"/>
  <c r="AE785" i="24" l="1"/>
  <c r="H786" i="24" s="1"/>
  <c r="W785" i="24"/>
  <c r="AD785" i="24" s="1"/>
  <c r="G786" i="24" s="1"/>
  <c r="Y785" i="24"/>
  <c r="AF785" i="24" s="1"/>
  <c r="I786" i="24" s="1"/>
  <c r="C786" i="24" l="1"/>
  <c r="J786" i="24"/>
  <c r="P786" i="24" s="1"/>
  <c r="Q786" i="24" s="1"/>
  <c r="B786" i="24"/>
  <c r="D786" i="24"/>
  <c r="V786" i="24" s="1"/>
  <c r="E786" i="24" l="1"/>
  <c r="L786" i="24"/>
  <c r="M786" i="24" s="1"/>
  <c r="K786" i="24"/>
  <c r="O786" i="24"/>
  <c r="F786" i="24"/>
  <c r="U786" i="24"/>
  <c r="AG785" i="24"/>
  <c r="S786" i="24" l="1"/>
  <c r="T786" i="24" s="1"/>
  <c r="AA786" i="24" s="1"/>
  <c r="AC786" i="24" l="1"/>
  <c r="AB786" i="24"/>
  <c r="R786" i="24"/>
  <c r="W786" i="24" s="1"/>
  <c r="AD786" i="24" s="1"/>
  <c r="B787" i="24" s="1"/>
  <c r="Y786" i="24" l="1"/>
  <c r="AF786" i="24" s="1"/>
  <c r="D787" i="24" s="1"/>
  <c r="V787" i="24" s="1"/>
  <c r="G787" i="24"/>
  <c r="X786" i="24"/>
  <c r="AE786" i="24" s="1"/>
  <c r="C787" i="24" s="1"/>
  <c r="E787" i="24" s="1"/>
  <c r="I787" i="24" l="1"/>
  <c r="H787" i="24"/>
  <c r="F787" i="24"/>
  <c r="U787" i="24"/>
  <c r="AG786" i="24"/>
  <c r="J787" i="24" l="1"/>
  <c r="K787" i="24" s="1"/>
  <c r="O787" i="24" l="1"/>
  <c r="L787" i="24"/>
  <c r="M787" i="24" s="1"/>
  <c r="P787" i="24"/>
  <c r="Q787" i="24" s="1"/>
  <c r="S787" i="24" l="1"/>
  <c r="T787" i="24" s="1"/>
  <c r="AA787" i="24" s="1"/>
  <c r="AB787" i="24" l="1"/>
  <c r="AC787" i="24"/>
  <c r="R787" i="24"/>
  <c r="W787" i="24" s="1"/>
  <c r="AD787" i="24" s="1"/>
  <c r="B788" i="24" s="1"/>
  <c r="Y787" i="24" l="1"/>
  <c r="AF787" i="24" s="1"/>
  <c r="X787" i="24"/>
  <c r="AE787" i="24" s="1"/>
  <c r="C788" i="24" s="1"/>
  <c r="F788" i="24" s="1"/>
  <c r="G788" i="24"/>
  <c r="I788" i="24" l="1"/>
  <c r="D788" i="24"/>
  <c r="V788" i="24" s="1"/>
  <c r="E788" i="24"/>
  <c r="H788" i="24"/>
  <c r="J788" i="24" l="1"/>
  <c r="P788" i="24" s="1"/>
  <c r="Q788" i="24" s="1"/>
  <c r="U788" i="24"/>
  <c r="AG787" i="24"/>
  <c r="O788" i="24" l="1"/>
  <c r="K788" i="24"/>
  <c r="L788" i="24"/>
  <c r="M788" i="24" s="1"/>
  <c r="S788" i="24" l="1"/>
  <c r="T788" i="24" s="1"/>
  <c r="AB788" i="24" s="1"/>
  <c r="AC788" i="24" l="1"/>
  <c r="AA788" i="24"/>
  <c r="R788" i="24"/>
  <c r="X788" i="24" s="1"/>
  <c r="Y788" i="24" l="1"/>
  <c r="W788" i="24"/>
  <c r="AD788" i="24" s="1"/>
  <c r="G789" i="24" s="1"/>
  <c r="AE788" i="24"/>
  <c r="H789" i="24" s="1"/>
  <c r="AF788" i="24"/>
  <c r="D789" i="24" s="1"/>
  <c r="V789" i="24" s="1"/>
  <c r="B789" i="24" l="1"/>
  <c r="C789" i="24"/>
  <c r="I789" i="24"/>
  <c r="J789" i="24" s="1"/>
  <c r="K789" i="24" s="1"/>
  <c r="AG788" i="24"/>
  <c r="U789" i="24"/>
  <c r="E789" i="24" l="1"/>
  <c r="P789" i="24"/>
  <c r="Q789" i="24" s="1"/>
  <c r="O789" i="24"/>
  <c r="F789" i="24"/>
  <c r="L789" i="24"/>
  <c r="M789" i="24" s="1"/>
  <c r="S789" i="24" l="1"/>
  <c r="T789" i="24" s="1"/>
  <c r="AC789" i="24" s="1"/>
  <c r="AA789" i="24" l="1"/>
  <c r="AB789" i="24"/>
  <c r="R789" i="24"/>
  <c r="Y789" i="24" s="1"/>
  <c r="AF789" i="24" s="1"/>
  <c r="D790" i="24" s="1"/>
  <c r="V790" i="24" s="1"/>
  <c r="W789" i="24" l="1"/>
  <c r="X789" i="24"/>
  <c r="AE789" i="24" s="1"/>
  <c r="C790" i="24" s="1"/>
  <c r="AG789" i="24"/>
  <c r="U790" i="24"/>
  <c r="AD789" i="24"/>
  <c r="G790" i="24" s="1"/>
  <c r="I790" i="24"/>
  <c r="H790" i="24" l="1"/>
  <c r="J790" i="24" s="1"/>
  <c r="K790" i="24" s="1"/>
  <c r="B790" i="24"/>
  <c r="F790" i="24" s="1"/>
  <c r="O790" i="24" l="1"/>
  <c r="P790" i="24"/>
  <c r="Q790" i="24" s="1"/>
  <c r="L790" i="24"/>
  <c r="M790" i="24" s="1"/>
  <c r="E790" i="24"/>
  <c r="S790" i="24" l="1"/>
  <c r="AA790" i="24"/>
  <c r="AB790" i="24"/>
  <c r="AC790" i="24"/>
  <c r="T790" i="24"/>
  <c r="R790" i="24"/>
  <c r="X790" i="24" s="1"/>
  <c r="W790" i="24" l="1"/>
  <c r="Y790" i="24"/>
  <c r="AF790" i="24" s="1"/>
  <c r="D791" i="24" s="1"/>
  <c r="AG790" i="24" s="1"/>
  <c r="AD790" i="24"/>
  <c r="G791" i="24" s="1"/>
  <c r="AE790" i="24"/>
  <c r="C791" i="24" s="1"/>
  <c r="H791" i="24" l="1"/>
  <c r="I791" i="24"/>
  <c r="J791" i="24" s="1"/>
  <c r="P791" i="24" s="1"/>
  <c r="Q791" i="24" s="1"/>
  <c r="B791" i="24"/>
  <c r="E791" i="24" s="1"/>
  <c r="V791" i="24"/>
  <c r="U791" i="24"/>
  <c r="O791" i="24" l="1"/>
  <c r="K791" i="24"/>
  <c r="L791" i="24"/>
  <c r="M791" i="24" s="1"/>
  <c r="F791" i="24"/>
  <c r="S791" i="24" l="1"/>
  <c r="T791" i="24" s="1"/>
  <c r="AA791" i="24" s="1"/>
  <c r="AB791" i="24"/>
  <c r="AC791" i="24"/>
  <c r="R791" i="24"/>
  <c r="X791" i="24" s="1"/>
  <c r="AE791" i="24" l="1"/>
  <c r="C792" i="24" s="1"/>
  <c r="Y791" i="24"/>
  <c r="AF791" i="24" s="1"/>
  <c r="D792" i="24" s="1"/>
  <c r="V792" i="24" s="1"/>
  <c r="W791" i="24"/>
  <c r="AD791" i="24" s="1"/>
  <c r="B792" i="24" s="1"/>
  <c r="H792" i="24" l="1"/>
  <c r="E792" i="24"/>
  <c r="F792" i="24"/>
  <c r="U792" i="24"/>
  <c r="G792" i="24"/>
  <c r="AG791" i="24"/>
  <c r="I792" i="24"/>
  <c r="J792" i="24" l="1"/>
  <c r="K792" i="24" s="1"/>
  <c r="O792" i="24" l="1"/>
  <c r="L792" i="24"/>
  <c r="M792" i="24" s="1"/>
  <c r="P792" i="24"/>
  <c r="Q792" i="24" s="1"/>
  <c r="S792" i="24" l="1"/>
  <c r="T792" i="24" s="1"/>
  <c r="AB792" i="24"/>
  <c r="AC792" i="24"/>
  <c r="AA792" i="24"/>
  <c r="R792" i="24"/>
  <c r="W792" i="24" s="1"/>
  <c r="AD792" i="24" l="1"/>
  <c r="G793" i="24" s="1"/>
  <c r="X792" i="24"/>
  <c r="AE792" i="24" s="1"/>
  <c r="Y792" i="24"/>
  <c r="AF792" i="24" s="1"/>
  <c r="B793" i="24"/>
  <c r="D793" i="24" l="1"/>
  <c r="I793" i="24"/>
  <c r="C793" i="24"/>
  <c r="F793" i="24" s="1"/>
  <c r="H793" i="24"/>
  <c r="J793" i="24" s="1"/>
  <c r="O793" i="24" l="1"/>
  <c r="V793" i="24"/>
  <c r="AG792" i="24"/>
  <c r="U793" i="24"/>
  <c r="P793" i="24"/>
  <c r="Q793" i="24" s="1"/>
  <c r="L793" i="24"/>
  <c r="M793" i="24" s="1"/>
  <c r="K793" i="24"/>
  <c r="E793" i="24"/>
  <c r="S793" i="24" l="1"/>
  <c r="T793" i="24" s="1"/>
  <c r="AC793" i="24" s="1"/>
  <c r="AB793" i="24" l="1"/>
  <c r="AA793" i="24"/>
  <c r="R793" i="24"/>
  <c r="Y793" i="24" s="1"/>
  <c r="AF793" i="24" s="1"/>
  <c r="W793" i="24" l="1"/>
  <c r="AD793" i="24" s="1"/>
  <c r="B794" i="24" s="1"/>
  <c r="X793" i="24"/>
  <c r="AE793" i="24" s="1"/>
  <c r="D794" i="24"/>
  <c r="I794" i="24"/>
  <c r="H794" i="24" l="1"/>
  <c r="C794" i="24"/>
  <c r="E794" i="24" s="1"/>
  <c r="G794" i="24"/>
  <c r="U794" i="24"/>
  <c r="AG793" i="24"/>
  <c r="V794" i="24"/>
  <c r="J794" i="24" l="1"/>
  <c r="K794" i="24" s="1"/>
  <c r="F794" i="24"/>
  <c r="L794" i="24" l="1"/>
  <c r="M794" i="24" s="1"/>
  <c r="O794" i="24"/>
  <c r="P794" i="24"/>
  <c r="Q794" i="24" s="1"/>
  <c r="S794" i="24" l="1"/>
  <c r="T794" i="24" s="1"/>
  <c r="AA794" i="24" s="1"/>
  <c r="AB794" i="24" l="1"/>
  <c r="AC794" i="24"/>
  <c r="R794" i="24"/>
  <c r="Y794" i="24" l="1"/>
  <c r="AF794" i="24" s="1"/>
  <c r="X794" i="24"/>
  <c r="AE794" i="24" s="1"/>
  <c r="H795" i="24" s="1"/>
  <c r="W794" i="24"/>
  <c r="AD794" i="24" s="1"/>
  <c r="B795" i="24" s="1"/>
  <c r="C795" i="24" l="1"/>
  <c r="F795" i="24" s="1"/>
  <c r="G795" i="24"/>
  <c r="I795" i="24"/>
  <c r="D795" i="24"/>
  <c r="E795" i="24" l="1"/>
  <c r="J795" i="24"/>
  <c r="O795" i="24" s="1"/>
  <c r="V795" i="24"/>
  <c r="AG794" i="24"/>
  <c r="U795" i="24"/>
  <c r="P795" i="24" l="1"/>
  <c r="Q795" i="24" s="1"/>
  <c r="L795" i="24"/>
  <c r="M795" i="24" s="1"/>
  <c r="K795" i="24"/>
  <c r="S795" i="24" l="1"/>
  <c r="T795" i="24"/>
  <c r="AA795" i="24" s="1"/>
  <c r="R795" i="24"/>
  <c r="Y795" i="24" s="1"/>
  <c r="AB795" i="24" l="1"/>
  <c r="AC795" i="24"/>
  <c r="AF795" i="24" s="1"/>
  <c r="W795" i="24"/>
  <c r="X795" i="24"/>
  <c r="D796" i="24" l="1"/>
  <c r="I796" i="24"/>
  <c r="AE795" i="24"/>
  <c r="AD795" i="24"/>
  <c r="H796" i="24" l="1"/>
  <c r="C796" i="24"/>
  <c r="B796" i="24"/>
  <c r="G796" i="24"/>
  <c r="AG795" i="24"/>
  <c r="U796" i="24"/>
  <c r="V796" i="24"/>
  <c r="J796" i="24" l="1"/>
  <c r="P796" i="24" s="1"/>
  <c r="Q796" i="24" s="1"/>
  <c r="E796" i="24"/>
  <c r="F796" i="24"/>
  <c r="K796" i="24" l="1"/>
  <c r="O796" i="24"/>
  <c r="L796" i="24"/>
  <c r="M796" i="24" s="1"/>
  <c r="S796" i="24" l="1"/>
  <c r="T796" i="24" s="1"/>
  <c r="AB796" i="24" s="1"/>
  <c r="AC796" i="24"/>
  <c r="AA796" i="24"/>
  <c r="R796" i="24"/>
  <c r="X796" i="24" s="1"/>
  <c r="Y796" i="24" l="1"/>
  <c r="AF796" i="24" s="1"/>
  <c r="W796" i="24"/>
  <c r="AD796" i="24" s="1"/>
  <c r="AE796" i="24"/>
  <c r="H797" i="24" l="1"/>
  <c r="C797" i="24"/>
  <c r="G797" i="24"/>
  <c r="B797" i="24"/>
  <c r="I797" i="24"/>
  <c r="D797" i="24"/>
  <c r="E797" i="24" l="1"/>
  <c r="J797" i="24"/>
  <c r="K797" i="24" s="1"/>
  <c r="F797" i="24"/>
  <c r="U797" i="24"/>
  <c r="AG796" i="24"/>
  <c r="V797" i="24"/>
  <c r="O797" i="24" l="1"/>
  <c r="L797" i="24"/>
  <c r="M797" i="24" s="1"/>
  <c r="P797" i="24"/>
  <c r="Q797" i="24" s="1"/>
  <c r="S797" i="24" l="1"/>
  <c r="T797" i="24" s="1"/>
  <c r="AC797" i="24" s="1"/>
  <c r="AB797" i="24" l="1"/>
  <c r="AA797" i="24"/>
  <c r="R797" i="24"/>
  <c r="X797" i="24" s="1"/>
  <c r="AE797" i="24" s="1"/>
  <c r="W797" i="24" l="1"/>
  <c r="AD797" i="24" s="1"/>
  <c r="Y797" i="24"/>
  <c r="AF797" i="24" s="1"/>
  <c r="I798" i="24" s="1"/>
  <c r="C798" i="24"/>
  <c r="H798" i="24"/>
  <c r="G798" i="24"/>
  <c r="B798" i="24"/>
  <c r="E798" i="24" l="1"/>
  <c r="D798" i="24"/>
  <c r="U798" i="24" s="1"/>
  <c r="J798" i="24"/>
  <c r="K798" i="24" s="1"/>
  <c r="F798" i="24"/>
  <c r="V798" i="24" l="1"/>
  <c r="O798" i="24"/>
  <c r="AG797" i="24"/>
  <c r="L798" i="24"/>
  <c r="M798" i="24" s="1"/>
  <c r="P798" i="24"/>
  <c r="Q798" i="24" s="1"/>
  <c r="S798" i="24" l="1"/>
  <c r="T798" i="24" s="1"/>
  <c r="AA798" i="24" s="1"/>
  <c r="AB798" i="24"/>
  <c r="AC798" i="24"/>
  <c r="R798" i="24"/>
  <c r="X798" i="24" s="1"/>
  <c r="W798" i="24" l="1"/>
  <c r="AD798" i="24" s="1"/>
  <c r="B799" i="24" s="1"/>
  <c r="Y798" i="24"/>
  <c r="AF798" i="24" s="1"/>
  <c r="I799" i="24" s="1"/>
  <c r="AE798" i="24"/>
  <c r="C799" i="24" s="1"/>
  <c r="D799" i="24" l="1"/>
  <c r="H799" i="24"/>
  <c r="G799" i="24"/>
  <c r="E799" i="24"/>
  <c r="U799" i="24"/>
  <c r="V799" i="24"/>
  <c r="AG798" i="24"/>
  <c r="F799" i="24"/>
  <c r="J799" i="24" l="1"/>
  <c r="O799" i="24" s="1"/>
  <c r="L799" i="24" l="1"/>
  <c r="M799" i="24" s="1"/>
  <c r="P799" i="24"/>
  <c r="Q799" i="24" s="1"/>
  <c r="K799" i="24"/>
  <c r="S799" i="24" l="1"/>
  <c r="T799" i="24" l="1"/>
  <c r="R799" i="24"/>
  <c r="W799" i="24" l="1"/>
  <c r="X799" i="24"/>
  <c r="Y799" i="24"/>
  <c r="AC799" i="24"/>
  <c r="AB799" i="24"/>
  <c r="AA799" i="24"/>
  <c r="AE799" i="24" l="1"/>
  <c r="AF799" i="24"/>
  <c r="H800" i="24"/>
  <c r="C800" i="24"/>
  <c r="AD799" i="24"/>
  <c r="G800" i="24" l="1"/>
  <c r="B800" i="24"/>
  <c r="E800" i="24" s="1"/>
  <c r="D800" i="24"/>
  <c r="I800" i="24"/>
  <c r="AG799" i="24" l="1"/>
  <c r="V800" i="24"/>
  <c r="U800" i="24"/>
  <c r="F800" i="24"/>
  <c r="J800" i="24"/>
  <c r="O800" i="24" l="1"/>
  <c r="L800" i="24"/>
  <c r="M800" i="24" s="1"/>
  <c r="K800" i="24"/>
  <c r="P800" i="24"/>
  <c r="Q800" i="24" s="1"/>
  <c r="S800" i="24" l="1"/>
  <c r="T800" i="24" s="1"/>
  <c r="AB800" i="24"/>
  <c r="AA800" i="24"/>
  <c r="AC800" i="24"/>
  <c r="R800" i="24" l="1"/>
  <c r="X800" i="24" s="1"/>
  <c r="AE800" i="24" s="1"/>
  <c r="W800" i="24" l="1"/>
  <c r="AD800" i="24" s="1"/>
  <c r="Y800" i="24"/>
  <c r="AF800" i="24" s="1"/>
  <c r="B801" i="24"/>
  <c r="G801" i="24"/>
  <c r="I801" i="24"/>
  <c r="D801" i="24"/>
  <c r="C801" i="24"/>
  <c r="F801" i="24" s="1"/>
  <c r="H801" i="24"/>
  <c r="AG800" i="24" l="1"/>
  <c r="U801" i="24"/>
  <c r="V801" i="24"/>
  <c r="J801" i="24"/>
  <c r="E801" i="24"/>
  <c r="O801" i="24" l="1"/>
  <c r="P801" i="24"/>
  <c r="Q801" i="24" s="1"/>
  <c r="K801" i="24"/>
  <c r="L801" i="24"/>
  <c r="M801" i="24" s="1"/>
  <c r="S801" i="24" l="1"/>
  <c r="T801" i="24" s="1"/>
  <c r="AC801" i="24" s="1"/>
  <c r="R801" i="24"/>
  <c r="AB801" i="24" l="1"/>
  <c r="Y801" i="24"/>
  <c r="AF801" i="24" s="1"/>
  <c r="X801" i="24"/>
  <c r="W801" i="24"/>
  <c r="AA801" i="24"/>
  <c r="AD801" i="24" l="1"/>
  <c r="AE801" i="24"/>
  <c r="I802" i="24"/>
  <c r="D802" i="24"/>
  <c r="AG801" i="24" l="1"/>
  <c r="V802" i="24"/>
  <c r="U802" i="24"/>
  <c r="H802" i="24"/>
  <c r="C802" i="24"/>
  <c r="B802" i="24"/>
  <c r="E802" i="24" s="1"/>
  <c r="G802" i="24"/>
  <c r="J802" i="24" l="1"/>
  <c r="O802" i="24"/>
  <c r="K802" i="24"/>
  <c r="P802" i="24"/>
  <c r="Q802" i="24" s="1"/>
  <c r="L802" i="24"/>
  <c r="M802" i="24" s="1"/>
  <c r="F802" i="24"/>
  <c r="S802" i="24" l="1"/>
  <c r="T802" i="24" s="1"/>
  <c r="AA802" i="24"/>
  <c r="AB802" i="24"/>
  <c r="AC802" i="24"/>
  <c r="R802" i="24" l="1"/>
  <c r="X802" i="24" s="1"/>
  <c r="AE802" i="24" s="1"/>
  <c r="Y802" i="24" l="1"/>
  <c r="AF802" i="24" s="1"/>
  <c r="W802" i="24"/>
  <c r="AD802" i="24" s="1"/>
  <c r="G803" i="24" s="1"/>
  <c r="D803" i="24"/>
  <c r="I803" i="24"/>
  <c r="C803" i="24"/>
  <c r="H803" i="24"/>
  <c r="B803" i="24" l="1"/>
  <c r="E803" i="24" s="1"/>
  <c r="J803" i="24"/>
  <c r="L803" i="24"/>
  <c r="M803" i="24" s="1"/>
  <c r="P803" i="24"/>
  <c r="Q803" i="24" s="1"/>
  <c r="K803" i="24"/>
  <c r="F803" i="24"/>
  <c r="V803" i="24"/>
  <c r="U803" i="24"/>
  <c r="AG802" i="24"/>
  <c r="O803" i="24"/>
  <c r="S803" i="24" l="1"/>
  <c r="T803" i="24" s="1"/>
  <c r="R803" i="24"/>
  <c r="AC803" i="24"/>
  <c r="AA803" i="24"/>
  <c r="AB803" i="24"/>
  <c r="W803" i="24" l="1"/>
  <c r="AD803" i="24" s="1"/>
  <c r="X803" i="24"/>
  <c r="AE803" i="24" s="1"/>
  <c r="Y803" i="24"/>
  <c r="AF803" i="24" s="1"/>
  <c r="H804" i="24" l="1"/>
  <c r="C804" i="24"/>
  <c r="F804" i="24" s="1"/>
  <c r="I804" i="24"/>
  <c r="D804" i="24"/>
  <c r="B804" i="24"/>
  <c r="G804" i="24"/>
  <c r="U804" i="24" l="1"/>
  <c r="AG803" i="24"/>
  <c r="V804" i="24"/>
  <c r="O804" i="24"/>
  <c r="J804" i="24"/>
  <c r="E804" i="24"/>
  <c r="K804" i="24" l="1"/>
  <c r="L804" i="24"/>
  <c r="M804" i="24" s="1"/>
  <c r="P804" i="24"/>
  <c r="Q804" i="24" s="1"/>
  <c r="S804" i="24" l="1"/>
  <c r="T804" i="24" s="1"/>
  <c r="AB804" i="24" s="1"/>
  <c r="AA804" i="24" l="1"/>
  <c r="AC804" i="24"/>
  <c r="R804" i="24"/>
  <c r="X804" i="24" l="1"/>
  <c r="AE804" i="24" s="1"/>
  <c r="Y804" i="24"/>
  <c r="AF804" i="24" s="1"/>
  <c r="W804" i="24"/>
  <c r="AD804" i="24" s="1"/>
  <c r="D805" i="24" l="1"/>
  <c r="I805" i="24"/>
  <c r="B805" i="24"/>
  <c r="E805" i="24" s="1"/>
  <c r="G805" i="24"/>
  <c r="J805" i="24" s="1"/>
  <c r="C805" i="24"/>
  <c r="H805" i="24"/>
  <c r="P805" i="24" l="1"/>
  <c r="Q805" i="24" s="1"/>
  <c r="L805" i="24"/>
  <c r="M805" i="24" s="1"/>
  <c r="K805" i="24"/>
  <c r="F805" i="24"/>
  <c r="U805" i="24"/>
  <c r="O805" i="24"/>
  <c r="V805" i="24"/>
  <c r="AG804" i="24"/>
  <c r="S805" i="24" l="1"/>
  <c r="T805" i="24" s="1"/>
  <c r="AC805" i="24" s="1"/>
  <c r="R805" i="24"/>
  <c r="AB805" i="24" l="1"/>
  <c r="X805" i="24"/>
  <c r="AE805" i="24" s="1"/>
  <c r="W805" i="24"/>
  <c r="Y805" i="24"/>
  <c r="AF805" i="24" s="1"/>
  <c r="AA805" i="24"/>
  <c r="I806" i="24" l="1"/>
  <c r="D806" i="24"/>
  <c r="AD805" i="24"/>
  <c r="H806" i="24"/>
  <c r="C806" i="24"/>
  <c r="G806" i="24" l="1"/>
  <c r="J806" i="24" s="1"/>
  <c r="B806" i="24"/>
  <c r="E806" i="24" s="1"/>
  <c r="U806" i="24"/>
  <c r="AG805" i="24"/>
  <c r="V806" i="24"/>
  <c r="O806" i="24"/>
  <c r="F806" i="24"/>
  <c r="K806" i="24" l="1"/>
  <c r="P806" i="24"/>
  <c r="Q806" i="24" s="1"/>
  <c r="L806" i="24"/>
  <c r="M806" i="24" s="1"/>
  <c r="S806" i="24" l="1"/>
  <c r="T806" i="24" s="1"/>
  <c r="AA806" i="24" s="1"/>
  <c r="AB806" i="24"/>
  <c r="R806" i="24"/>
  <c r="AC806" i="24" l="1"/>
  <c r="Y806" i="24"/>
  <c r="AF806" i="24" s="1"/>
  <c r="W806" i="24"/>
  <c r="AD806" i="24" s="1"/>
  <c r="X806" i="24"/>
  <c r="AE806" i="24" s="1"/>
  <c r="G807" i="24" l="1"/>
  <c r="B807" i="24"/>
  <c r="H807" i="24"/>
  <c r="C807" i="24"/>
  <c r="D807" i="24"/>
  <c r="I807" i="24"/>
  <c r="F807" i="24" l="1"/>
  <c r="E807" i="24"/>
  <c r="V807" i="24"/>
  <c r="AG806" i="24"/>
  <c r="U807" i="24"/>
  <c r="J807" i="24"/>
  <c r="L807" i="24" l="1"/>
  <c r="M807" i="24" s="1"/>
  <c r="P807" i="24"/>
  <c r="Q807" i="24" s="1"/>
  <c r="K807" i="24"/>
  <c r="O807" i="24"/>
  <c r="S807" i="24" s="1"/>
  <c r="T807" i="24" s="1"/>
  <c r="R807" i="24" l="1"/>
  <c r="AB807" i="24"/>
  <c r="AC807" i="24"/>
  <c r="AA807" i="24"/>
  <c r="W807" i="24" l="1"/>
  <c r="AD807" i="24" s="1"/>
  <c r="X807" i="24"/>
  <c r="AE807" i="24" s="1"/>
  <c r="Y807" i="24"/>
  <c r="AF807" i="24" s="1"/>
  <c r="H808" i="24" l="1"/>
  <c r="C808" i="24"/>
  <c r="B808" i="24"/>
  <c r="E808" i="24" s="1"/>
  <c r="G808" i="24"/>
  <c r="J808" i="24" s="1"/>
  <c r="I808" i="24"/>
  <c r="D808" i="24"/>
  <c r="O808" i="24" l="1"/>
  <c r="P808" i="24"/>
  <c r="Q808" i="24" s="1"/>
  <c r="L808" i="24"/>
  <c r="M808" i="24" s="1"/>
  <c r="K808" i="24"/>
  <c r="F808" i="24"/>
  <c r="AG807" i="24"/>
  <c r="U808" i="24"/>
  <c r="V808" i="24"/>
  <c r="S808" i="24" l="1"/>
  <c r="T808" i="24" s="1"/>
  <c r="AB808" i="24" s="1"/>
  <c r="AA808" i="24"/>
  <c r="R808" i="24"/>
  <c r="AC808" i="24" l="1"/>
  <c r="W808" i="24"/>
  <c r="AD808" i="24" s="1"/>
  <c r="Y808" i="24"/>
  <c r="AF808" i="24" s="1"/>
  <c r="X808" i="24"/>
  <c r="AE808" i="24" s="1"/>
  <c r="H809" i="24" l="1"/>
  <c r="C809" i="24"/>
  <c r="I809" i="24"/>
  <c r="D809" i="24"/>
  <c r="G809" i="24"/>
  <c r="B809" i="24"/>
  <c r="E809" i="24" s="1"/>
  <c r="F809" i="24" l="1"/>
  <c r="AG808" i="24"/>
  <c r="O809" i="24"/>
  <c r="V809" i="24"/>
  <c r="U809" i="24"/>
  <c r="J809" i="24"/>
  <c r="P809" i="24" l="1"/>
  <c r="Q809" i="24" s="1"/>
  <c r="L809" i="24"/>
  <c r="M809" i="24" s="1"/>
  <c r="K809" i="24"/>
  <c r="S809" i="24" l="1"/>
  <c r="T809" i="24" s="1"/>
  <c r="AC809" i="24" s="1"/>
  <c r="AB809" i="24"/>
  <c r="AA809" i="24"/>
  <c r="R809" i="24"/>
  <c r="W809" i="24" l="1"/>
  <c r="AD809" i="24" s="1"/>
  <c r="X809" i="24"/>
  <c r="AE809" i="24" s="1"/>
  <c r="Y809" i="24"/>
  <c r="AF809" i="24" s="1"/>
  <c r="D810" i="24" l="1"/>
  <c r="I810" i="24"/>
  <c r="C810" i="24"/>
  <c r="H810" i="24"/>
  <c r="J810" i="24" s="1"/>
  <c r="G810" i="24"/>
  <c r="B810" i="24"/>
  <c r="O810" i="24" l="1"/>
  <c r="P810" i="24"/>
  <c r="Q810" i="24" s="1"/>
  <c r="K810" i="24"/>
  <c r="L810" i="24"/>
  <c r="M810" i="24" s="1"/>
  <c r="E810" i="24"/>
  <c r="F810" i="24"/>
  <c r="V810" i="24"/>
  <c r="U810" i="24"/>
  <c r="AG809" i="24"/>
  <c r="S810" i="24" l="1"/>
  <c r="T810" i="24" s="1"/>
  <c r="AA810" i="24" s="1"/>
  <c r="R810" i="24"/>
  <c r="AC810" i="24" l="1"/>
  <c r="Y810" i="24"/>
  <c r="AF810" i="24" s="1"/>
  <c r="X810" i="24"/>
  <c r="W810" i="24"/>
  <c r="AD810" i="24" s="1"/>
  <c r="AB810" i="24"/>
  <c r="AE810" i="24" l="1"/>
  <c r="G811" i="24"/>
  <c r="B811" i="24"/>
  <c r="D811" i="24"/>
  <c r="I811" i="24"/>
  <c r="AG810" i="24" l="1"/>
  <c r="V811" i="24"/>
  <c r="U811" i="24"/>
  <c r="H811" i="24"/>
  <c r="J811" i="24" s="1"/>
  <c r="C811" i="24"/>
  <c r="F811" i="24" s="1"/>
  <c r="K811" i="24" l="1"/>
  <c r="P811" i="24"/>
  <c r="Q811" i="24" s="1"/>
  <c r="L811" i="24"/>
  <c r="M811" i="24" s="1"/>
  <c r="O811" i="24"/>
  <c r="E811" i="24"/>
  <c r="S811" i="24" l="1"/>
  <c r="T811" i="24" s="1"/>
  <c r="AA811" i="24" s="1"/>
  <c r="AC811" i="24"/>
  <c r="R811" i="24"/>
  <c r="AB811" i="24" l="1"/>
  <c r="Y811" i="24"/>
  <c r="AF811" i="24" s="1"/>
  <c r="X811" i="24"/>
  <c r="AE811" i="24" s="1"/>
  <c r="W811" i="24"/>
  <c r="AD811" i="24" s="1"/>
  <c r="H812" i="24" l="1"/>
  <c r="C812" i="24"/>
  <c r="B812" i="24"/>
  <c r="G812" i="24"/>
  <c r="J812" i="24" s="1"/>
  <c r="D812" i="24"/>
  <c r="I812" i="24"/>
  <c r="E812" i="24" l="1"/>
  <c r="O812" i="24"/>
  <c r="P812" i="24"/>
  <c r="Q812" i="24" s="1"/>
  <c r="L812" i="24"/>
  <c r="M812" i="24" s="1"/>
  <c r="K812" i="24"/>
  <c r="F812" i="24"/>
  <c r="AG811" i="24"/>
  <c r="V812" i="24"/>
  <c r="U812" i="24"/>
  <c r="S812" i="24" l="1"/>
  <c r="T812" i="24" s="1"/>
  <c r="AB812" i="24" s="1"/>
  <c r="AA812" i="24" l="1"/>
  <c r="AC812" i="24"/>
  <c r="R812" i="24"/>
  <c r="X812" i="24" l="1"/>
  <c r="AE812" i="24" s="1"/>
  <c r="W812" i="24"/>
  <c r="AD812" i="24" s="1"/>
  <c r="Y812" i="24"/>
  <c r="AF812" i="24" s="1"/>
  <c r="B813" i="24" l="1"/>
  <c r="G813" i="24"/>
  <c r="D813" i="24"/>
  <c r="I813" i="24"/>
  <c r="H813" i="24"/>
  <c r="C813" i="24"/>
  <c r="F813" i="24" s="1"/>
  <c r="U813" i="24" l="1"/>
  <c r="AG812" i="24"/>
  <c r="V813" i="24"/>
  <c r="O813" i="24"/>
  <c r="J813" i="24"/>
  <c r="E813" i="24"/>
  <c r="K813" i="24" l="1"/>
  <c r="P813" i="24"/>
  <c r="Q813" i="24" s="1"/>
  <c r="L813" i="24"/>
  <c r="M813" i="24" s="1"/>
  <c r="S813" i="24" l="1"/>
  <c r="T813" i="24" s="1"/>
  <c r="AC813" i="24" s="1"/>
  <c r="AB813" i="24"/>
  <c r="AA813" i="24" l="1"/>
  <c r="R813" i="24"/>
  <c r="Y813" i="24" s="1"/>
  <c r="AF813" i="24" s="1"/>
  <c r="X813" i="24" l="1"/>
  <c r="AE813" i="24" s="1"/>
  <c r="H814" i="24" s="1"/>
  <c r="W813" i="24"/>
  <c r="AD813" i="24" s="1"/>
  <c r="G814" i="24"/>
  <c r="B814" i="24"/>
  <c r="I814" i="24"/>
  <c r="D814" i="24"/>
  <c r="C814" i="24" l="1"/>
  <c r="V814" i="24"/>
  <c r="AG813" i="24"/>
  <c r="U814" i="24"/>
  <c r="F814" i="24"/>
  <c r="E814" i="24"/>
  <c r="J814" i="24"/>
  <c r="O814" i="24" s="1"/>
  <c r="K814" i="24" l="1"/>
  <c r="P814" i="24"/>
  <c r="Q814" i="24" s="1"/>
  <c r="L814" i="24"/>
  <c r="M814" i="24" s="1"/>
  <c r="S814" i="24" l="1"/>
  <c r="T814" i="24" s="1"/>
  <c r="AA814" i="24" s="1"/>
  <c r="AB814" i="24"/>
  <c r="AC814" i="24"/>
  <c r="R814" i="24" l="1"/>
  <c r="W814" i="24" s="1"/>
  <c r="AD814" i="24" s="1"/>
  <c r="X814" i="24"/>
  <c r="AE814" i="24" s="1"/>
  <c r="Y814" i="24"/>
  <c r="AF814" i="24" s="1"/>
  <c r="H815" i="24" l="1"/>
  <c r="C815" i="24"/>
  <c r="F815" i="24" s="1"/>
  <c r="I815" i="24"/>
  <c r="D815" i="24"/>
  <c r="B815" i="24"/>
  <c r="G815" i="24"/>
  <c r="E815" i="24" l="1"/>
  <c r="V815" i="24"/>
  <c r="U815" i="24"/>
  <c r="AG814" i="24"/>
  <c r="J815" i="24"/>
  <c r="O815" i="24" s="1"/>
  <c r="L815" i="24" l="1"/>
  <c r="M815" i="24" s="1"/>
  <c r="P815" i="24"/>
  <c r="Q815" i="24" s="1"/>
  <c r="K815" i="24"/>
  <c r="S815" i="24" l="1"/>
  <c r="T815" i="24" s="1"/>
  <c r="AC815" i="24" s="1"/>
  <c r="AA815" i="24" l="1"/>
  <c r="AB815" i="24"/>
  <c r="R815" i="24"/>
  <c r="Y815" i="24" l="1"/>
  <c r="AF815" i="24" s="1"/>
  <c r="X815" i="24"/>
  <c r="AE815" i="24" s="1"/>
  <c r="W815" i="24"/>
  <c r="AD815" i="24" s="1"/>
  <c r="C816" i="24" l="1"/>
  <c r="H816" i="24"/>
  <c r="B816" i="24"/>
  <c r="E816" i="24" s="1"/>
  <c r="G816" i="24"/>
  <c r="J816" i="24" s="1"/>
  <c r="D816" i="24"/>
  <c r="I816" i="24"/>
  <c r="P816" i="24" l="1"/>
  <c r="Q816" i="24" s="1"/>
  <c r="K816" i="24"/>
  <c r="L816" i="24"/>
  <c r="M816" i="24" s="1"/>
  <c r="U816" i="24"/>
  <c r="AG815" i="24"/>
  <c r="V816" i="24"/>
  <c r="O816" i="24"/>
  <c r="F816" i="24"/>
  <c r="S816" i="24" l="1"/>
  <c r="T816" i="24" s="1"/>
  <c r="AB816" i="24" s="1"/>
  <c r="AC816" i="24"/>
  <c r="AA816" i="24"/>
  <c r="R816" i="24"/>
  <c r="W816" i="24" l="1"/>
  <c r="AD816" i="24" s="1"/>
  <c r="Y816" i="24"/>
  <c r="AF816" i="24" s="1"/>
  <c r="X816" i="24"/>
  <c r="AE816" i="24" s="1"/>
  <c r="H817" i="24" l="1"/>
  <c r="C817" i="24"/>
  <c r="I817" i="24"/>
  <c r="D817" i="24"/>
  <c r="G817" i="24"/>
  <c r="B817" i="24"/>
  <c r="E817" i="24" l="1"/>
  <c r="F817" i="24"/>
  <c r="V817" i="24"/>
  <c r="U817" i="24"/>
  <c r="AG816" i="24"/>
  <c r="J817" i="24"/>
  <c r="P817" i="24" l="1"/>
  <c r="Q817" i="24" s="1"/>
  <c r="L817" i="24"/>
  <c r="M817" i="24" s="1"/>
  <c r="K817" i="24"/>
  <c r="O817" i="24"/>
  <c r="S817" i="24" l="1"/>
  <c r="T817" i="24" s="1"/>
  <c r="AC817" i="24" s="1"/>
  <c r="AA817" i="24"/>
  <c r="R817" i="24"/>
  <c r="AB817" i="24" l="1"/>
  <c r="Y817" i="24"/>
  <c r="AF817" i="24" s="1"/>
  <c r="X817" i="24"/>
  <c r="AE817" i="24" s="1"/>
  <c r="W817" i="24"/>
  <c r="AD817" i="24" s="1"/>
  <c r="B818" i="24" l="1"/>
  <c r="G818" i="24"/>
  <c r="C818" i="24"/>
  <c r="H818" i="24"/>
  <c r="D818" i="24"/>
  <c r="I818" i="24"/>
  <c r="J818" i="24" l="1"/>
  <c r="V818" i="24"/>
  <c r="U818" i="24"/>
  <c r="AG817" i="24"/>
  <c r="O818" i="24"/>
  <c r="F818" i="24"/>
  <c r="E818" i="24"/>
  <c r="L818" i="24" l="1"/>
  <c r="M818" i="24" s="1"/>
  <c r="P818" i="24"/>
  <c r="Q818" i="24" s="1"/>
  <c r="K818" i="24"/>
  <c r="S818" i="24" l="1"/>
  <c r="T818" i="24" s="1"/>
  <c r="AA818" i="24" s="1"/>
  <c r="AC818" i="24" l="1"/>
  <c r="AB818" i="24"/>
  <c r="R818" i="24"/>
  <c r="X818" i="24" l="1"/>
  <c r="AE818" i="24" s="1"/>
  <c r="Y818" i="24"/>
  <c r="AF818" i="24" s="1"/>
  <c r="W818" i="24"/>
  <c r="AD818" i="24" s="1"/>
  <c r="G819" i="24" l="1"/>
  <c r="B819" i="24"/>
  <c r="E819" i="24" s="1"/>
  <c r="D819" i="24"/>
  <c r="I819" i="24"/>
  <c r="J819" i="24" s="1"/>
  <c r="C819" i="24"/>
  <c r="H819" i="24"/>
  <c r="L819" i="24" l="1"/>
  <c r="M819" i="24" s="1"/>
  <c r="P819" i="24"/>
  <c r="Q819" i="24" s="1"/>
  <c r="R819" i="24" s="1"/>
  <c r="K819" i="24"/>
  <c r="AG818" i="24"/>
  <c r="V819" i="24"/>
  <c r="U819" i="24"/>
  <c r="O819" i="24"/>
  <c r="S819" i="24" s="1"/>
  <c r="T819" i="24" s="1"/>
  <c r="AA819" i="24" s="1"/>
  <c r="F819" i="24"/>
  <c r="X819" i="24" l="1"/>
  <c r="W819" i="24"/>
  <c r="AD819" i="24" s="1"/>
  <c r="Y819" i="24"/>
  <c r="AC819" i="24"/>
  <c r="AB819" i="24"/>
  <c r="AF819" i="24" l="1"/>
  <c r="G820" i="24"/>
  <c r="B820" i="24"/>
  <c r="AE819" i="24"/>
  <c r="H820" i="24" l="1"/>
  <c r="C820" i="24"/>
  <c r="F820" i="24" s="1"/>
  <c r="D820" i="24"/>
  <c r="I820" i="24"/>
  <c r="E820" i="24" l="1"/>
  <c r="J820" i="24"/>
  <c r="O820" i="24" s="1"/>
  <c r="AG819" i="24"/>
  <c r="U820" i="24"/>
  <c r="V820" i="24"/>
  <c r="L820" i="24" l="1"/>
  <c r="M820" i="24" s="1"/>
  <c r="P820" i="24"/>
  <c r="Q820" i="24" s="1"/>
  <c r="K820" i="24"/>
  <c r="S820" i="24" l="1"/>
  <c r="T820" i="24" s="1"/>
  <c r="AB820" i="24" s="1"/>
  <c r="AC820" i="24" l="1"/>
  <c r="AA820" i="24"/>
  <c r="R820" i="24"/>
  <c r="Y820" i="24" l="1"/>
  <c r="AF820" i="24" s="1"/>
  <c r="W820" i="24"/>
  <c r="AD820" i="24" s="1"/>
  <c r="X820" i="24"/>
  <c r="AE820" i="24" s="1"/>
  <c r="H821" i="24" l="1"/>
  <c r="C821" i="24"/>
  <c r="G821" i="24"/>
  <c r="J821" i="24" s="1"/>
  <c r="B821" i="24"/>
  <c r="I821" i="24"/>
  <c r="D821" i="24"/>
  <c r="E821" i="24" l="1"/>
  <c r="K821" i="24"/>
  <c r="L821" i="24"/>
  <c r="M821" i="24" s="1"/>
  <c r="P821" i="24"/>
  <c r="Q821" i="24" s="1"/>
  <c r="V821" i="24"/>
  <c r="U821" i="24"/>
  <c r="AG820" i="24"/>
  <c r="O821" i="24"/>
  <c r="F821" i="24"/>
  <c r="S821" i="24" l="1"/>
  <c r="T821" i="24" s="1"/>
  <c r="AC821" i="24" s="1"/>
  <c r="AB821" i="24"/>
  <c r="AA821" i="24"/>
  <c r="R821" i="24"/>
  <c r="W821" i="24" l="1"/>
  <c r="AD821" i="24" s="1"/>
  <c r="Y821" i="24"/>
  <c r="AF821" i="24" s="1"/>
  <c r="X821" i="24"/>
  <c r="AE821" i="24" s="1"/>
  <c r="D822" i="24" l="1"/>
  <c r="I822" i="24"/>
  <c r="H822" i="24"/>
  <c r="C822" i="24"/>
  <c r="G822" i="24"/>
  <c r="B822" i="24"/>
  <c r="F822" i="24" l="1"/>
  <c r="J822" i="24"/>
  <c r="E822" i="24"/>
  <c r="V822" i="24"/>
  <c r="U822" i="24"/>
  <c r="AG821" i="24"/>
  <c r="K822" i="24" l="1"/>
  <c r="L822" i="24"/>
  <c r="M822" i="24" s="1"/>
  <c r="P822" i="24"/>
  <c r="Q822" i="24" s="1"/>
  <c r="O822" i="24"/>
  <c r="S822" i="24" l="1"/>
  <c r="T822" i="24" s="1"/>
  <c r="AC822" i="24" s="1"/>
  <c r="AA822" i="24"/>
  <c r="AB822" i="24"/>
  <c r="R822" i="24"/>
  <c r="Y822" i="24" l="1"/>
  <c r="AF822" i="24" s="1"/>
  <c r="W822" i="24"/>
  <c r="AD822" i="24" s="1"/>
  <c r="X822" i="24"/>
  <c r="AE822" i="24" s="1"/>
  <c r="G823" i="24" l="1"/>
  <c r="B823" i="24"/>
  <c r="H823" i="24"/>
  <c r="C823" i="24"/>
  <c r="D823" i="24"/>
  <c r="I823" i="24"/>
  <c r="F823" i="24" l="1"/>
  <c r="E823" i="24"/>
  <c r="U823" i="24"/>
  <c r="V823" i="24"/>
  <c r="AG822" i="24"/>
  <c r="J823" i="24"/>
  <c r="O823" i="24" l="1"/>
  <c r="P823" i="24"/>
  <c r="Q823" i="24" s="1"/>
  <c r="L823" i="24"/>
  <c r="M823" i="24" s="1"/>
  <c r="K823" i="24"/>
  <c r="S823" i="24" l="1"/>
  <c r="T823" i="24" s="1"/>
  <c r="AA823" i="24" s="1"/>
  <c r="AC823" i="24" l="1"/>
  <c r="AB823" i="24"/>
  <c r="R823" i="24"/>
  <c r="X823" i="24" l="1"/>
  <c r="AE823" i="24" s="1"/>
  <c r="W823" i="24"/>
  <c r="AD823" i="24" s="1"/>
  <c r="Y823" i="24"/>
  <c r="AF823" i="24" s="1"/>
  <c r="I824" i="24" l="1"/>
  <c r="D824" i="24"/>
  <c r="B824" i="24"/>
  <c r="G824" i="24"/>
  <c r="H824" i="24"/>
  <c r="C824" i="24"/>
  <c r="E824" i="24" l="1"/>
  <c r="F824" i="24"/>
  <c r="V824" i="24"/>
  <c r="U824" i="24"/>
  <c r="AG823" i="24"/>
  <c r="J824" i="24"/>
  <c r="K824" i="24" l="1"/>
  <c r="P824" i="24"/>
  <c r="Q824" i="24" s="1"/>
  <c r="L824" i="24"/>
  <c r="M824" i="24" s="1"/>
  <c r="O824" i="24"/>
  <c r="S824" i="24" l="1"/>
  <c r="T824" i="24" s="1"/>
  <c r="AB824" i="24" s="1"/>
  <c r="AC824" i="24"/>
  <c r="R824" i="24"/>
  <c r="AA824" i="24" l="1"/>
  <c r="Y824" i="24"/>
  <c r="AF824" i="24" s="1"/>
  <c r="X824" i="24"/>
  <c r="AE824" i="24" s="1"/>
  <c r="W824" i="24"/>
  <c r="AD824" i="24" s="1"/>
  <c r="H825" i="24" l="1"/>
  <c r="C825" i="24"/>
  <c r="B825" i="24"/>
  <c r="G825" i="24"/>
  <c r="I825" i="24"/>
  <c r="D825" i="24"/>
  <c r="J825" i="24" l="1"/>
  <c r="E825" i="24"/>
  <c r="F825" i="24"/>
  <c r="AG824" i="24"/>
  <c r="U825" i="24"/>
  <c r="V825" i="24"/>
  <c r="O825" i="24"/>
  <c r="L825" i="24" l="1"/>
  <c r="M825" i="24" s="1"/>
  <c r="K825" i="24"/>
  <c r="P825" i="24"/>
  <c r="Q825" i="24" s="1"/>
  <c r="S825" i="24" l="1"/>
  <c r="T825" i="24" s="1"/>
  <c r="AC825" i="24" s="1"/>
  <c r="AB825" i="24" l="1"/>
  <c r="AA825" i="24"/>
  <c r="R825" i="24"/>
  <c r="W825" i="24" l="1"/>
  <c r="AD825" i="24" s="1"/>
  <c r="Y825" i="24"/>
  <c r="AF825" i="24" s="1"/>
  <c r="X825" i="24"/>
  <c r="AE825" i="24" s="1"/>
  <c r="C826" i="24" l="1"/>
  <c r="H826" i="24"/>
  <c r="D826" i="24"/>
  <c r="I826" i="24"/>
  <c r="G826" i="24"/>
  <c r="B826" i="24"/>
  <c r="AG825" i="24" l="1"/>
  <c r="U826" i="24"/>
  <c r="V826" i="24"/>
  <c r="E826" i="24"/>
  <c r="J826" i="24"/>
  <c r="F826" i="24"/>
  <c r="L826" i="24" l="1"/>
  <c r="M826" i="24" s="1"/>
  <c r="K826" i="24"/>
  <c r="P826" i="24"/>
  <c r="Q826" i="24" s="1"/>
  <c r="O826" i="24"/>
  <c r="S826" i="24" s="1"/>
  <c r="T826" i="24" s="1"/>
  <c r="AA826" i="24" s="1"/>
  <c r="R826" i="24" l="1"/>
  <c r="W826" i="24"/>
  <c r="AD826" i="24" s="1"/>
  <c r="Y826" i="24"/>
  <c r="X826" i="24"/>
  <c r="AB826" i="24"/>
  <c r="AC826" i="24"/>
  <c r="AF826" i="24" l="1"/>
  <c r="AE826" i="24"/>
  <c r="I827" i="24"/>
  <c r="D827" i="24"/>
  <c r="G827" i="24"/>
  <c r="B827" i="24"/>
  <c r="U827" i="24" l="1"/>
  <c r="V827" i="24"/>
  <c r="AG826" i="24"/>
  <c r="H827" i="24"/>
  <c r="J827" i="24" s="1"/>
  <c r="C827" i="24"/>
  <c r="E827" i="24" s="1"/>
  <c r="P827" i="24" l="1"/>
  <c r="Q827" i="24" s="1"/>
  <c r="K827" i="24"/>
  <c r="L827" i="24"/>
  <c r="M827" i="24" s="1"/>
  <c r="O827" i="24"/>
  <c r="F827" i="24"/>
  <c r="S827" i="24" l="1"/>
  <c r="T827" i="24" s="1"/>
  <c r="AA827" i="24" s="1"/>
  <c r="AB827" i="24"/>
  <c r="AC827" i="24"/>
  <c r="R827" i="24"/>
  <c r="Y827" i="24" l="1"/>
  <c r="AF827" i="24" s="1"/>
  <c r="W827" i="24"/>
  <c r="AD827" i="24" s="1"/>
  <c r="X827" i="24"/>
  <c r="AE827" i="24" s="1"/>
  <c r="H828" i="24" l="1"/>
  <c r="C828" i="24"/>
  <c r="G828" i="24"/>
  <c r="J828" i="24" s="1"/>
  <c r="B828" i="24"/>
  <c r="I828" i="24"/>
  <c r="D828" i="24"/>
  <c r="E828" i="24" l="1"/>
  <c r="F828" i="24"/>
  <c r="P828" i="24"/>
  <c r="Q828" i="24" s="1"/>
  <c r="L828" i="24"/>
  <c r="M828" i="24" s="1"/>
  <c r="K828" i="24"/>
  <c r="AG827" i="24"/>
  <c r="O828" i="24"/>
  <c r="U828" i="24"/>
  <c r="V828" i="24"/>
  <c r="S828" i="24" l="1"/>
  <c r="T828" i="24" s="1"/>
  <c r="AB828" i="24" s="1"/>
  <c r="AC828" i="24"/>
  <c r="AA828" i="24"/>
  <c r="R828" i="24"/>
  <c r="Y828" i="24" l="1"/>
  <c r="AF828" i="24" s="1"/>
  <c r="W828" i="24"/>
  <c r="AD828" i="24" s="1"/>
  <c r="X828" i="24"/>
  <c r="AE828" i="24" s="1"/>
  <c r="H829" i="24" l="1"/>
  <c r="C829" i="24"/>
  <c r="G829" i="24"/>
  <c r="B829" i="24"/>
  <c r="E829" i="24" s="1"/>
  <c r="I829" i="24"/>
  <c r="D829" i="24"/>
  <c r="F829" i="24" l="1"/>
  <c r="J829" i="24"/>
  <c r="V829" i="24"/>
  <c r="O829" i="24"/>
  <c r="U829" i="24"/>
  <c r="AG828" i="24"/>
  <c r="K829" i="24" l="1"/>
  <c r="P829" i="24"/>
  <c r="Q829" i="24" s="1"/>
  <c r="L829" i="24"/>
  <c r="M829" i="24" s="1"/>
  <c r="S829" i="24" l="1"/>
  <c r="T829" i="24" s="1"/>
  <c r="AA829" i="24" s="1"/>
  <c r="AB829" i="24"/>
  <c r="R829" i="24"/>
  <c r="X829" i="24" l="1"/>
  <c r="AE829" i="24" s="1"/>
  <c r="W829" i="24"/>
  <c r="AD829" i="24" s="1"/>
  <c r="Y829" i="24"/>
  <c r="AC829" i="24"/>
  <c r="AF829" i="24" l="1"/>
  <c r="B830" i="24"/>
  <c r="G830" i="24"/>
  <c r="H830" i="24"/>
  <c r="C830" i="24"/>
  <c r="E830" i="24" l="1"/>
  <c r="F830" i="24"/>
  <c r="D830" i="24"/>
  <c r="I830" i="24"/>
  <c r="V830" i="24" l="1"/>
  <c r="U830" i="24"/>
  <c r="O830" i="24"/>
  <c r="AG829" i="24"/>
  <c r="J830" i="24"/>
  <c r="P830" i="24" l="1"/>
  <c r="Q830" i="24" s="1"/>
  <c r="L830" i="24"/>
  <c r="M830" i="24" s="1"/>
  <c r="K830" i="24"/>
  <c r="S830" i="24" l="1"/>
  <c r="T830" i="24" s="1"/>
  <c r="AA830" i="24" s="1"/>
  <c r="AC830" i="24"/>
  <c r="R830" i="24"/>
  <c r="AB830" i="24" l="1"/>
  <c r="W830" i="24"/>
  <c r="AD830" i="24" s="1"/>
  <c r="Y830" i="24"/>
  <c r="AF830" i="24" s="1"/>
  <c r="X830" i="24"/>
  <c r="AE830" i="24" s="1"/>
  <c r="C831" i="24" l="1"/>
  <c r="H831" i="24"/>
  <c r="D831" i="24"/>
  <c r="I831" i="24"/>
  <c r="G831" i="24"/>
  <c r="B831" i="24"/>
  <c r="AG830" i="24" l="1"/>
  <c r="V831" i="24"/>
  <c r="U831" i="24"/>
  <c r="E831" i="24"/>
  <c r="J831" i="24"/>
  <c r="F831" i="24"/>
  <c r="K831" i="24" l="1"/>
  <c r="L831" i="24"/>
  <c r="M831" i="24" s="1"/>
  <c r="P831" i="24"/>
  <c r="Q831" i="24" s="1"/>
  <c r="O831" i="24"/>
  <c r="R831" i="24" l="1"/>
  <c r="S831" i="24"/>
  <c r="T831" i="24" s="1"/>
  <c r="AA831" i="24" s="1"/>
  <c r="AC831" i="24"/>
  <c r="AB831" i="24"/>
  <c r="X831" i="24" l="1"/>
  <c r="AE831" i="24" s="1"/>
  <c r="Y831" i="24"/>
  <c r="AF831" i="24" s="1"/>
  <c r="W831" i="24"/>
  <c r="AD831" i="24" s="1"/>
  <c r="G832" i="24" l="1"/>
  <c r="B832" i="24"/>
  <c r="D832" i="24"/>
  <c r="I832" i="24"/>
  <c r="J832" i="24" s="1"/>
  <c r="H832" i="24"/>
  <c r="C832" i="24"/>
  <c r="O832" i="24" l="1"/>
  <c r="L832" i="24"/>
  <c r="M832" i="24" s="1"/>
  <c r="K832" i="24"/>
  <c r="P832" i="24"/>
  <c r="Q832" i="24" s="1"/>
  <c r="AG831" i="24"/>
  <c r="V832" i="24"/>
  <c r="U832" i="24"/>
  <c r="F832" i="24"/>
  <c r="E832" i="24"/>
  <c r="S832" i="24" l="1"/>
  <c r="T832" i="24" s="1"/>
  <c r="AB832" i="24" s="1"/>
  <c r="AA832" i="24" l="1"/>
  <c r="AC832" i="24"/>
  <c r="R832" i="24"/>
  <c r="W832" i="24" l="1"/>
  <c r="AD832" i="24" s="1"/>
  <c r="Y832" i="24"/>
  <c r="AF832" i="24" s="1"/>
  <c r="X832" i="24"/>
  <c r="AE832" i="24" s="1"/>
  <c r="H833" i="24" l="1"/>
  <c r="C833" i="24"/>
  <c r="I833" i="24"/>
  <c r="D833" i="24"/>
  <c r="B833" i="24"/>
  <c r="G833" i="24"/>
  <c r="V833" i="24" l="1"/>
  <c r="U833" i="24"/>
  <c r="AG832" i="24"/>
  <c r="J833" i="24"/>
  <c r="O833" i="24" s="1"/>
  <c r="E833" i="24"/>
  <c r="F833" i="24"/>
  <c r="K833" i="24" l="1"/>
  <c r="L833" i="24"/>
  <c r="M833" i="24" s="1"/>
  <c r="P833" i="24"/>
  <c r="Q833" i="24" s="1"/>
  <c r="S833" i="24" l="1"/>
  <c r="T833" i="24" s="1"/>
  <c r="AC833" i="24" s="1"/>
  <c r="AB833" i="24"/>
  <c r="AA833" i="24"/>
  <c r="R833" i="24" l="1"/>
  <c r="Y833" i="24" s="1"/>
  <c r="AF833" i="24" s="1"/>
  <c r="W833" i="24"/>
  <c r="AD833" i="24" s="1"/>
  <c r="X833" i="24"/>
  <c r="AE833" i="24" s="1"/>
  <c r="B834" i="24" l="1"/>
  <c r="G834" i="24"/>
  <c r="H834" i="24"/>
  <c r="C834" i="24"/>
  <c r="I834" i="24"/>
  <c r="D834" i="24"/>
  <c r="V834" i="24" l="1"/>
  <c r="U834" i="24"/>
  <c r="AG833" i="24"/>
  <c r="J834" i="24"/>
  <c r="E834" i="24"/>
  <c r="F834" i="24"/>
  <c r="P834" i="24" l="1"/>
  <c r="Q834" i="24" s="1"/>
  <c r="L834" i="24"/>
  <c r="M834" i="24" s="1"/>
  <c r="K834" i="24"/>
  <c r="O834" i="24"/>
  <c r="S834" i="24" l="1"/>
  <c r="T834" i="24" s="1"/>
  <c r="AA834" i="24" s="1"/>
  <c r="AB834" i="24"/>
  <c r="R834" i="24"/>
  <c r="AC834" i="24" l="1"/>
  <c r="Y834" i="24"/>
  <c r="AF834" i="24" s="1"/>
  <c r="X834" i="24"/>
  <c r="AE834" i="24" s="1"/>
  <c r="W834" i="24"/>
  <c r="AD834" i="24" s="1"/>
  <c r="B835" i="24" l="1"/>
  <c r="G835" i="24"/>
  <c r="H835" i="24"/>
  <c r="C835" i="24"/>
  <c r="F835" i="24" s="1"/>
  <c r="I835" i="24"/>
  <c r="D835" i="24"/>
  <c r="J835" i="24" l="1"/>
  <c r="AG834" i="24"/>
  <c r="V835" i="24"/>
  <c r="U835" i="24"/>
  <c r="O835" i="24"/>
  <c r="E835" i="24"/>
  <c r="P835" i="24" l="1"/>
  <c r="Q835" i="24" s="1"/>
  <c r="L835" i="24"/>
  <c r="M835" i="24" s="1"/>
  <c r="K835" i="24"/>
  <c r="S835" i="24" l="1"/>
  <c r="T835" i="24" s="1"/>
  <c r="AA835" i="24" s="1"/>
  <c r="AC835" i="24"/>
  <c r="AB835" i="24"/>
  <c r="R835" i="24"/>
  <c r="Y835" i="24" l="1"/>
  <c r="AF835" i="24" s="1"/>
  <c r="X835" i="24"/>
  <c r="AE835" i="24" s="1"/>
  <c r="W835" i="24"/>
  <c r="AD835" i="24" s="1"/>
  <c r="C836" i="24" l="1"/>
  <c r="H836" i="24"/>
  <c r="G836" i="24"/>
  <c r="B836" i="24"/>
  <c r="I836" i="24"/>
  <c r="D836" i="24"/>
  <c r="F836" i="24" l="1"/>
  <c r="E836" i="24"/>
  <c r="U836" i="24"/>
  <c r="V836" i="24"/>
  <c r="AG835" i="24"/>
  <c r="J836" i="24"/>
  <c r="P836" i="24" l="1"/>
  <c r="Q836" i="24" s="1"/>
  <c r="K836" i="24"/>
  <c r="L836" i="24"/>
  <c r="M836" i="24" s="1"/>
  <c r="O836" i="24"/>
  <c r="S836" i="24" l="1"/>
  <c r="T836" i="24" s="1"/>
  <c r="AB836" i="24" s="1"/>
  <c r="AA836" i="24"/>
  <c r="R836" i="24"/>
  <c r="AC836" i="24" l="1"/>
  <c r="W836" i="24"/>
  <c r="AD836" i="24" s="1"/>
  <c r="X836" i="24"/>
  <c r="AE836" i="24" s="1"/>
  <c r="Y836" i="24"/>
  <c r="AF836" i="24" s="1"/>
  <c r="D837" i="24" l="1"/>
  <c r="I837" i="24"/>
  <c r="C837" i="24"/>
  <c r="H837" i="24"/>
  <c r="G837" i="24"/>
  <c r="B837" i="24"/>
  <c r="E837" i="24" l="1"/>
  <c r="F837" i="24"/>
  <c r="J837" i="24"/>
  <c r="U837" i="24"/>
  <c r="V837" i="24"/>
  <c r="AG836" i="24"/>
  <c r="O837" i="24" l="1"/>
  <c r="P837" i="24"/>
  <c r="Q837" i="24" s="1"/>
  <c r="L837" i="24"/>
  <c r="M837" i="24" s="1"/>
  <c r="K837" i="24"/>
  <c r="S837" i="24" l="1"/>
  <c r="T837" i="24" s="1"/>
  <c r="AC837" i="24" s="1"/>
  <c r="AB837" i="24" l="1"/>
  <c r="AA837" i="24"/>
  <c r="R837" i="24"/>
  <c r="X837" i="24" l="1"/>
  <c r="AE837" i="24" s="1"/>
  <c r="Y837" i="24"/>
  <c r="AF837" i="24" s="1"/>
  <c r="W837" i="24"/>
  <c r="AD837" i="24" s="1"/>
  <c r="B838" i="24" l="1"/>
  <c r="G838" i="24"/>
  <c r="I838" i="24"/>
  <c r="D838" i="24"/>
  <c r="H838" i="24"/>
  <c r="C838" i="24"/>
  <c r="U838" i="24" l="1"/>
  <c r="V838" i="24"/>
  <c r="AG837" i="24"/>
  <c r="J838" i="24"/>
  <c r="O838" i="24" s="1"/>
  <c r="E838" i="24"/>
  <c r="F838" i="24"/>
  <c r="L838" i="24" l="1"/>
  <c r="M838" i="24" s="1"/>
  <c r="P838" i="24"/>
  <c r="Q838" i="24" s="1"/>
  <c r="K838" i="24"/>
  <c r="S838" i="24" l="1"/>
  <c r="T838" i="24" s="1"/>
  <c r="AA838" i="24" s="1"/>
  <c r="AB838" i="24" l="1"/>
  <c r="AC838" i="24"/>
  <c r="R838" i="24"/>
  <c r="X838" i="24" l="1"/>
  <c r="AE838" i="24" s="1"/>
  <c r="W838" i="24"/>
  <c r="AD838" i="24" s="1"/>
  <c r="Y838" i="24"/>
  <c r="AF838" i="24" s="1"/>
  <c r="D839" i="24" l="1"/>
  <c r="I839" i="24"/>
  <c r="B839" i="24"/>
  <c r="G839" i="24"/>
  <c r="C839" i="24"/>
  <c r="H839" i="24"/>
  <c r="E839" i="24" l="1"/>
  <c r="J839" i="24"/>
  <c r="O839" i="24" s="1"/>
  <c r="F839" i="24"/>
  <c r="V839" i="24"/>
  <c r="U839" i="24"/>
  <c r="AG838" i="24"/>
  <c r="K839" i="24" l="1"/>
  <c r="P839" i="24"/>
  <c r="Q839" i="24" s="1"/>
  <c r="L839" i="24"/>
  <c r="M839" i="24" s="1"/>
  <c r="S839" i="24" l="1"/>
  <c r="R839" i="24" l="1"/>
  <c r="T839" i="24"/>
  <c r="AB839" i="24" l="1"/>
  <c r="AC839" i="24"/>
  <c r="AF839" i="24" s="1"/>
  <c r="AA839" i="24"/>
  <c r="W839" i="24"/>
  <c r="Y839" i="24"/>
  <c r="X839" i="24"/>
  <c r="AD839" i="24" l="1"/>
  <c r="D840" i="24"/>
  <c r="I840" i="24"/>
  <c r="AE839" i="24"/>
  <c r="H840" i="24" l="1"/>
  <c r="C840" i="24"/>
  <c r="V840" i="24"/>
  <c r="U840" i="24"/>
  <c r="AG839" i="24"/>
  <c r="B840" i="24"/>
  <c r="G840" i="24"/>
  <c r="J840" i="24" s="1"/>
  <c r="L840" i="24" l="1"/>
  <c r="M840" i="24" s="1"/>
  <c r="P840" i="24"/>
  <c r="Q840" i="24" s="1"/>
  <c r="K840" i="24"/>
  <c r="E840" i="24"/>
  <c r="F840" i="24"/>
  <c r="O840" i="24"/>
  <c r="S840" i="24" s="1"/>
  <c r="T840" i="24" s="1"/>
  <c r="AB840" i="24" s="1"/>
  <c r="R840" i="24" l="1"/>
  <c r="AC840" i="24"/>
  <c r="AA840" i="24"/>
  <c r="Y840" i="24" l="1"/>
  <c r="AF840" i="24" s="1"/>
  <c r="X840" i="24"/>
  <c r="AE840" i="24" s="1"/>
  <c r="W840" i="24"/>
  <c r="AD840" i="24" s="1"/>
  <c r="C841" i="24" l="1"/>
  <c r="H841" i="24"/>
  <c r="G841" i="24"/>
  <c r="B841" i="24"/>
  <c r="D841" i="24"/>
  <c r="I841" i="24"/>
  <c r="E841" i="24" l="1"/>
  <c r="J841" i="24"/>
  <c r="O841" i="24" s="1"/>
  <c r="V841" i="24"/>
  <c r="U841" i="24"/>
  <c r="AG840" i="24"/>
  <c r="F841" i="24"/>
  <c r="L841" i="24" l="1"/>
  <c r="M841" i="24" s="1"/>
  <c r="P841" i="24"/>
  <c r="Q841" i="24" s="1"/>
  <c r="R841" i="24" s="1"/>
  <c r="K841" i="24"/>
  <c r="S841" i="24"/>
  <c r="T841" i="24" s="1"/>
  <c r="AC841" i="24" s="1"/>
  <c r="W841" i="24" l="1"/>
  <c r="X841" i="24"/>
  <c r="Y841" i="24"/>
  <c r="AF841" i="24" s="1"/>
  <c r="AA841" i="24"/>
  <c r="AB841" i="24"/>
  <c r="I842" i="24" l="1"/>
  <c r="D842" i="24"/>
  <c r="AE841" i="24"/>
  <c r="AD841" i="24"/>
  <c r="V842" i="24" l="1"/>
  <c r="U842" i="24"/>
  <c r="AG841" i="24"/>
  <c r="B842" i="24"/>
  <c r="G842" i="24"/>
  <c r="H842" i="24"/>
  <c r="C842" i="24"/>
  <c r="J842" i="24" l="1"/>
  <c r="E842" i="24"/>
  <c r="F842" i="24"/>
  <c r="O842" i="24"/>
  <c r="K842" i="24"/>
  <c r="L842" i="24"/>
  <c r="M842" i="24" s="1"/>
  <c r="P842" i="24"/>
  <c r="Q842" i="24" s="1"/>
  <c r="S842" i="24" l="1"/>
  <c r="T842" i="24" s="1"/>
  <c r="AA842" i="24" s="1"/>
  <c r="AB842" i="24"/>
  <c r="AC842" i="24" l="1"/>
  <c r="R842" i="24"/>
  <c r="Y842" i="24" l="1"/>
  <c r="AF842" i="24" s="1"/>
  <c r="W842" i="24"/>
  <c r="AD842" i="24" s="1"/>
  <c r="X842" i="24"/>
  <c r="AE842" i="24" s="1"/>
  <c r="C843" i="24" l="1"/>
  <c r="H843" i="24"/>
  <c r="G843" i="24"/>
  <c r="J843" i="24" s="1"/>
  <c r="B843" i="24"/>
  <c r="D843" i="24"/>
  <c r="I843" i="24"/>
  <c r="E843" i="24" l="1"/>
  <c r="O843" i="24"/>
  <c r="L843" i="24"/>
  <c r="M843" i="24" s="1"/>
  <c r="P843" i="24"/>
  <c r="Q843" i="24" s="1"/>
  <c r="K843" i="24"/>
  <c r="AG842" i="24"/>
  <c r="V843" i="24"/>
  <c r="U843" i="24"/>
  <c r="F843" i="24"/>
  <c r="S843" i="24" l="1"/>
  <c r="T843" i="24" s="1"/>
  <c r="AA843" i="24" s="1"/>
  <c r="AC843" i="24" l="1"/>
  <c r="AB843" i="24"/>
  <c r="R843" i="24"/>
  <c r="X843" i="24" l="1"/>
  <c r="AE843" i="24" s="1"/>
  <c r="W843" i="24"/>
  <c r="AD843" i="24" s="1"/>
  <c r="Y843" i="24"/>
  <c r="AF843" i="24" s="1"/>
  <c r="D844" i="24" l="1"/>
  <c r="I844" i="24"/>
  <c r="G844" i="24"/>
  <c r="B844" i="24"/>
  <c r="E844" i="24" s="1"/>
  <c r="C844" i="24"/>
  <c r="H844" i="24"/>
  <c r="J844" i="24" l="1"/>
  <c r="F844" i="24"/>
  <c r="U844" i="24"/>
  <c r="V844" i="24"/>
  <c r="O844" i="24"/>
  <c r="AG843" i="24"/>
  <c r="P844" i="24" l="1"/>
  <c r="Q844" i="24" s="1"/>
  <c r="K844" i="24"/>
  <c r="L844" i="24"/>
  <c r="M844" i="24" s="1"/>
  <c r="S844" i="24" l="1"/>
  <c r="T844" i="24" s="1"/>
  <c r="AB844" i="24" s="1"/>
  <c r="AA844" i="24"/>
  <c r="R844" i="24"/>
  <c r="AC844" i="24" l="1"/>
  <c r="W844" i="24"/>
  <c r="AD844" i="24" s="1"/>
  <c r="X844" i="24"/>
  <c r="AE844" i="24" s="1"/>
  <c r="Y844" i="24"/>
  <c r="AF844" i="24" s="1"/>
  <c r="I845" i="24" l="1"/>
  <c r="D845" i="24"/>
  <c r="H845" i="24"/>
  <c r="C845" i="24"/>
  <c r="B845" i="24"/>
  <c r="G845" i="24"/>
  <c r="F845" i="24" l="1"/>
  <c r="V845" i="24"/>
  <c r="U845" i="24"/>
  <c r="AG844" i="24"/>
  <c r="J845" i="24"/>
  <c r="E845" i="24"/>
  <c r="P845" i="24" l="1"/>
  <c r="Q845" i="24" s="1"/>
  <c r="K845" i="24"/>
  <c r="L845" i="24"/>
  <c r="M845" i="24" s="1"/>
  <c r="O845" i="24"/>
  <c r="S845" i="24" l="1"/>
  <c r="T845" i="24" s="1"/>
  <c r="AC845" i="24" s="1"/>
  <c r="AA845" i="24"/>
  <c r="R845" i="24"/>
  <c r="W845" i="24" l="1"/>
  <c r="AD845" i="24" s="1"/>
  <c r="X845" i="24"/>
  <c r="Y845" i="24"/>
  <c r="AF845" i="24" s="1"/>
  <c r="AB845" i="24"/>
  <c r="D846" i="24" l="1"/>
  <c r="I846" i="24"/>
  <c r="AE845" i="24"/>
  <c r="B846" i="24"/>
  <c r="G846" i="24"/>
  <c r="H846" i="24" l="1"/>
  <c r="C846" i="24"/>
  <c r="E846" i="24"/>
  <c r="J846" i="24"/>
  <c r="O846" i="24" s="1"/>
  <c r="V846" i="24"/>
  <c r="U846" i="24"/>
  <c r="AG845" i="24"/>
  <c r="K846" i="24" l="1"/>
  <c r="L846" i="24"/>
  <c r="M846" i="24" s="1"/>
  <c r="P846" i="24"/>
  <c r="Q846" i="24" s="1"/>
  <c r="F846" i="24"/>
  <c r="R846" i="24" l="1"/>
  <c r="S846" i="24"/>
  <c r="T846" i="24" s="1"/>
  <c r="AA846" i="24" s="1"/>
  <c r="AC846" i="24"/>
  <c r="AB846" i="24"/>
  <c r="X846" i="24" l="1"/>
  <c r="AE846" i="24" s="1"/>
  <c r="W846" i="24"/>
  <c r="AD846" i="24" s="1"/>
  <c r="Y846" i="24"/>
  <c r="AF846" i="24" s="1"/>
  <c r="B847" i="24" l="1"/>
  <c r="G847" i="24"/>
  <c r="I847" i="24"/>
  <c r="D847" i="24"/>
  <c r="C847" i="24"/>
  <c r="H847" i="24"/>
  <c r="U847" i="24" l="1"/>
  <c r="V847" i="24"/>
  <c r="AG846" i="24"/>
  <c r="J847" i="24"/>
  <c r="F847" i="24"/>
  <c r="E847" i="24"/>
  <c r="O847" i="24" l="1"/>
  <c r="L847" i="24"/>
  <c r="M847" i="24" s="1"/>
  <c r="K847" i="24"/>
  <c r="P847" i="24"/>
  <c r="Q847" i="24" s="1"/>
  <c r="S847" i="24" l="1"/>
  <c r="T847" i="24" s="1"/>
  <c r="AA847" i="24" s="1"/>
  <c r="AC847" i="24" l="1"/>
  <c r="AB847" i="24"/>
  <c r="R847" i="24"/>
  <c r="X847" i="24" l="1"/>
  <c r="AE847" i="24" s="1"/>
  <c r="W847" i="24"/>
  <c r="AD847" i="24" s="1"/>
  <c r="Y847" i="24"/>
  <c r="AF847" i="24" s="1"/>
  <c r="D848" i="24" l="1"/>
  <c r="I848" i="24"/>
  <c r="B848" i="24"/>
  <c r="G848" i="24"/>
  <c r="H848" i="24"/>
  <c r="C848" i="24"/>
  <c r="J848" i="24" l="1"/>
  <c r="E848" i="24"/>
  <c r="F848" i="24"/>
  <c r="U848" i="24"/>
  <c r="V848" i="24"/>
  <c r="O848" i="24"/>
  <c r="AG847" i="24"/>
  <c r="P848" i="24" l="1"/>
  <c r="Q848" i="24" s="1"/>
  <c r="K848" i="24"/>
  <c r="L848" i="24"/>
  <c r="M848" i="24" s="1"/>
  <c r="S848" i="24" l="1"/>
  <c r="T848" i="24" s="1"/>
  <c r="AB848" i="24" s="1"/>
  <c r="AA848" i="24"/>
  <c r="R848" i="24"/>
  <c r="AC848" i="24" l="1"/>
  <c r="Y848" i="24"/>
  <c r="W848" i="24"/>
  <c r="AD848" i="24" s="1"/>
  <c r="X848" i="24"/>
  <c r="AE848" i="24" s="1"/>
  <c r="AF848" i="24" l="1"/>
  <c r="C849" i="24"/>
  <c r="H849" i="24"/>
  <c r="G849" i="24"/>
  <c r="B849" i="24"/>
  <c r="I849" i="24"/>
  <c r="D849" i="24"/>
  <c r="E849" i="24" l="1"/>
  <c r="J849" i="24"/>
  <c r="O849" i="24" s="1"/>
  <c r="U849" i="24"/>
  <c r="V849" i="24"/>
  <c r="AG848" i="24"/>
  <c r="F849" i="24"/>
  <c r="P849" i="24" l="1"/>
  <c r="Q849" i="24" s="1"/>
  <c r="K849" i="24"/>
  <c r="L849" i="24"/>
  <c r="M849" i="24" s="1"/>
  <c r="S849" i="24" l="1"/>
  <c r="T849" i="24" s="1"/>
  <c r="AC849" i="24" s="1"/>
  <c r="AA849" i="24"/>
  <c r="AB849" i="24"/>
  <c r="R849" i="24"/>
  <c r="X849" i="24" l="1"/>
  <c r="AE849" i="24" s="1"/>
  <c r="W849" i="24"/>
  <c r="AD849" i="24" s="1"/>
  <c r="Y849" i="24"/>
  <c r="AF849" i="24" s="1"/>
  <c r="D850" i="24" l="1"/>
  <c r="I850" i="24"/>
  <c r="B850" i="24"/>
  <c r="G850" i="24"/>
  <c r="H850" i="24"/>
  <c r="C850" i="24"/>
  <c r="J850" i="24" l="1"/>
  <c r="E850" i="24"/>
  <c r="F850" i="24"/>
  <c r="U850" i="24"/>
  <c r="V850" i="24"/>
  <c r="AG849" i="24"/>
  <c r="O850" i="24" l="1"/>
  <c r="P850" i="24"/>
  <c r="Q850" i="24" s="1"/>
  <c r="K850" i="24"/>
  <c r="L850" i="24"/>
  <c r="M850" i="24" s="1"/>
  <c r="S850" i="24" l="1"/>
  <c r="T850" i="24" s="1"/>
  <c r="AB850" i="24" s="1"/>
  <c r="AA850" i="24"/>
  <c r="AC850" i="24" l="1"/>
  <c r="R850" i="24"/>
  <c r="X850" i="24" l="1"/>
  <c r="AE850" i="24" s="1"/>
  <c r="Y850" i="24"/>
  <c r="AF850" i="24" s="1"/>
  <c r="W850" i="24"/>
  <c r="AD850" i="24" s="1"/>
  <c r="I851" i="24" l="1"/>
  <c r="D851" i="24"/>
  <c r="B851" i="24"/>
  <c r="G851" i="24"/>
  <c r="C851" i="24"/>
  <c r="H851" i="24"/>
  <c r="E851" i="24" l="1"/>
  <c r="J851" i="24"/>
  <c r="V851" i="24"/>
  <c r="U851" i="24"/>
  <c r="AG850" i="24"/>
  <c r="F851" i="24"/>
  <c r="O851" i="24" l="1"/>
  <c r="P851" i="24"/>
  <c r="Q851" i="24" s="1"/>
  <c r="L851" i="24"/>
  <c r="M851" i="24" s="1"/>
  <c r="K851" i="24"/>
  <c r="S851" i="24" l="1"/>
  <c r="T851" i="24" s="1"/>
  <c r="AA851" i="24" s="1"/>
  <c r="AC851" i="24" l="1"/>
  <c r="AB851" i="24"/>
  <c r="R851" i="24"/>
  <c r="W851" i="24" l="1"/>
  <c r="AD851" i="24" s="1"/>
  <c r="X851" i="24"/>
  <c r="AE851" i="24" s="1"/>
  <c r="Y851" i="24"/>
  <c r="AF851" i="24" s="1"/>
  <c r="H852" i="24" l="1"/>
  <c r="C852" i="24"/>
  <c r="I852" i="24"/>
  <c r="D852" i="24"/>
  <c r="B852" i="24"/>
  <c r="G852" i="24"/>
  <c r="E852" i="24" l="1"/>
  <c r="U852" i="24"/>
  <c r="V852" i="24"/>
  <c r="AG851" i="24"/>
  <c r="J852" i="24"/>
  <c r="O852" i="24" s="1"/>
  <c r="F852" i="24"/>
  <c r="P852" i="24" l="1"/>
  <c r="Q852" i="24" s="1"/>
  <c r="L852" i="24"/>
  <c r="M852" i="24" s="1"/>
  <c r="K852" i="24"/>
  <c r="S852" i="24" l="1"/>
  <c r="T852" i="24" s="1"/>
  <c r="AB852" i="24" s="1"/>
  <c r="AC852" i="24"/>
  <c r="AA852" i="24"/>
  <c r="R852" i="24"/>
  <c r="X852" i="24" l="1"/>
  <c r="AE852" i="24" s="1"/>
  <c r="W852" i="24"/>
  <c r="AD852" i="24" s="1"/>
  <c r="Y852" i="24"/>
  <c r="AF852" i="24" s="1"/>
  <c r="B853" i="24" l="1"/>
  <c r="G853" i="24"/>
  <c r="D853" i="24"/>
  <c r="I853" i="24"/>
  <c r="C853" i="24"/>
  <c r="H853" i="24"/>
  <c r="U853" i="24" l="1"/>
  <c r="V853" i="24"/>
  <c r="AG852" i="24"/>
  <c r="J853" i="24"/>
  <c r="F853" i="24"/>
  <c r="E853" i="24"/>
  <c r="O853" i="24" l="1"/>
  <c r="P853" i="24"/>
  <c r="Q853" i="24" s="1"/>
  <c r="K853" i="24"/>
  <c r="L853" i="24"/>
  <c r="M853" i="24" s="1"/>
  <c r="S853" i="24" l="1"/>
  <c r="T853" i="24" s="1"/>
  <c r="AC853" i="24" s="1"/>
  <c r="AB853" i="24" l="1"/>
  <c r="AA853" i="24"/>
  <c r="R853" i="24"/>
  <c r="W853" i="24" l="1"/>
  <c r="AD853" i="24" s="1"/>
  <c r="X853" i="24"/>
  <c r="AE853" i="24" s="1"/>
  <c r="Y853" i="24"/>
  <c r="AF853" i="24" s="1"/>
  <c r="D854" i="24" l="1"/>
  <c r="I854" i="24"/>
  <c r="H854" i="24"/>
  <c r="C854" i="24"/>
  <c r="G854" i="24"/>
  <c r="B854" i="24"/>
  <c r="E854" i="24" l="1"/>
  <c r="J854" i="24"/>
  <c r="F854" i="24"/>
  <c r="V854" i="24"/>
  <c r="U854" i="24"/>
  <c r="AG853" i="24"/>
  <c r="O854" i="24" l="1"/>
  <c r="P854" i="24"/>
  <c r="Q854" i="24" s="1"/>
  <c r="K854" i="24"/>
  <c r="L854" i="24"/>
  <c r="M854" i="24" s="1"/>
  <c r="S854" i="24" l="1"/>
  <c r="T854" i="24" s="1"/>
  <c r="AA854" i="24" s="1"/>
  <c r="AB854" i="24" l="1"/>
  <c r="AC854" i="24"/>
  <c r="R854" i="24"/>
  <c r="W854" i="24" l="1"/>
  <c r="AD854" i="24" s="1"/>
  <c r="X854" i="24"/>
  <c r="AE854" i="24" s="1"/>
  <c r="Y854" i="24"/>
  <c r="AF854" i="24" s="1"/>
  <c r="I855" i="24" l="1"/>
  <c r="D855" i="24"/>
  <c r="H855" i="24"/>
  <c r="C855" i="24"/>
  <c r="B855" i="24"/>
  <c r="G855" i="24"/>
  <c r="F855" i="24" l="1"/>
  <c r="J855" i="24"/>
  <c r="U855" i="24"/>
  <c r="V855" i="24"/>
  <c r="AG854" i="24"/>
  <c r="E855" i="24"/>
  <c r="O855" i="24" l="1"/>
  <c r="K855" i="24"/>
  <c r="L855" i="24"/>
  <c r="M855" i="24" s="1"/>
  <c r="P855" i="24"/>
  <c r="Q855" i="24" s="1"/>
  <c r="S855" i="24" l="1"/>
  <c r="T855" i="24" s="1"/>
  <c r="AA855" i="24"/>
  <c r="AC855" i="24"/>
  <c r="AB855" i="24"/>
  <c r="R855" i="24"/>
  <c r="Y855" i="24" l="1"/>
  <c r="AF855" i="24" s="1"/>
  <c r="W855" i="24"/>
  <c r="AD855" i="24" s="1"/>
  <c r="X855" i="24"/>
  <c r="AE855" i="24" s="1"/>
  <c r="G856" i="24" l="1"/>
  <c r="B856" i="24"/>
  <c r="C856" i="24"/>
  <c r="H856" i="24"/>
  <c r="I856" i="24"/>
  <c r="D856" i="24"/>
  <c r="F856" i="24" l="1"/>
  <c r="V856" i="24"/>
  <c r="U856" i="24"/>
  <c r="AG855" i="24"/>
  <c r="E856" i="24"/>
  <c r="J856" i="24"/>
  <c r="L856" i="24" l="1"/>
  <c r="M856" i="24" s="1"/>
  <c r="P856" i="24"/>
  <c r="Q856" i="24" s="1"/>
  <c r="K856" i="24"/>
  <c r="O856" i="24"/>
  <c r="S856" i="24" l="1"/>
  <c r="T856" i="24" s="1"/>
  <c r="AB856" i="24" s="1"/>
  <c r="AA856" i="24"/>
  <c r="AC856" i="24"/>
  <c r="R856" i="24" l="1"/>
  <c r="W856" i="24" s="1"/>
  <c r="AD856" i="24" s="1"/>
  <c r="X856" i="24"/>
  <c r="AE856" i="24" s="1"/>
  <c r="Y856" i="24"/>
  <c r="AF856" i="24" s="1"/>
  <c r="B857" i="24" l="1"/>
  <c r="G857" i="24"/>
  <c r="D857" i="24"/>
  <c r="I857" i="24"/>
  <c r="C857" i="24"/>
  <c r="H857" i="24"/>
  <c r="V857" i="24" l="1"/>
  <c r="U857" i="24"/>
  <c r="AG856" i="24"/>
  <c r="J857" i="24"/>
  <c r="F857" i="24"/>
  <c r="E857" i="24"/>
  <c r="O857" i="24" l="1"/>
  <c r="L857" i="24"/>
  <c r="M857" i="24" s="1"/>
  <c r="P857" i="24"/>
  <c r="Q857" i="24" s="1"/>
  <c r="K857" i="24"/>
  <c r="S857" i="24" l="1"/>
  <c r="T857" i="24" s="1"/>
  <c r="AC857" i="24" s="1"/>
  <c r="R857" i="24"/>
  <c r="AA857" i="24" l="1"/>
  <c r="AB857" i="24"/>
  <c r="W857" i="24"/>
  <c r="AD857" i="24" s="1"/>
  <c r="Y857" i="24"/>
  <c r="AF857" i="24" s="1"/>
  <c r="X857" i="24"/>
  <c r="AE857" i="24" l="1"/>
  <c r="H858" i="24"/>
  <c r="C858" i="24"/>
  <c r="I858" i="24"/>
  <c r="D858" i="24"/>
  <c r="B858" i="24"/>
  <c r="G858" i="24"/>
  <c r="F858" i="24" l="1"/>
  <c r="V858" i="24"/>
  <c r="U858" i="24"/>
  <c r="AG857" i="24"/>
  <c r="J858" i="24"/>
  <c r="E858" i="24"/>
  <c r="O858" i="24" l="1"/>
  <c r="L858" i="24"/>
  <c r="M858" i="24" s="1"/>
  <c r="P858" i="24"/>
  <c r="Q858" i="24" s="1"/>
  <c r="K858" i="24"/>
  <c r="S858" i="24" l="1"/>
  <c r="T858" i="24" s="1"/>
  <c r="AA858" i="24" s="1"/>
  <c r="AB858" i="24"/>
  <c r="AC858" i="24"/>
  <c r="R858" i="24" l="1"/>
  <c r="W858" i="24" l="1"/>
  <c r="AD858" i="24" s="1"/>
  <c r="X858" i="24"/>
  <c r="AE858" i="24" s="1"/>
  <c r="Y858" i="24"/>
  <c r="AF858" i="24" s="1"/>
  <c r="H859" i="24" l="1"/>
  <c r="C859" i="24"/>
  <c r="I859" i="24"/>
  <c r="D859" i="24"/>
  <c r="G859" i="24"/>
  <c r="B859" i="24"/>
  <c r="U859" i="24" l="1"/>
  <c r="V859" i="24"/>
  <c r="AG858" i="24"/>
  <c r="E859" i="24"/>
  <c r="F859" i="24"/>
  <c r="J859" i="24"/>
  <c r="O859" i="24" s="1"/>
  <c r="P859" i="24" l="1"/>
  <c r="Q859" i="24" s="1"/>
  <c r="K859" i="24"/>
  <c r="L859" i="24"/>
  <c r="M859" i="24" s="1"/>
  <c r="S859" i="24" l="1"/>
  <c r="T859" i="24" s="1"/>
  <c r="AA859" i="24" s="1"/>
  <c r="AC859" i="24"/>
  <c r="R859" i="24"/>
  <c r="AB859" i="24" l="1"/>
  <c r="X859" i="24"/>
  <c r="AE859" i="24" s="1"/>
  <c r="Y859" i="24"/>
  <c r="AF859" i="24" s="1"/>
  <c r="W859" i="24"/>
  <c r="AD859" i="24" s="1"/>
  <c r="I860" i="24" l="1"/>
  <c r="D860" i="24"/>
  <c r="B860" i="24"/>
  <c r="G860" i="24"/>
  <c r="J860" i="24" s="1"/>
  <c r="H860" i="24"/>
  <c r="C860" i="24"/>
  <c r="O860" i="24" l="1"/>
  <c r="L860" i="24"/>
  <c r="M860" i="24" s="1"/>
  <c r="P860" i="24"/>
  <c r="Q860" i="24" s="1"/>
  <c r="K860" i="24"/>
  <c r="V860" i="24"/>
  <c r="U860" i="24"/>
  <c r="AG859" i="24"/>
  <c r="E860" i="24"/>
  <c r="F860" i="24"/>
  <c r="S860" i="24" l="1"/>
  <c r="T860" i="24" s="1"/>
  <c r="AA860" i="24" s="1"/>
  <c r="AC860" i="24" l="1"/>
  <c r="AB860" i="24"/>
  <c r="R860" i="24"/>
  <c r="W860" i="24" s="1"/>
  <c r="AD860" i="24" s="1"/>
  <c r="Y860" i="24" l="1"/>
  <c r="AF860" i="24" s="1"/>
  <c r="X860" i="24"/>
  <c r="AE860" i="24" s="1"/>
  <c r="C861" i="24" s="1"/>
  <c r="G861" i="24"/>
  <c r="B861" i="24"/>
  <c r="D861" i="24"/>
  <c r="I861" i="24"/>
  <c r="H861" i="24" l="1"/>
  <c r="F861" i="24"/>
  <c r="E861" i="24"/>
  <c r="U861" i="24"/>
  <c r="V861" i="24"/>
  <c r="AG860" i="24"/>
  <c r="J861" i="24"/>
  <c r="O861" i="24" s="1"/>
  <c r="P861" i="24" l="1"/>
  <c r="Q861" i="24" s="1"/>
  <c r="L861" i="24"/>
  <c r="M861" i="24" s="1"/>
  <c r="K861" i="24"/>
  <c r="S861" i="24" l="1"/>
  <c r="T861" i="24" s="1"/>
  <c r="AA861" i="24" s="1"/>
  <c r="AB861" i="24"/>
  <c r="AC861" i="24"/>
  <c r="R861" i="24"/>
  <c r="W861" i="24" l="1"/>
  <c r="AD861" i="24" s="1"/>
  <c r="X861" i="24"/>
  <c r="AE861" i="24" s="1"/>
  <c r="Y861" i="24"/>
  <c r="AF861" i="24" s="1"/>
  <c r="H862" i="24" l="1"/>
  <c r="C862" i="24"/>
  <c r="D862" i="24"/>
  <c r="I862" i="24"/>
  <c r="G862" i="24"/>
  <c r="B862" i="24"/>
  <c r="E862" i="24" l="1"/>
  <c r="F862" i="24"/>
  <c r="J862" i="24"/>
  <c r="U862" i="24"/>
  <c r="V862" i="24"/>
  <c r="AG861" i="24"/>
  <c r="O862" i="24" l="1"/>
  <c r="L862" i="24"/>
  <c r="M862" i="24" s="1"/>
  <c r="P862" i="24"/>
  <c r="Q862" i="24" s="1"/>
  <c r="K862" i="24"/>
  <c r="S862" i="24" l="1"/>
  <c r="T862" i="24" s="1"/>
  <c r="AA862" i="24" s="1"/>
  <c r="R862" i="24"/>
  <c r="Y862" i="24" l="1"/>
  <c r="X862" i="24"/>
  <c r="W862" i="24"/>
  <c r="AD862" i="24" s="1"/>
  <c r="AB862" i="24"/>
  <c r="AC862" i="24"/>
  <c r="B863" i="24" l="1"/>
  <c r="G863" i="24"/>
  <c r="AE862" i="24"/>
  <c r="AF862" i="24"/>
  <c r="D863" i="24" l="1"/>
  <c r="I863" i="24"/>
  <c r="H863" i="24"/>
  <c r="C863" i="24"/>
  <c r="E863" i="24" s="1"/>
  <c r="J863" i="24" l="1"/>
  <c r="K863" i="24" s="1"/>
  <c r="L863" i="24"/>
  <c r="M863" i="24" s="1"/>
  <c r="P863" i="24"/>
  <c r="Q863" i="24" s="1"/>
  <c r="F863" i="24"/>
  <c r="U863" i="24"/>
  <c r="V863" i="24"/>
  <c r="O863" i="24"/>
  <c r="AG862" i="24"/>
  <c r="R863" i="24" l="1"/>
  <c r="S863" i="24"/>
  <c r="T863" i="24" s="1"/>
  <c r="AB863" i="24" s="1"/>
  <c r="AA863" i="24" l="1"/>
  <c r="AC863" i="24"/>
  <c r="Y863" i="24"/>
  <c r="AF863" i="24" s="1"/>
  <c r="W863" i="24"/>
  <c r="AD863" i="24" s="1"/>
  <c r="X863" i="24"/>
  <c r="AE863" i="24" s="1"/>
  <c r="I864" i="24" l="1"/>
  <c r="D864" i="24"/>
  <c r="H864" i="24"/>
  <c r="C864" i="24"/>
  <c r="G864" i="24"/>
  <c r="B864" i="24"/>
  <c r="F864" i="24" l="1"/>
  <c r="E864" i="24"/>
  <c r="AG863" i="24"/>
  <c r="U864" i="24"/>
  <c r="V864" i="24"/>
  <c r="J864" i="24"/>
  <c r="O864" i="24" s="1"/>
  <c r="L864" i="24" l="1"/>
  <c r="M864" i="24" s="1"/>
  <c r="P864" i="24"/>
  <c r="Q864" i="24" s="1"/>
  <c r="K864" i="24"/>
  <c r="S864" i="24" l="1"/>
  <c r="T864" i="24" s="1"/>
  <c r="AC864" i="24" s="1"/>
  <c r="AA864" i="24"/>
  <c r="AB864" i="24"/>
  <c r="R864" i="24" l="1"/>
  <c r="Y864" i="24" s="1"/>
  <c r="AF864" i="24" s="1"/>
  <c r="W864" i="24"/>
  <c r="AD864" i="24" s="1"/>
  <c r="X864" i="24"/>
  <c r="AE864" i="24" s="1"/>
  <c r="H865" i="24" l="1"/>
  <c r="C865" i="24"/>
  <c r="B865" i="24"/>
  <c r="G865" i="24"/>
  <c r="J865" i="24" s="1"/>
  <c r="D865" i="24"/>
  <c r="I865" i="24"/>
  <c r="L865" i="24" l="1"/>
  <c r="M865" i="24" s="1"/>
  <c r="P865" i="24"/>
  <c r="Q865" i="24" s="1"/>
  <c r="K865" i="24"/>
  <c r="E865" i="24"/>
  <c r="F865" i="24"/>
  <c r="U865" i="24"/>
  <c r="V865" i="24"/>
  <c r="O865" i="24"/>
  <c r="S865" i="24" s="1"/>
  <c r="T865" i="24" s="1"/>
  <c r="AA865" i="24" s="1"/>
  <c r="AG864" i="24"/>
  <c r="R865" i="24" l="1"/>
  <c r="AC865" i="24"/>
  <c r="AB865" i="24"/>
  <c r="W865" i="24" l="1"/>
  <c r="AD865" i="24" s="1"/>
  <c r="Y865" i="24"/>
  <c r="AF865" i="24" s="1"/>
  <c r="X865" i="24"/>
  <c r="AE865" i="24" s="1"/>
  <c r="H866" i="24" l="1"/>
  <c r="C866" i="24"/>
  <c r="D866" i="24"/>
  <c r="I866" i="24"/>
  <c r="G866" i="24"/>
  <c r="B866" i="24"/>
  <c r="J866" i="24" l="1"/>
  <c r="V866" i="24"/>
  <c r="U866" i="24"/>
  <c r="AG865" i="24"/>
  <c r="E866" i="24"/>
  <c r="F866" i="24"/>
  <c r="O866" i="24" l="1"/>
  <c r="K866" i="24"/>
  <c r="L866" i="24"/>
  <c r="M866" i="24" s="1"/>
  <c r="P866" i="24"/>
  <c r="Q866" i="24" s="1"/>
  <c r="S866" i="24" l="1"/>
  <c r="T866" i="24" s="1"/>
  <c r="AA866" i="24" s="1"/>
  <c r="AB866" i="24"/>
  <c r="R866" i="24"/>
  <c r="AC866" i="24" l="1"/>
  <c r="Y866" i="24"/>
  <c r="W866" i="24"/>
  <c r="AD866" i="24" s="1"/>
  <c r="X866" i="24"/>
  <c r="AE866" i="24" s="1"/>
  <c r="AF866" i="24" l="1"/>
  <c r="H867" i="24"/>
  <c r="C867" i="24"/>
  <c r="G867" i="24"/>
  <c r="B867" i="24"/>
  <c r="D867" i="24"/>
  <c r="I867" i="24"/>
  <c r="E867" i="24" l="1"/>
  <c r="F867" i="24"/>
  <c r="J867" i="24"/>
  <c r="O867" i="24" s="1"/>
  <c r="U867" i="24"/>
  <c r="V867" i="24"/>
  <c r="AG866" i="24"/>
  <c r="L867" i="24" l="1"/>
  <c r="M867" i="24" s="1"/>
  <c r="P867" i="24"/>
  <c r="Q867" i="24" s="1"/>
  <c r="K867" i="24"/>
  <c r="R867" i="24" l="1"/>
  <c r="S867" i="24"/>
  <c r="T867" i="24" s="1"/>
  <c r="AB867" i="24" s="1"/>
  <c r="AA867" i="24"/>
  <c r="AC867" i="24" l="1"/>
  <c r="X867" i="24"/>
  <c r="AE867" i="24" s="1"/>
  <c r="Y867" i="24"/>
  <c r="AF867" i="24" s="1"/>
  <c r="W867" i="24"/>
  <c r="AD867" i="24" s="1"/>
  <c r="G868" i="24" l="1"/>
  <c r="B868" i="24"/>
  <c r="H868" i="24"/>
  <c r="C868" i="24"/>
  <c r="I868" i="24"/>
  <c r="D868" i="24"/>
  <c r="F868" i="24" l="1"/>
  <c r="U868" i="24"/>
  <c r="V868" i="24"/>
  <c r="AG867" i="24"/>
  <c r="E868" i="24"/>
  <c r="J868" i="24"/>
  <c r="O868" i="24" l="1"/>
  <c r="L868" i="24"/>
  <c r="M868" i="24" s="1"/>
  <c r="P868" i="24"/>
  <c r="Q868" i="24" s="1"/>
  <c r="K868" i="24"/>
  <c r="S868" i="24" l="1"/>
  <c r="T868" i="24" s="1"/>
  <c r="AC868" i="24" s="1"/>
  <c r="AA868" i="24" l="1"/>
  <c r="AB868" i="24"/>
  <c r="R868" i="24"/>
  <c r="Y868" i="24" l="1"/>
  <c r="AF868" i="24" s="1"/>
  <c r="X868" i="24"/>
  <c r="AE868" i="24" s="1"/>
  <c r="W868" i="24"/>
  <c r="AD868" i="24" s="1"/>
  <c r="G869" i="24" l="1"/>
  <c r="B869" i="24"/>
  <c r="C869" i="24"/>
  <c r="H869" i="24"/>
  <c r="D869" i="24"/>
  <c r="I869" i="24"/>
  <c r="E869" i="24" l="1"/>
  <c r="F869" i="24"/>
  <c r="U869" i="24"/>
  <c r="V869" i="24"/>
  <c r="AG868" i="24"/>
  <c r="J869" i="24"/>
  <c r="O869" i="24" l="1"/>
  <c r="L869" i="24"/>
  <c r="M869" i="24" s="1"/>
  <c r="K869" i="24"/>
  <c r="P869" i="24"/>
  <c r="Q869" i="24" s="1"/>
  <c r="S869" i="24" l="1"/>
  <c r="T869" i="24" s="1"/>
  <c r="AA869" i="24" s="1"/>
  <c r="AC869" i="24"/>
  <c r="R869" i="24"/>
  <c r="AB869" i="24" l="1"/>
  <c r="X869" i="24"/>
  <c r="AE869" i="24" s="1"/>
  <c r="W869" i="24"/>
  <c r="AD869" i="24" s="1"/>
  <c r="Y869" i="24"/>
  <c r="AF869" i="24" s="1"/>
  <c r="D870" i="24" l="1"/>
  <c r="I870" i="24"/>
  <c r="G870" i="24"/>
  <c r="B870" i="24"/>
  <c r="H870" i="24"/>
  <c r="C870" i="24"/>
  <c r="E870" i="24" l="1"/>
  <c r="J870" i="24"/>
  <c r="F870" i="24"/>
  <c r="U870" i="24"/>
  <c r="V870" i="24"/>
  <c r="AG869" i="24"/>
  <c r="O870" i="24" l="1"/>
  <c r="P870" i="24"/>
  <c r="Q870" i="24" s="1"/>
  <c r="K870" i="24"/>
  <c r="L870" i="24"/>
  <c r="M870" i="24" s="1"/>
  <c r="S870" i="24" l="1"/>
  <c r="T870" i="24" s="1"/>
  <c r="AA870" i="24" s="1"/>
  <c r="AB870" i="24"/>
  <c r="AC870" i="24"/>
  <c r="R870" i="24"/>
  <c r="Y870" i="24" l="1"/>
  <c r="AF870" i="24" s="1"/>
  <c r="W870" i="24"/>
  <c r="AD870" i="24" s="1"/>
  <c r="X870" i="24"/>
  <c r="AE870" i="24" s="1"/>
  <c r="B871" i="24" l="1"/>
  <c r="G871" i="24"/>
  <c r="C871" i="24"/>
  <c r="H871" i="24"/>
  <c r="D871" i="24"/>
  <c r="I871" i="24"/>
  <c r="F871" i="24" l="1"/>
  <c r="J871" i="24"/>
  <c r="U871" i="24"/>
  <c r="V871" i="24"/>
  <c r="AG870" i="24"/>
  <c r="E871" i="24"/>
  <c r="O871" i="24" l="1"/>
  <c r="L871" i="24"/>
  <c r="M871" i="24" s="1"/>
  <c r="P871" i="24"/>
  <c r="Q871" i="24" s="1"/>
  <c r="K871" i="24"/>
  <c r="S871" i="24" l="1"/>
  <c r="T871" i="24" s="1"/>
  <c r="AC871" i="24" s="1"/>
  <c r="AB871" i="24"/>
  <c r="AA871" i="24" l="1"/>
  <c r="R871" i="24"/>
  <c r="Y871" i="24" l="1"/>
  <c r="AF871" i="24" s="1"/>
  <c r="W871" i="24"/>
  <c r="AD871" i="24" s="1"/>
  <c r="X871" i="24"/>
  <c r="AE871" i="24" s="1"/>
  <c r="C872" i="24" l="1"/>
  <c r="H872" i="24"/>
  <c r="B872" i="24"/>
  <c r="G872" i="24"/>
  <c r="D872" i="24"/>
  <c r="I872" i="24"/>
  <c r="J872" i="24" l="1"/>
  <c r="E872" i="24"/>
  <c r="V872" i="24"/>
  <c r="U872" i="24"/>
  <c r="AG871" i="24"/>
  <c r="F872" i="24"/>
  <c r="O872" i="24" l="1"/>
  <c r="P872" i="24"/>
  <c r="Q872" i="24" s="1"/>
  <c r="L872" i="24"/>
  <c r="M872" i="24" s="1"/>
  <c r="K872" i="24"/>
  <c r="S872" i="24" l="1"/>
  <c r="T872" i="24" s="1"/>
  <c r="AC872" i="24"/>
  <c r="AB872" i="24"/>
  <c r="AA872" i="24"/>
  <c r="R872" i="24"/>
  <c r="Y872" i="24" l="1"/>
  <c r="AF872" i="24" s="1"/>
  <c r="W872" i="24"/>
  <c r="AD872" i="24" s="1"/>
  <c r="X872" i="24"/>
  <c r="AE872" i="24" s="1"/>
  <c r="H873" i="24" l="1"/>
  <c r="C873" i="24"/>
  <c r="B873" i="24"/>
  <c r="G873" i="24"/>
  <c r="D873" i="24"/>
  <c r="I873" i="24"/>
  <c r="J873" i="24" l="1"/>
  <c r="E873" i="24"/>
  <c r="F873" i="24"/>
  <c r="U873" i="24"/>
  <c r="V873" i="24"/>
  <c r="AG872" i="24"/>
  <c r="O873" i="24" l="1"/>
  <c r="L873" i="24"/>
  <c r="M873" i="24" s="1"/>
  <c r="P873" i="24"/>
  <c r="Q873" i="24" s="1"/>
  <c r="K873" i="24"/>
  <c r="R873" i="24" l="1"/>
  <c r="S873" i="24"/>
  <c r="T873" i="24" s="1"/>
  <c r="AA873" i="24" s="1"/>
  <c r="AC873" i="24"/>
  <c r="AB873" i="24"/>
  <c r="X873" i="24" l="1"/>
  <c r="AE873" i="24" s="1"/>
  <c r="W873" i="24"/>
  <c r="AD873" i="24" s="1"/>
  <c r="Y873" i="24"/>
  <c r="AF873" i="24" s="1"/>
  <c r="D874" i="24" l="1"/>
  <c r="I874" i="24"/>
  <c r="G874" i="24"/>
  <c r="B874" i="24"/>
  <c r="H874" i="24"/>
  <c r="C874" i="24"/>
  <c r="E874" i="24" l="1"/>
  <c r="J874" i="24"/>
  <c r="F874" i="24"/>
  <c r="U874" i="24"/>
  <c r="V874" i="24"/>
  <c r="AG873" i="24"/>
  <c r="O874" i="24" l="1"/>
  <c r="P874" i="24"/>
  <c r="Q874" i="24" s="1"/>
  <c r="L874" i="24"/>
  <c r="M874" i="24" s="1"/>
  <c r="K874" i="24"/>
  <c r="R874" i="24" l="1"/>
  <c r="S874" i="24"/>
  <c r="T874" i="24" s="1"/>
  <c r="AC874" i="24" s="1"/>
  <c r="AA874" i="24"/>
  <c r="AB874" i="24"/>
  <c r="Y874" i="24" l="1"/>
  <c r="AF874" i="24" s="1"/>
  <c r="W874" i="24"/>
  <c r="AD874" i="24" s="1"/>
  <c r="X874" i="24"/>
  <c r="AE874" i="24" s="1"/>
  <c r="H875" i="24" l="1"/>
  <c r="C875" i="24"/>
  <c r="B875" i="24"/>
  <c r="G875" i="24"/>
  <c r="I875" i="24"/>
  <c r="D875" i="24"/>
  <c r="E875" i="24" l="1"/>
  <c r="V875" i="24"/>
  <c r="U875" i="24"/>
  <c r="AG874" i="24"/>
  <c r="F875" i="24"/>
  <c r="J875" i="24"/>
  <c r="O875" i="24" l="1"/>
  <c r="K875" i="24"/>
  <c r="L875" i="24"/>
  <c r="M875" i="24" s="1"/>
  <c r="P875" i="24"/>
  <c r="Q875" i="24" s="1"/>
  <c r="S875" i="24" l="1"/>
  <c r="T875" i="24" s="1"/>
  <c r="AA875" i="24" s="1"/>
  <c r="AC875" i="24"/>
  <c r="R875" i="24"/>
  <c r="AB875" i="24" l="1"/>
  <c r="X875" i="24"/>
  <c r="AE875" i="24" s="1"/>
  <c r="W875" i="24"/>
  <c r="AD875" i="24" s="1"/>
  <c r="Y875" i="24"/>
  <c r="AF875" i="24" s="1"/>
  <c r="D876" i="24" l="1"/>
  <c r="I876" i="24"/>
  <c r="B876" i="24"/>
  <c r="G876" i="24"/>
  <c r="C876" i="24"/>
  <c r="H876" i="24"/>
  <c r="E876" i="24" l="1"/>
  <c r="J876" i="24"/>
  <c r="F876" i="24"/>
  <c r="U876" i="24"/>
  <c r="V876" i="24"/>
  <c r="O876" i="24"/>
  <c r="AG875" i="24"/>
  <c r="K876" i="24" l="1"/>
  <c r="L876" i="24"/>
  <c r="M876" i="24" s="1"/>
  <c r="P876" i="24"/>
  <c r="Q876" i="24" s="1"/>
  <c r="S876" i="24" l="1"/>
  <c r="T876" i="24" s="1"/>
  <c r="AC876" i="24" s="1"/>
  <c r="AA876" i="24"/>
  <c r="R876" i="24"/>
  <c r="Y876" i="24" l="1"/>
  <c r="AF876" i="24" s="1"/>
  <c r="X876" i="24"/>
  <c r="W876" i="24"/>
  <c r="AD876" i="24" s="1"/>
  <c r="AB876" i="24"/>
  <c r="D877" i="24" l="1"/>
  <c r="I877" i="24"/>
  <c r="B877" i="24"/>
  <c r="G877" i="24"/>
  <c r="AE876" i="24"/>
  <c r="H877" i="24" l="1"/>
  <c r="C877" i="24"/>
  <c r="E877" i="24" s="1"/>
  <c r="V877" i="24"/>
  <c r="U877" i="24"/>
  <c r="AG876" i="24"/>
  <c r="F877" i="24" l="1"/>
  <c r="J877" i="24"/>
  <c r="O877" i="24" l="1"/>
  <c r="P877" i="24"/>
  <c r="Q877" i="24" s="1"/>
  <c r="L877" i="24"/>
  <c r="M877" i="24" s="1"/>
  <c r="K877" i="24"/>
  <c r="S877" i="24" l="1"/>
  <c r="T877" i="24" s="1"/>
  <c r="AC877" i="24" s="1"/>
  <c r="AB877" i="24" l="1"/>
  <c r="AA877" i="24"/>
  <c r="R877" i="24"/>
  <c r="W877" i="24" s="1"/>
  <c r="AD877" i="24" s="1"/>
  <c r="Y877" i="24" l="1"/>
  <c r="AF877" i="24" s="1"/>
  <c r="X877" i="24"/>
  <c r="AE877" i="24" s="1"/>
  <c r="H878" i="24" s="1"/>
  <c r="D878" i="24"/>
  <c r="I878" i="24"/>
  <c r="B878" i="24"/>
  <c r="G878" i="24"/>
  <c r="C878" i="24"/>
  <c r="J878" i="24" l="1"/>
  <c r="E878" i="24"/>
  <c r="F878" i="24"/>
  <c r="U878" i="24"/>
  <c r="V878" i="24"/>
  <c r="AG877" i="24"/>
  <c r="O878" i="24" l="1"/>
  <c r="L878" i="24"/>
  <c r="M878" i="24" s="1"/>
  <c r="P878" i="24"/>
  <c r="Q878" i="24" s="1"/>
  <c r="K878" i="24"/>
  <c r="S878" i="24" l="1"/>
  <c r="T878" i="24" s="1"/>
  <c r="AA878" i="24"/>
  <c r="AB878" i="24"/>
  <c r="AC878" i="24"/>
  <c r="R878" i="24"/>
  <c r="Y878" i="24" l="1"/>
  <c r="AF878" i="24" s="1"/>
  <c r="X878" i="24"/>
  <c r="AE878" i="24" s="1"/>
  <c r="W878" i="24"/>
  <c r="AD878" i="24" s="1"/>
  <c r="C879" i="24" l="1"/>
  <c r="H879" i="24"/>
  <c r="B879" i="24"/>
  <c r="G879" i="24"/>
  <c r="I879" i="24"/>
  <c r="D879" i="24"/>
  <c r="J879" i="24" l="1"/>
  <c r="U879" i="24"/>
  <c r="V879" i="24"/>
  <c r="AG878" i="24"/>
  <c r="E879" i="24"/>
  <c r="F879" i="24"/>
  <c r="O879" i="24" l="1"/>
  <c r="K879" i="24"/>
  <c r="L879" i="24"/>
  <c r="M879" i="24" s="1"/>
  <c r="P879" i="24"/>
  <c r="Q879" i="24" s="1"/>
  <c r="S879" i="24" l="1"/>
  <c r="T879" i="24" s="1"/>
  <c r="AB879" i="24" s="1"/>
  <c r="R879" i="24"/>
  <c r="AA879" i="24" l="1"/>
  <c r="X879" i="24"/>
  <c r="AE879" i="24" s="1"/>
  <c r="Y879" i="24"/>
  <c r="W879" i="24"/>
  <c r="AD879" i="24" s="1"/>
  <c r="AC879" i="24"/>
  <c r="G880" i="24" l="1"/>
  <c r="B880" i="24"/>
  <c r="AF879" i="24"/>
  <c r="C880" i="24"/>
  <c r="H880" i="24"/>
  <c r="D880" i="24" l="1"/>
  <c r="I880" i="24"/>
  <c r="J880" i="24" s="1"/>
  <c r="F880" i="24"/>
  <c r="E880" i="24"/>
  <c r="O880" i="24" l="1"/>
  <c r="L880" i="24"/>
  <c r="M880" i="24" s="1"/>
  <c r="P880" i="24"/>
  <c r="Q880" i="24" s="1"/>
  <c r="K880" i="24"/>
  <c r="U880" i="24"/>
  <c r="V880" i="24"/>
  <c r="AG879" i="24"/>
  <c r="R880" i="24" l="1"/>
  <c r="S880" i="24"/>
  <c r="T880" i="24" s="1"/>
  <c r="AC880" i="24" s="1"/>
  <c r="AB880" i="24"/>
  <c r="AA880" i="24" l="1"/>
  <c r="Y880" i="24"/>
  <c r="AF880" i="24" s="1"/>
  <c r="W880" i="24"/>
  <c r="X880" i="24"/>
  <c r="AE880" i="24" s="1"/>
  <c r="AD880" i="24" l="1"/>
  <c r="H881" i="24"/>
  <c r="C881" i="24"/>
  <c r="I881" i="24"/>
  <c r="D881" i="24"/>
  <c r="U881" i="24" l="1"/>
  <c r="V881" i="24"/>
  <c r="O881" i="24"/>
  <c r="AG880" i="24"/>
  <c r="G881" i="24"/>
  <c r="J881" i="24" s="1"/>
  <c r="B881" i="24"/>
  <c r="E881" i="24" l="1"/>
  <c r="F881" i="24"/>
  <c r="L881" i="24"/>
  <c r="M881" i="24" s="1"/>
  <c r="K881" i="24"/>
  <c r="P881" i="24"/>
  <c r="Q881" i="24" s="1"/>
  <c r="S881" i="24" l="1"/>
  <c r="T881" i="24" s="1"/>
  <c r="AA881" i="24" s="1"/>
  <c r="AB881" i="24" l="1"/>
  <c r="AC881" i="24"/>
  <c r="R881" i="24"/>
  <c r="X881" i="24" l="1"/>
  <c r="AE881" i="24" s="1"/>
  <c r="W881" i="24"/>
  <c r="AD881" i="24" s="1"/>
  <c r="Y881" i="24"/>
  <c r="AF881" i="24" s="1"/>
  <c r="I882" i="24" l="1"/>
  <c r="D882" i="24"/>
  <c r="G882" i="24"/>
  <c r="B882" i="24"/>
  <c r="C882" i="24"/>
  <c r="H882" i="24"/>
  <c r="F882" i="24" l="1"/>
  <c r="E882" i="24"/>
  <c r="AG881" i="24"/>
  <c r="U882" i="24"/>
  <c r="V882" i="24"/>
  <c r="J882" i="24"/>
  <c r="P882" i="24" l="1"/>
  <c r="Q882" i="24" s="1"/>
  <c r="K882" i="24"/>
  <c r="L882" i="24"/>
  <c r="M882" i="24" s="1"/>
  <c r="O882" i="24"/>
  <c r="S882" i="24" l="1"/>
  <c r="T882" i="24" s="1"/>
  <c r="AA882" i="24" s="1"/>
  <c r="AC882" i="24"/>
  <c r="AB882" i="24"/>
  <c r="R882" i="24"/>
  <c r="W882" i="24" l="1"/>
  <c r="AD882" i="24" s="1"/>
  <c r="Y882" i="24"/>
  <c r="AF882" i="24" s="1"/>
  <c r="X882" i="24"/>
  <c r="AE882" i="24" s="1"/>
  <c r="C883" i="24" l="1"/>
  <c r="H883" i="24"/>
  <c r="I883" i="24"/>
  <c r="D883" i="24"/>
  <c r="B883" i="24"/>
  <c r="G883" i="24"/>
  <c r="V883" i="24" l="1"/>
  <c r="U883" i="24"/>
  <c r="AG882" i="24"/>
  <c r="J883" i="24"/>
  <c r="E883" i="24"/>
  <c r="F883" i="24"/>
  <c r="L883" i="24" l="1"/>
  <c r="M883" i="24" s="1"/>
  <c r="P883" i="24"/>
  <c r="Q883" i="24" s="1"/>
  <c r="K883" i="24"/>
  <c r="O883" i="24"/>
  <c r="R883" i="24" l="1"/>
  <c r="S883" i="24"/>
  <c r="T883" i="24" s="1"/>
  <c r="AB883" i="24" s="1"/>
  <c r="AA883" i="24"/>
  <c r="AC883" i="24" l="1"/>
  <c r="W883" i="24"/>
  <c r="AD883" i="24" s="1"/>
  <c r="Y883" i="24"/>
  <c r="AF883" i="24" s="1"/>
  <c r="X883" i="24"/>
  <c r="AE883" i="24" s="1"/>
  <c r="C884" i="24" l="1"/>
  <c r="H884" i="24"/>
  <c r="D884" i="24"/>
  <c r="I884" i="24"/>
  <c r="G884" i="24"/>
  <c r="B884" i="24"/>
  <c r="E884" i="24" s="1"/>
  <c r="V884" i="24" l="1"/>
  <c r="U884" i="24"/>
  <c r="AG883" i="24"/>
  <c r="J884" i="24"/>
  <c r="F884" i="24"/>
  <c r="O884" i="24" l="1"/>
  <c r="K884" i="24"/>
  <c r="L884" i="24"/>
  <c r="M884" i="24" s="1"/>
  <c r="P884" i="24"/>
  <c r="Q884" i="24" s="1"/>
  <c r="S884" i="24" l="1"/>
  <c r="T884" i="24" s="1"/>
  <c r="AC884" i="24" s="1"/>
  <c r="AA884" i="24" l="1"/>
  <c r="AB884" i="24"/>
  <c r="R884" i="24"/>
  <c r="Y884" i="24" l="1"/>
  <c r="AF884" i="24" s="1"/>
  <c r="W884" i="24"/>
  <c r="AD884" i="24" s="1"/>
  <c r="X884" i="24"/>
  <c r="AE884" i="24" s="1"/>
  <c r="B885" i="24" l="1"/>
  <c r="G885" i="24"/>
  <c r="H885" i="24"/>
  <c r="C885" i="24"/>
  <c r="D885" i="24"/>
  <c r="I885" i="24"/>
  <c r="E885" i="24" l="1"/>
  <c r="F885" i="24"/>
  <c r="J885" i="24"/>
  <c r="O885" i="24" s="1"/>
  <c r="V885" i="24"/>
  <c r="U885" i="24"/>
  <c r="AG884" i="24"/>
  <c r="L885" i="24" l="1"/>
  <c r="M885" i="24" s="1"/>
  <c r="K885" i="24"/>
  <c r="P885" i="24"/>
  <c r="Q885" i="24" s="1"/>
  <c r="R885" i="24" l="1"/>
  <c r="S885" i="24"/>
  <c r="T885" i="24" s="1"/>
  <c r="AA885" i="24" s="1"/>
  <c r="AC885" i="24" l="1"/>
  <c r="AB885" i="24"/>
  <c r="W885" i="24"/>
  <c r="AD885" i="24" s="1"/>
  <c r="Y885" i="24"/>
  <c r="AF885" i="24" s="1"/>
  <c r="X885" i="24"/>
  <c r="AE885" i="24" l="1"/>
  <c r="D886" i="24"/>
  <c r="I886" i="24"/>
  <c r="G886" i="24"/>
  <c r="B886" i="24"/>
  <c r="C886" i="24"/>
  <c r="H886" i="24"/>
  <c r="E886" i="24" l="1"/>
  <c r="J886" i="24"/>
  <c r="F886" i="24"/>
  <c r="U886" i="24"/>
  <c r="V886" i="24"/>
  <c r="AG885" i="24"/>
  <c r="O886" i="24" l="1"/>
  <c r="P886" i="24"/>
  <c r="Q886" i="24" s="1"/>
  <c r="K886" i="24"/>
  <c r="L886" i="24"/>
  <c r="M886" i="24" s="1"/>
  <c r="S886" i="24" l="1"/>
  <c r="T886" i="24" s="1"/>
  <c r="AA886" i="24" s="1"/>
  <c r="AB886" i="24"/>
  <c r="AC886" i="24" l="1"/>
  <c r="R886" i="24"/>
  <c r="X886" i="24" l="1"/>
  <c r="AE886" i="24" s="1"/>
  <c r="W886" i="24"/>
  <c r="AD886" i="24" s="1"/>
  <c r="Y886" i="24"/>
  <c r="AF886" i="24" s="1"/>
  <c r="D887" i="24" l="1"/>
  <c r="I887" i="24"/>
  <c r="G887" i="24"/>
  <c r="B887" i="24"/>
  <c r="H887" i="24"/>
  <c r="C887" i="24"/>
  <c r="E887" i="24" l="1"/>
  <c r="F887" i="24"/>
  <c r="J887" i="24"/>
  <c r="O887" i="24" s="1"/>
  <c r="U887" i="24"/>
  <c r="V887" i="24"/>
  <c r="AG886" i="24"/>
  <c r="L887" i="24" l="1"/>
  <c r="M887" i="24" s="1"/>
  <c r="P887" i="24"/>
  <c r="Q887" i="24" s="1"/>
  <c r="K887" i="24"/>
  <c r="S887" i="24" l="1"/>
  <c r="T887" i="24" s="1"/>
  <c r="AB887" i="24" s="1"/>
  <c r="AC887" i="24" l="1"/>
  <c r="R887" i="24"/>
  <c r="AA887" i="24"/>
  <c r="X887" i="24" l="1"/>
  <c r="AE887" i="24" s="1"/>
  <c r="W887" i="24"/>
  <c r="AD887" i="24" s="1"/>
  <c r="Y887" i="24"/>
  <c r="AF887" i="24" s="1"/>
  <c r="D888" i="24" l="1"/>
  <c r="I888" i="24"/>
  <c r="G888" i="24"/>
  <c r="B888" i="24"/>
  <c r="H888" i="24"/>
  <c r="C888" i="24"/>
  <c r="F888" i="24" l="1"/>
  <c r="J888" i="24"/>
  <c r="E888" i="24"/>
  <c r="V888" i="24"/>
  <c r="U888" i="24"/>
  <c r="AG887" i="24"/>
  <c r="L888" i="24" l="1"/>
  <c r="M888" i="24" s="1"/>
  <c r="P888" i="24"/>
  <c r="Q888" i="24" s="1"/>
  <c r="K888" i="24"/>
  <c r="O888" i="24"/>
  <c r="S888" i="24" l="1"/>
  <c r="T888" i="24" s="1"/>
  <c r="AC888" i="24" s="1"/>
  <c r="AB888" i="24"/>
  <c r="AA888" i="24"/>
  <c r="R888" i="24" l="1"/>
  <c r="Y888" i="24" l="1"/>
  <c r="AF888" i="24" s="1"/>
  <c r="X888" i="24"/>
  <c r="AE888" i="24" s="1"/>
  <c r="W888" i="24"/>
  <c r="AD888" i="24" s="1"/>
  <c r="H889" i="24" l="1"/>
  <c r="C889" i="24"/>
  <c r="G889" i="24"/>
  <c r="B889" i="24"/>
  <c r="I889" i="24"/>
  <c r="D889" i="24"/>
  <c r="F889" i="24" l="1"/>
  <c r="E889" i="24"/>
  <c r="J889" i="24"/>
  <c r="V889" i="24"/>
  <c r="U889" i="24"/>
  <c r="AG888" i="24"/>
  <c r="O889" i="24" l="1"/>
  <c r="L889" i="24"/>
  <c r="M889" i="24" s="1"/>
  <c r="P889" i="24"/>
  <c r="Q889" i="24" s="1"/>
  <c r="K889" i="24"/>
  <c r="S889" i="24" l="1"/>
  <c r="T889" i="24" s="1"/>
  <c r="AA889" i="24" s="1"/>
  <c r="AC889" i="24"/>
  <c r="R889" i="24"/>
  <c r="AB889" i="24" l="1"/>
  <c r="X889" i="24"/>
  <c r="Y889" i="24"/>
  <c r="AF889" i="24" s="1"/>
  <c r="W889" i="24"/>
  <c r="AD889" i="24" s="1"/>
  <c r="AE889" i="24" l="1"/>
  <c r="D890" i="24"/>
  <c r="I890" i="24"/>
  <c r="G890" i="24"/>
  <c r="B890" i="24"/>
  <c r="H890" i="24"/>
  <c r="C890" i="24"/>
  <c r="J890" i="24" l="1"/>
  <c r="E890" i="24"/>
  <c r="F890" i="24"/>
  <c r="U890" i="24"/>
  <c r="V890" i="24"/>
  <c r="AG889" i="24"/>
  <c r="O890" i="24" l="1"/>
  <c r="L890" i="24"/>
  <c r="M890" i="24" s="1"/>
  <c r="P890" i="24"/>
  <c r="Q890" i="24" s="1"/>
  <c r="K890" i="24"/>
  <c r="R890" i="24" l="1"/>
  <c r="S890" i="24"/>
  <c r="T890" i="24" s="1"/>
  <c r="AA890" i="24" s="1"/>
  <c r="AC890" i="24" l="1"/>
  <c r="AB890" i="24"/>
  <c r="W890" i="24"/>
  <c r="AD890" i="24" s="1"/>
  <c r="X890" i="24"/>
  <c r="AE890" i="24" s="1"/>
  <c r="Y890" i="24"/>
  <c r="AF890" i="24" s="1"/>
  <c r="I891" i="24" l="1"/>
  <c r="D891" i="24"/>
  <c r="C891" i="24"/>
  <c r="H891" i="24"/>
  <c r="B891" i="24"/>
  <c r="G891" i="24"/>
  <c r="F891" i="24" l="1"/>
  <c r="J891" i="24"/>
  <c r="U891" i="24"/>
  <c r="V891" i="24"/>
  <c r="AG890" i="24"/>
  <c r="E891" i="24"/>
  <c r="O891" i="24" l="1"/>
  <c r="L891" i="24"/>
  <c r="M891" i="24" s="1"/>
  <c r="P891" i="24"/>
  <c r="Q891" i="24" s="1"/>
  <c r="K891" i="24"/>
  <c r="S891" i="24" l="1"/>
  <c r="T891" i="24" s="1"/>
  <c r="AB891" i="24"/>
  <c r="AA891" i="24"/>
  <c r="AC891" i="24"/>
  <c r="R891" i="24"/>
  <c r="X891" i="24" l="1"/>
  <c r="AE891" i="24" s="1"/>
  <c r="W891" i="24"/>
  <c r="AD891" i="24" s="1"/>
  <c r="Y891" i="24"/>
  <c r="AF891" i="24" s="1"/>
  <c r="G892" i="24" l="1"/>
  <c r="B892" i="24"/>
  <c r="E892" i="24" s="1"/>
  <c r="D892" i="24"/>
  <c r="I892" i="24"/>
  <c r="C892" i="24"/>
  <c r="H892" i="24"/>
  <c r="U892" i="24" l="1"/>
  <c r="V892" i="24"/>
  <c r="AG891" i="24"/>
  <c r="F892" i="24"/>
  <c r="J892" i="24"/>
  <c r="K892" i="24" l="1"/>
  <c r="L892" i="24"/>
  <c r="M892" i="24" s="1"/>
  <c r="P892" i="24"/>
  <c r="Q892" i="24" s="1"/>
  <c r="O892" i="24"/>
  <c r="S892" i="24" l="1"/>
  <c r="T892" i="24" s="1"/>
  <c r="AC892" i="24" s="1"/>
  <c r="AB892" i="24" l="1"/>
  <c r="AA892" i="24"/>
  <c r="R892" i="24"/>
  <c r="W892" i="24" l="1"/>
  <c r="AD892" i="24" s="1"/>
  <c r="Y892" i="24"/>
  <c r="AF892" i="24" s="1"/>
  <c r="X892" i="24"/>
  <c r="AE892" i="24" s="1"/>
  <c r="C893" i="24" l="1"/>
  <c r="H893" i="24"/>
  <c r="B893" i="24"/>
  <c r="G893" i="24"/>
  <c r="D893" i="24"/>
  <c r="I893" i="24"/>
  <c r="E893" i="24" l="1"/>
  <c r="J893" i="24"/>
  <c r="V893" i="24"/>
  <c r="U893" i="24"/>
  <c r="AG892" i="24"/>
  <c r="F893" i="24"/>
  <c r="O893" i="24" l="1"/>
  <c r="K893" i="24"/>
  <c r="P893" i="24"/>
  <c r="Q893" i="24" s="1"/>
  <c r="L893" i="24"/>
  <c r="M893" i="24" s="1"/>
  <c r="S893" i="24" l="1"/>
  <c r="T893" i="24" s="1"/>
  <c r="AA893" i="24" s="1"/>
  <c r="AB893" i="24"/>
  <c r="AC893" i="24" l="1"/>
  <c r="R893" i="24"/>
  <c r="X893" i="24" l="1"/>
  <c r="AE893" i="24" s="1"/>
  <c r="W893" i="24"/>
  <c r="AD893" i="24" s="1"/>
  <c r="Y893" i="24"/>
  <c r="AF893" i="24" s="1"/>
  <c r="D894" i="24" l="1"/>
  <c r="I894" i="24"/>
  <c r="B894" i="24"/>
  <c r="G894" i="24"/>
  <c r="C894" i="24"/>
  <c r="H894" i="24"/>
  <c r="J894" i="24" l="1"/>
  <c r="F894" i="24"/>
  <c r="E894" i="24"/>
  <c r="AG893" i="24"/>
  <c r="U894" i="24"/>
  <c r="V894" i="24"/>
  <c r="O894" i="24" l="1"/>
  <c r="L894" i="24"/>
  <c r="M894" i="24" s="1"/>
  <c r="P894" i="24"/>
  <c r="Q894" i="24" s="1"/>
  <c r="K894" i="24"/>
  <c r="S894" i="24" l="1"/>
  <c r="T894" i="24" s="1"/>
  <c r="AA894" i="24" s="1"/>
  <c r="AC894" i="24"/>
  <c r="AB894" i="24" l="1"/>
  <c r="R894" i="24"/>
  <c r="Y894" i="24" l="1"/>
  <c r="AF894" i="24" s="1"/>
  <c r="W894" i="24"/>
  <c r="AD894" i="24" s="1"/>
  <c r="X894" i="24"/>
  <c r="AE894" i="24" s="1"/>
  <c r="H895" i="24" l="1"/>
  <c r="C895" i="24"/>
  <c r="B895" i="24"/>
  <c r="G895" i="24"/>
  <c r="J895" i="24" s="1"/>
  <c r="I895" i="24"/>
  <c r="D895" i="24"/>
  <c r="L895" i="24" l="1"/>
  <c r="M895" i="24" s="1"/>
  <c r="K895" i="24"/>
  <c r="P895" i="24"/>
  <c r="Q895" i="24" s="1"/>
  <c r="E895" i="24"/>
  <c r="U895" i="24"/>
  <c r="V895" i="24"/>
  <c r="O895" i="24"/>
  <c r="AG894" i="24"/>
  <c r="F895" i="24"/>
  <c r="R895" i="24" l="1"/>
  <c r="S895" i="24"/>
  <c r="T895" i="24" s="1"/>
  <c r="AB895" i="24" s="1"/>
  <c r="AC895" i="24" l="1"/>
  <c r="AA895" i="24"/>
  <c r="X895" i="24"/>
  <c r="AE895" i="24" s="1"/>
  <c r="Y895" i="24"/>
  <c r="AF895" i="24" s="1"/>
  <c r="W895" i="24"/>
  <c r="D896" i="24" l="1"/>
  <c r="I896" i="24"/>
  <c r="C896" i="24"/>
  <c r="H896" i="24"/>
  <c r="AD895" i="24"/>
  <c r="G896" i="24" l="1"/>
  <c r="J896" i="24" s="1"/>
  <c r="B896" i="24"/>
  <c r="U896" i="24"/>
  <c r="V896" i="24"/>
  <c r="AG895" i="24"/>
  <c r="L896" i="24" l="1"/>
  <c r="M896" i="24" s="1"/>
  <c r="P896" i="24"/>
  <c r="Q896" i="24" s="1"/>
  <c r="K896" i="24"/>
  <c r="O896" i="24"/>
  <c r="F896" i="24"/>
  <c r="E896" i="24"/>
  <c r="S896" i="24" l="1"/>
  <c r="T896" i="24" s="1"/>
  <c r="AC896" i="24" s="1"/>
  <c r="AA896" i="24"/>
  <c r="AB896" i="24"/>
  <c r="R896" i="24" l="1"/>
  <c r="Y896" i="24" s="1"/>
  <c r="AF896" i="24" s="1"/>
  <c r="X896" i="24"/>
  <c r="AE896" i="24" s="1"/>
  <c r="W896" i="24" l="1"/>
  <c r="AD896" i="24" s="1"/>
  <c r="G897" i="24"/>
  <c r="B897" i="24"/>
  <c r="C897" i="24"/>
  <c r="F897" i="24" s="1"/>
  <c r="H897" i="24"/>
  <c r="D897" i="24"/>
  <c r="I897" i="24"/>
  <c r="E897" i="24" l="1"/>
  <c r="V897" i="24"/>
  <c r="U897" i="24"/>
  <c r="AG896" i="24"/>
  <c r="J897" i="24"/>
  <c r="L897" i="24" l="1"/>
  <c r="M897" i="24" s="1"/>
  <c r="P897" i="24"/>
  <c r="Q897" i="24" s="1"/>
  <c r="R897" i="24" s="1"/>
  <c r="K897" i="24"/>
  <c r="O897" i="24"/>
  <c r="S897" i="24" s="1"/>
  <c r="T897" i="24" s="1"/>
  <c r="AA897" i="24" s="1"/>
  <c r="X897" i="24" l="1"/>
  <c r="W897" i="24"/>
  <c r="AD897" i="24" s="1"/>
  <c r="Y897" i="24"/>
  <c r="AC897" i="24"/>
  <c r="AB897" i="24"/>
  <c r="AF897" i="24" l="1"/>
  <c r="B898" i="24"/>
  <c r="G898" i="24"/>
  <c r="AE897" i="24"/>
  <c r="C898" i="24" l="1"/>
  <c r="F898" i="24" s="1"/>
  <c r="H898" i="24"/>
  <c r="I898" i="24"/>
  <c r="D898" i="24"/>
  <c r="E898" i="24" l="1"/>
  <c r="U898" i="24"/>
  <c r="V898" i="24"/>
  <c r="AG897" i="24"/>
  <c r="J898" i="24"/>
  <c r="O898" i="24" s="1"/>
  <c r="L898" i="24" l="1"/>
  <c r="M898" i="24" s="1"/>
  <c r="K898" i="24"/>
  <c r="P898" i="24"/>
  <c r="Q898" i="24" s="1"/>
  <c r="S898" i="24" l="1"/>
  <c r="T898" i="24" s="1"/>
  <c r="AA898" i="24" s="1"/>
  <c r="R898" i="24" l="1"/>
  <c r="X898" i="24" s="1"/>
  <c r="Y898" i="24"/>
  <c r="AC898" i="24"/>
  <c r="AB898" i="24"/>
  <c r="W898" i="24" l="1"/>
  <c r="AD898" i="24" s="1"/>
  <c r="G899" i="24" s="1"/>
  <c r="AF898" i="24"/>
  <c r="B899" i="24"/>
  <c r="AE898" i="24"/>
  <c r="H899" i="24" l="1"/>
  <c r="C899" i="24"/>
  <c r="D899" i="24"/>
  <c r="I899" i="24"/>
  <c r="J899" i="24" l="1"/>
  <c r="U899" i="24"/>
  <c r="V899" i="24"/>
  <c r="AG898" i="24"/>
  <c r="F899" i="24"/>
  <c r="E899" i="24"/>
  <c r="O899" i="24" l="1"/>
  <c r="L899" i="24"/>
  <c r="M899" i="24" s="1"/>
  <c r="P899" i="24"/>
  <c r="Q899" i="24" s="1"/>
  <c r="K899" i="24"/>
  <c r="S899" i="24" l="1"/>
  <c r="T899" i="24" s="1"/>
  <c r="AB899" i="24" s="1"/>
  <c r="AC899" i="24"/>
  <c r="AA899" i="24"/>
  <c r="R899" i="24" l="1"/>
  <c r="Y899" i="24" s="1"/>
  <c r="AF899" i="24" s="1"/>
  <c r="W899" i="24" l="1"/>
  <c r="AD899" i="24" s="1"/>
  <c r="X899" i="24"/>
  <c r="AE899" i="24" s="1"/>
  <c r="H900" i="24"/>
  <c r="C900" i="24"/>
  <c r="B900" i="24"/>
  <c r="G900" i="24"/>
  <c r="D900" i="24"/>
  <c r="I900" i="24"/>
  <c r="E900" i="24" l="1"/>
  <c r="J900" i="24"/>
  <c r="F900" i="24"/>
  <c r="U900" i="24"/>
  <c r="V900" i="24"/>
  <c r="AG899" i="24"/>
  <c r="O900" i="24" l="1"/>
  <c r="L900" i="24"/>
  <c r="M900" i="24" s="1"/>
  <c r="P900" i="24"/>
  <c r="Q900" i="24" s="1"/>
  <c r="K900" i="24"/>
  <c r="S900" i="24" l="1"/>
  <c r="T900" i="24" s="1"/>
  <c r="AA900" i="24" s="1"/>
  <c r="AC900" i="24" l="1"/>
  <c r="AB900" i="24"/>
  <c r="R900" i="24"/>
  <c r="Y900" i="24" l="1"/>
  <c r="AF900" i="24" s="1"/>
  <c r="W900" i="24"/>
  <c r="AD900" i="24" s="1"/>
  <c r="X900" i="24"/>
  <c r="AE900" i="24" s="1"/>
  <c r="C901" i="24" l="1"/>
  <c r="H901" i="24"/>
  <c r="B901" i="24"/>
  <c r="G901" i="24"/>
  <c r="I901" i="24"/>
  <c r="D901" i="24"/>
  <c r="J901" i="24" l="1"/>
  <c r="U901" i="24"/>
  <c r="V901" i="24"/>
  <c r="O901" i="24"/>
  <c r="AG900" i="24"/>
  <c r="E901" i="24"/>
  <c r="F901" i="24"/>
  <c r="L901" i="24" l="1"/>
  <c r="M901" i="24" s="1"/>
  <c r="P901" i="24"/>
  <c r="Q901" i="24" s="1"/>
  <c r="K901" i="24"/>
  <c r="S901" i="24" l="1"/>
  <c r="T901" i="24" s="1"/>
  <c r="AA901" i="24" s="1"/>
  <c r="AC901" i="24"/>
  <c r="AB901" i="24"/>
  <c r="R901" i="24" l="1"/>
  <c r="X901" i="24" s="1"/>
  <c r="AE901" i="24" s="1"/>
  <c r="Y901" i="24" l="1"/>
  <c r="AF901" i="24" s="1"/>
  <c r="D902" i="24" s="1"/>
  <c r="W901" i="24"/>
  <c r="AD901" i="24" s="1"/>
  <c r="G902" i="24" s="1"/>
  <c r="C902" i="24"/>
  <c r="H902" i="24"/>
  <c r="I902" i="24" l="1"/>
  <c r="B902" i="24"/>
  <c r="E902" i="24"/>
  <c r="U902" i="24"/>
  <c r="V902" i="24"/>
  <c r="O902" i="24"/>
  <c r="AG901" i="24"/>
  <c r="F902" i="24"/>
  <c r="J902" i="24"/>
  <c r="L902" i="24" l="1"/>
  <c r="M902" i="24" s="1"/>
  <c r="P902" i="24"/>
  <c r="Q902" i="24" s="1"/>
  <c r="K902" i="24"/>
  <c r="R902" i="24" l="1"/>
  <c r="S902" i="24"/>
  <c r="T902" i="24" s="1"/>
  <c r="AA902" i="24" s="1"/>
  <c r="AC902" i="24" l="1"/>
  <c r="AB902" i="24"/>
  <c r="Y902" i="24"/>
  <c r="AF902" i="24" s="1"/>
  <c r="W902" i="24"/>
  <c r="AD902" i="24" s="1"/>
  <c r="X902" i="24"/>
  <c r="AE902" i="24" s="1"/>
  <c r="H903" i="24" l="1"/>
  <c r="C903" i="24"/>
  <c r="G903" i="24"/>
  <c r="B903" i="24"/>
  <c r="I903" i="24"/>
  <c r="D903" i="24"/>
  <c r="V903" i="24" l="1"/>
  <c r="U903" i="24"/>
  <c r="AG902" i="24"/>
  <c r="E903" i="24"/>
  <c r="J903" i="24"/>
  <c r="F903" i="24"/>
  <c r="O903" i="24" l="1"/>
  <c r="L903" i="24"/>
  <c r="M903" i="24" s="1"/>
  <c r="P903" i="24"/>
  <c r="Q903" i="24" s="1"/>
  <c r="K903" i="24"/>
  <c r="S903" i="24" l="1"/>
  <c r="T903" i="24" s="1"/>
  <c r="AB903" i="24" s="1"/>
  <c r="AC903" i="24" l="1"/>
  <c r="AA903" i="24"/>
  <c r="R903" i="24"/>
  <c r="Y903" i="24" l="1"/>
  <c r="AF903" i="24" s="1"/>
  <c r="W903" i="24"/>
  <c r="AD903" i="24" s="1"/>
  <c r="X903" i="24"/>
  <c r="AE903" i="24" s="1"/>
  <c r="H904" i="24" l="1"/>
  <c r="C904" i="24"/>
  <c r="G904" i="24"/>
  <c r="B904" i="24"/>
  <c r="I904" i="24"/>
  <c r="D904" i="24"/>
  <c r="E904" i="24" l="1"/>
  <c r="U904" i="24"/>
  <c r="V904" i="24"/>
  <c r="AG903" i="24"/>
  <c r="F904" i="24"/>
  <c r="J904" i="24"/>
  <c r="P904" i="24" l="1"/>
  <c r="Q904" i="24" s="1"/>
  <c r="K904" i="24"/>
  <c r="L904" i="24"/>
  <c r="M904" i="24" s="1"/>
  <c r="O904" i="24"/>
  <c r="S904" i="24" l="1"/>
  <c r="T904" i="24" s="1"/>
  <c r="AC904" i="24" s="1"/>
  <c r="AB904" i="24"/>
  <c r="AA904" i="24"/>
  <c r="R904" i="24"/>
  <c r="Y904" i="24" l="1"/>
  <c r="AF904" i="24" s="1"/>
  <c r="X904" i="24"/>
  <c r="AE904" i="24" s="1"/>
  <c r="W904" i="24"/>
  <c r="AD904" i="24" s="1"/>
  <c r="C905" i="24" l="1"/>
  <c r="H905" i="24"/>
  <c r="B905" i="24"/>
  <c r="G905" i="24"/>
  <c r="I905" i="24"/>
  <c r="D905" i="24"/>
  <c r="E905" i="24" l="1"/>
  <c r="J905" i="24"/>
  <c r="V905" i="24"/>
  <c r="U905" i="24"/>
  <c r="AG904" i="24"/>
  <c r="F905" i="24"/>
  <c r="O905" i="24" l="1"/>
  <c r="P905" i="24"/>
  <c r="Q905" i="24" s="1"/>
  <c r="K905" i="24"/>
  <c r="L905" i="24"/>
  <c r="M905" i="24" s="1"/>
  <c r="S905" i="24" l="1"/>
  <c r="T905" i="24" s="1"/>
  <c r="AB905" i="24" s="1"/>
  <c r="AC905" i="24"/>
  <c r="R905" i="24"/>
  <c r="AA905" i="24" l="1"/>
  <c r="X905" i="24"/>
  <c r="AE905" i="24" s="1"/>
  <c r="Y905" i="24"/>
  <c r="AF905" i="24" s="1"/>
  <c r="W905" i="24"/>
  <c r="AD905" i="24" s="1"/>
  <c r="B906" i="24" l="1"/>
  <c r="G906" i="24"/>
  <c r="D906" i="24"/>
  <c r="I906" i="24"/>
  <c r="C906" i="24"/>
  <c r="H906" i="24"/>
  <c r="V906" i="24" l="1"/>
  <c r="U906" i="24"/>
  <c r="AG905" i="24"/>
  <c r="J906" i="24"/>
  <c r="F906" i="24"/>
  <c r="E906" i="24"/>
  <c r="O906" i="24" l="1"/>
  <c r="P906" i="24"/>
  <c r="Q906" i="24" s="1"/>
  <c r="K906" i="24"/>
  <c r="L906" i="24"/>
  <c r="M906" i="24" s="1"/>
  <c r="S906" i="24" l="1"/>
  <c r="T906" i="24" s="1"/>
  <c r="AA906" i="24" s="1"/>
  <c r="AC906" i="24" l="1"/>
  <c r="AB906" i="24"/>
  <c r="R906" i="24"/>
  <c r="Y906" i="24" l="1"/>
  <c r="AF906" i="24" s="1"/>
  <c r="W906" i="24"/>
  <c r="AD906" i="24" s="1"/>
  <c r="X906" i="24"/>
  <c r="AE906" i="24" s="1"/>
  <c r="H907" i="24" l="1"/>
  <c r="C907" i="24"/>
  <c r="G907" i="24"/>
  <c r="B907" i="24"/>
  <c r="I907" i="24"/>
  <c r="D907" i="24"/>
  <c r="J907" i="24" l="1"/>
  <c r="U907" i="24"/>
  <c r="V907" i="24"/>
  <c r="O907" i="24"/>
  <c r="AG906" i="24"/>
  <c r="F907" i="24"/>
  <c r="E907" i="24"/>
  <c r="P907" i="24" l="1"/>
  <c r="Q907" i="24" s="1"/>
  <c r="K907" i="24"/>
  <c r="L907" i="24"/>
  <c r="M907" i="24" s="1"/>
  <c r="S907" i="24" l="1"/>
  <c r="T907" i="24" s="1"/>
  <c r="AB907" i="24" s="1"/>
  <c r="AC907" i="24"/>
  <c r="AA907" i="24"/>
  <c r="R907" i="24"/>
  <c r="X907" i="24" l="1"/>
  <c r="AE907" i="24" s="1"/>
  <c r="Y907" i="24"/>
  <c r="AF907" i="24" s="1"/>
  <c r="W907" i="24"/>
  <c r="AD907" i="24" s="1"/>
  <c r="I908" i="24" l="1"/>
  <c r="D908" i="24"/>
  <c r="B908" i="24"/>
  <c r="G908" i="24"/>
  <c r="C908" i="24"/>
  <c r="H908" i="24"/>
  <c r="J908" i="24" l="1"/>
  <c r="V908" i="24"/>
  <c r="U908" i="24"/>
  <c r="O908" i="24"/>
  <c r="AG907" i="24"/>
  <c r="E908" i="24"/>
  <c r="F908" i="24"/>
  <c r="P908" i="24" l="1"/>
  <c r="Q908" i="24" s="1"/>
  <c r="L908" i="24"/>
  <c r="M908" i="24" s="1"/>
  <c r="K908" i="24"/>
  <c r="S908" i="24" l="1"/>
  <c r="T908" i="24" s="1"/>
  <c r="AC908" i="24" s="1"/>
  <c r="R908" i="24"/>
  <c r="X908" i="24" l="1"/>
  <c r="W908" i="24"/>
  <c r="Y908" i="24"/>
  <c r="AF908" i="24" s="1"/>
  <c r="AA908" i="24"/>
  <c r="AB908" i="24"/>
  <c r="AD908" i="24" l="1"/>
  <c r="G909" i="24"/>
  <c r="B909" i="24"/>
  <c r="D909" i="24"/>
  <c r="I909" i="24"/>
  <c r="AE908" i="24"/>
  <c r="U909" i="24" l="1"/>
  <c r="V909" i="24"/>
  <c r="AG908" i="24"/>
  <c r="E909" i="24"/>
  <c r="C909" i="24"/>
  <c r="H909" i="24"/>
  <c r="J909" i="24"/>
  <c r="O909" i="24" s="1"/>
  <c r="K909" i="24" l="1"/>
  <c r="L909" i="24"/>
  <c r="M909" i="24" s="1"/>
  <c r="P909" i="24"/>
  <c r="Q909" i="24" s="1"/>
  <c r="F909" i="24"/>
  <c r="S909" i="24" l="1"/>
  <c r="T909" i="24" s="1"/>
  <c r="AA909" i="24" s="1"/>
  <c r="AB909" i="24"/>
  <c r="AC909" i="24"/>
  <c r="R909" i="24" l="1"/>
  <c r="Y909" i="24" l="1"/>
  <c r="AF909" i="24" s="1"/>
  <c r="X909" i="24"/>
  <c r="AE909" i="24" s="1"/>
  <c r="W909" i="24"/>
  <c r="AD909" i="24" s="1"/>
  <c r="B910" i="24" l="1"/>
  <c r="G910" i="24"/>
  <c r="C910" i="24"/>
  <c r="H910" i="24"/>
  <c r="I910" i="24"/>
  <c r="D910" i="24"/>
  <c r="F910" i="24" l="1"/>
  <c r="U910" i="24"/>
  <c r="V910" i="24"/>
  <c r="AG909" i="24"/>
  <c r="J910" i="24"/>
  <c r="E910" i="24"/>
  <c r="O910" i="24" l="1"/>
  <c r="K910" i="24"/>
  <c r="L910" i="24"/>
  <c r="M910" i="24" s="1"/>
  <c r="P910" i="24"/>
  <c r="Q910" i="24" s="1"/>
  <c r="S910" i="24" l="1"/>
  <c r="T910" i="24" s="1"/>
  <c r="AC910" i="24" s="1"/>
  <c r="AA910" i="24"/>
  <c r="AB910" i="24"/>
  <c r="R910" i="24" l="1"/>
  <c r="X910" i="24" s="1"/>
  <c r="AE910" i="24" s="1"/>
  <c r="W910" i="24"/>
  <c r="AD910" i="24" s="1"/>
  <c r="Y910" i="24" l="1"/>
  <c r="AF910" i="24" s="1"/>
  <c r="D911" i="24" s="1"/>
  <c r="I911" i="24"/>
  <c r="B911" i="24"/>
  <c r="G911" i="24"/>
  <c r="C911" i="24"/>
  <c r="H911" i="24"/>
  <c r="E911" i="24" l="1"/>
  <c r="J911" i="24"/>
  <c r="F911" i="24"/>
  <c r="U911" i="24"/>
  <c r="V911" i="24"/>
  <c r="AG910" i="24"/>
  <c r="O911" i="24" l="1"/>
  <c r="K911" i="24"/>
  <c r="L911" i="24"/>
  <c r="M911" i="24" s="1"/>
  <c r="P911" i="24"/>
  <c r="Q911" i="24" s="1"/>
  <c r="S911" i="24" l="1"/>
  <c r="T911" i="24" s="1"/>
  <c r="AB911" i="24" s="1"/>
  <c r="AC911" i="24" l="1"/>
  <c r="AA911" i="24"/>
  <c r="R911" i="24"/>
  <c r="Y911" i="24" l="1"/>
  <c r="AF911" i="24" s="1"/>
  <c r="W911" i="24"/>
  <c r="AD911" i="24" s="1"/>
  <c r="X911" i="24"/>
  <c r="AE911" i="24" s="1"/>
  <c r="G912" i="24" l="1"/>
  <c r="B912" i="24"/>
  <c r="H912" i="24"/>
  <c r="C912" i="24"/>
  <c r="D912" i="24"/>
  <c r="I912" i="24"/>
  <c r="E912" i="24" l="1"/>
  <c r="F912" i="24"/>
  <c r="V912" i="24"/>
  <c r="U912" i="24"/>
  <c r="AG911" i="24"/>
  <c r="J912" i="24"/>
  <c r="O912" i="24" l="1"/>
  <c r="K912" i="24"/>
  <c r="P912" i="24"/>
  <c r="Q912" i="24" s="1"/>
  <c r="L912" i="24"/>
  <c r="M912" i="24" s="1"/>
  <c r="S912" i="24" l="1"/>
  <c r="T912" i="24" s="1"/>
  <c r="AC912" i="24" s="1"/>
  <c r="AA912" i="24"/>
  <c r="R912" i="24"/>
  <c r="X912" i="24" l="1"/>
  <c r="W912" i="24"/>
  <c r="AD912" i="24" s="1"/>
  <c r="Y912" i="24"/>
  <c r="AF912" i="24" s="1"/>
  <c r="AB912" i="24"/>
  <c r="D913" i="24" l="1"/>
  <c r="I913" i="24"/>
  <c r="G913" i="24"/>
  <c r="B913" i="24"/>
  <c r="AE912" i="24"/>
  <c r="H913" i="24" l="1"/>
  <c r="J913" i="24" s="1"/>
  <c r="C913" i="24"/>
  <c r="V913" i="24"/>
  <c r="U913" i="24"/>
  <c r="AG912" i="24"/>
  <c r="F913" i="24" l="1"/>
  <c r="O913" i="24"/>
  <c r="L913" i="24"/>
  <c r="M913" i="24" s="1"/>
  <c r="K913" i="24"/>
  <c r="P913" i="24"/>
  <c r="Q913" i="24" s="1"/>
  <c r="E913" i="24"/>
  <c r="S913" i="24" l="1"/>
  <c r="T913" i="24" s="1"/>
  <c r="AA913" i="24" s="1"/>
  <c r="AC913" i="24"/>
  <c r="AB913" i="24"/>
  <c r="R913" i="24"/>
  <c r="W913" i="24" l="1"/>
  <c r="AD913" i="24" s="1"/>
  <c r="Y913" i="24"/>
  <c r="AF913" i="24" s="1"/>
  <c r="X913" i="24"/>
  <c r="AE913" i="24" s="1"/>
  <c r="I914" i="24" l="1"/>
  <c r="D914" i="24"/>
  <c r="C914" i="24"/>
  <c r="H914" i="24"/>
  <c r="B914" i="24"/>
  <c r="G914" i="24"/>
  <c r="F914" i="24" l="1"/>
  <c r="J914" i="24"/>
  <c r="U914" i="24"/>
  <c r="V914" i="24"/>
  <c r="AG913" i="24"/>
  <c r="E914" i="24"/>
  <c r="O914" i="24" l="1"/>
  <c r="P914" i="24"/>
  <c r="Q914" i="24" s="1"/>
  <c r="K914" i="24"/>
  <c r="L914" i="24"/>
  <c r="M914" i="24" s="1"/>
  <c r="S914" i="24" l="1"/>
  <c r="T914" i="24" s="1"/>
  <c r="AA914" i="24" s="1"/>
  <c r="AB914" i="24"/>
  <c r="AC914" i="24" l="1"/>
  <c r="R914" i="24"/>
  <c r="Y914" i="24" l="1"/>
  <c r="AF914" i="24" s="1"/>
  <c r="X914" i="24"/>
  <c r="AE914" i="24" s="1"/>
  <c r="W914" i="24"/>
  <c r="AD914" i="24" s="1"/>
  <c r="C915" i="24" l="1"/>
  <c r="H915" i="24"/>
  <c r="G915" i="24"/>
  <c r="B915" i="24"/>
  <c r="I915" i="24"/>
  <c r="D915" i="24"/>
  <c r="E915" i="24" l="1"/>
  <c r="J915" i="24"/>
  <c r="U915" i="24"/>
  <c r="V915" i="24"/>
  <c r="AG914" i="24"/>
  <c r="F915" i="24"/>
  <c r="O915" i="24" l="1"/>
  <c r="P915" i="24"/>
  <c r="Q915" i="24" s="1"/>
  <c r="K915" i="24"/>
  <c r="L915" i="24"/>
  <c r="M915" i="24" s="1"/>
  <c r="S915" i="24" l="1"/>
  <c r="T915" i="24" s="1"/>
  <c r="AB915" i="24" s="1"/>
  <c r="AA915" i="24" l="1"/>
  <c r="AC915" i="24"/>
  <c r="R915" i="24"/>
  <c r="X915" i="24" l="1"/>
  <c r="AE915" i="24" s="1"/>
  <c r="Y915" i="24"/>
  <c r="AF915" i="24" s="1"/>
  <c r="W915" i="24"/>
  <c r="AD915" i="24" s="1"/>
  <c r="I916" i="24" l="1"/>
  <c r="D916" i="24"/>
  <c r="B916" i="24"/>
  <c r="G916" i="24"/>
  <c r="H916" i="24"/>
  <c r="C916" i="24"/>
  <c r="U916" i="24" l="1"/>
  <c r="V916" i="24"/>
  <c r="O916" i="24"/>
  <c r="AG915" i="24"/>
  <c r="J916" i="24"/>
  <c r="E916" i="24"/>
  <c r="F916" i="24"/>
  <c r="P916" i="24" l="1"/>
  <c r="Q916" i="24" s="1"/>
  <c r="K916" i="24"/>
  <c r="L916" i="24"/>
  <c r="M916" i="24" s="1"/>
  <c r="S916" i="24" l="1"/>
  <c r="T916" i="24" s="1"/>
  <c r="AC916" i="24" s="1"/>
  <c r="R916" i="24"/>
  <c r="AB916" i="24" l="1"/>
  <c r="AA916" i="24"/>
  <c r="Y916" i="24"/>
  <c r="AF916" i="24" s="1"/>
  <c r="X916" i="24"/>
  <c r="AE916" i="24" s="1"/>
  <c r="W916" i="24"/>
  <c r="AD916" i="24" l="1"/>
  <c r="H917" i="24"/>
  <c r="C917" i="24"/>
  <c r="B917" i="24"/>
  <c r="G917" i="24"/>
  <c r="I917" i="24"/>
  <c r="D917" i="24"/>
  <c r="J917" i="24" l="1"/>
  <c r="F917" i="24"/>
  <c r="E917" i="24"/>
  <c r="U917" i="24"/>
  <c r="V917" i="24"/>
  <c r="O917" i="24"/>
  <c r="AG916" i="24"/>
  <c r="L917" i="24" l="1"/>
  <c r="M917" i="24" s="1"/>
  <c r="K917" i="24"/>
  <c r="P917" i="24"/>
  <c r="Q917" i="24" s="1"/>
  <c r="S917" i="24" l="1"/>
  <c r="T917" i="24" s="1"/>
  <c r="AA917" i="24" s="1"/>
  <c r="AC917" i="24"/>
  <c r="AB917" i="24"/>
  <c r="R917" i="24" l="1"/>
  <c r="X917" i="24" l="1"/>
  <c r="AE917" i="24" s="1"/>
  <c r="W917" i="24"/>
  <c r="AD917" i="24" s="1"/>
  <c r="Y917" i="24"/>
  <c r="AF917" i="24" s="1"/>
  <c r="G918" i="24" l="1"/>
  <c r="B918" i="24"/>
  <c r="I918" i="24"/>
  <c r="D918" i="24"/>
  <c r="H918" i="24"/>
  <c r="C918" i="24"/>
  <c r="U918" i="24" l="1"/>
  <c r="V918" i="24"/>
  <c r="AG917" i="24"/>
  <c r="E918" i="24"/>
  <c r="F918" i="24"/>
  <c r="J918" i="24"/>
  <c r="O918" i="24" s="1"/>
  <c r="K918" i="24" l="1"/>
  <c r="L918" i="24"/>
  <c r="M918" i="24" s="1"/>
  <c r="P918" i="24"/>
  <c r="Q918" i="24" s="1"/>
  <c r="S918" i="24" l="1"/>
  <c r="T918" i="24" s="1"/>
  <c r="AA918" i="24" s="1"/>
  <c r="AB918" i="24"/>
  <c r="AC918" i="24"/>
  <c r="R918" i="24"/>
  <c r="Y918" i="24" l="1"/>
  <c r="AF918" i="24" s="1"/>
  <c r="X918" i="24"/>
  <c r="AE918" i="24" s="1"/>
  <c r="W918" i="24"/>
  <c r="AD918" i="24" s="1"/>
  <c r="H919" i="24" l="1"/>
  <c r="C919" i="24"/>
  <c r="G919" i="24"/>
  <c r="B919" i="24"/>
  <c r="I919" i="24"/>
  <c r="D919" i="24"/>
  <c r="E919" i="24" l="1"/>
  <c r="U919" i="24"/>
  <c r="V919" i="24"/>
  <c r="AG918" i="24"/>
  <c r="J919" i="24"/>
  <c r="F919" i="24"/>
  <c r="O919" i="24" l="1"/>
  <c r="K919" i="24"/>
  <c r="L919" i="24"/>
  <c r="M919" i="24" s="1"/>
  <c r="P919" i="24"/>
  <c r="Q919" i="24" s="1"/>
  <c r="S919" i="24" l="1"/>
  <c r="T919" i="24" s="1"/>
  <c r="AB919" i="24" s="1"/>
  <c r="AC919" i="24"/>
  <c r="AA919" i="24"/>
  <c r="R919" i="24"/>
  <c r="X919" i="24" l="1"/>
  <c r="AE919" i="24" s="1"/>
  <c r="Y919" i="24"/>
  <c r="AF919" i="24" s="1"/>
  <c r="W919" i="24"/>
  <c r="AD919" i="24" s="1"/>
  <c r="G920" i="24" l="1"/>
  <c r="B920" i="24"/>
  <c r="D920" i="24"/>
  <c r="I920" i="24"/>
  <c r="H920" i="24"/>
  <c r="C920" i="24"/>
  <c r="V920" i="24" l="1"/>
  <c r="U920" i="24"/>
  <c r="AG919" i="24"/>
  <c r="F920" i="24"/>
  <c r="E920" i="24"/>
  <c r="J920" i="24"/>
  <c r="O920" i="24" s="1"/>
  <c r="P920" i="24" l="1"/>
  <c r="Q920" i="24" s="1"/>
  <c r="K920" i="24"/>
  <c r="L920" i="24"/>
  <c r="M920" i="24" s="1"/>
  <c r="S920" i="24" l="1"/>
  <c r="T920" i="24" s="1"/>
  <c r="AC920" i="24" s="1"/>
  <c r="AA920" i="24"/>
  <c r="AB920" i="24"/>
  <c r="R920" i="24"/>
  <c r="X920" i="24" l="1"/>
  <c r="AE920" i="24" s="1"/>
  <c r="W920" i="24"/>
  <c r="AD920" i="24" s="1"/>
  <c r="Y920" i="24"/>
  <c r="AF920" i="24" s="1"/>
  <c r="I921" i="24" l="1"/>
  <c r="D921" i="24"/>
  <c r="G921" i="24"/>
  <c r="B921" i="24"/>
  <c r="C921" i="24"/>
  <c r="H921" i="24"/>
  <c r="E921" i="24" l="1"/>
  <c r="J921" i="24"/>
  <c r="O921" i="24" s="1"/>
  <c r="U921" i="24"/>
  <c r="V921" i="24"/>
  <c r="AG920" i="24"/>
  <c r="F921" i="24"/>
  <c r="K921" i="24" l="1"/>
  <c r="P921" i="24"/>
  <c r="Q921" i="24" s="1"/>
  <c r="L921" i="24"/>
  <c r="M921" i="24" s="1"/>
  <c r="R921" i="24" l="1"/>
  <c r="S921" i="24"/>
  <c r="T921" i="24" s="1"/>
  <c r="AA921" i="24" s="1"/>
  <c r="AC921" i="24"/>
  <c r="AB921" i="24"/>
  <c r="X921" i="24" l="1"/>
  <c r="AE921" i="24" s="1"/>
  <c r="Y921" i="24"/>
  <c r="AF921" i="24" s="1"/>
  <c r="W921" i="24"/>
  <c r="AD921" i="24" s="1"/>
  <c r="D922" i="24" l="1"/>
  <c r="I922" i="24"/>
  <c r="B922" i="24"/>
  <c r="G922" i="24"/>
  <c r="H922" i="24"/>
  <c r="C922" i="24"/>
  <c r="J922" i="24" l="1"/>
  <c r="E922" i="24"/>
  <c r="F922" i="24"/>
  <c r="V922" i="24"/>
  <c r="U922" i="24"/>
  <c r="AG921" i="24"/>
  <c r="O922" i="24" l="1"/>
  <c r="K922" i="24"/>
  <c r="P922" i="24"/>
  <c r="Q922" i="24" s="1"/>
  <c r="L922" i="24"/>
  <c r="M922" i="24" s="1"/>
  <c r="S922" i="24" l="1"/>
  <c r="T922" i="24" s="1"/>
  <c r="AA922" i="24" s="1"/>
  <c r="AC922" i="24" l="1"/>
  <c r="AB922" i="24"/>
  <c r="R922" i="24"/>
  <c r="W922" i="24" l="1"/>
  <c r="AD922" i="24" s="1"/>
  <c r="X922" i="24"/>
  <c r="AE922" i="24" s="1"/>
  <c r="Y922" i="24"/>
  <c r="AF922" i="24" s="1"/>
  <c r="I923" i="24" l="1"/>
  <c r="D923" i="24"/>
  <c r="C923" i="24"/>
  <c r="H923" i="24"/>
  <c r="G923" i="24"/>
  <c r="B923" i="24"/>
  <c r="F923" i="24" l="1"/>
  <c r="E923" i="24"/>
  <c r="U923" i="24"/>
  <c r="V923" i="24"/>
  <c r="AG922" i="24"/>
  <c r="J923" i="24"/>
  <c r="O923" i="24" s="1"/>
  <c r="K923" i="24" l="1"/>
  <c r="L923" i="24"/>
  <c r="M923" i="24" s="1"/>
  <c r="P923" i="24"/>
  <c r="Q923" i="24" s="1"/>
  <c r="S923" i="24" l="1"/>
  <c r="T923" i="24" s="1"/>
  <c r="AB923" i="24" s="1"/>
  <c r="AC923" i="24"/>
  <c r="R923" i="24"/>
  <c r="AA923" i="24" l="1"/>
  <c r="X923" i="24"/>
  <c r="AE923" i="24" s="1"/>
  <c r="W923" i="24"/>
  <c r="AD923" i="24" s="1"/>
  <c r="Y923" i="24"/>
  <c r="AF923" i="24" s="1"/>
  <c r="D924" i="24" l="1"/>
  <c r="I924" i="24"/>
  <c r="B924" i="24"/>
  <c r="G924" i="24"/>
  <c r="J924" i="24" s="1"/>
  <c r="H924" i="24"/>
  <c r="C924" i="24"/>
  <c r="E924" i="24" l="1"/>
  <c r="F924" i="24"/>
  <c r="O924" i="24"/>
  <c r="K924" i="24"/>
  <c r="L924" i="24"/>
  <c r="M924" i="24" s="1"/>
  <c r="P924" i="24"/>
  <c r="Q924" i="24" s="1"/>
  <c r="V924" i="24"/>
  <c r="U924" i="24"/>
  <c r="AG923" i="24"/>
  <c r="S924" i="24" l="1"/>
  <c r="T924" i="24" s="1"/>
  <c r="AC924" i="24" s="1"/>
  <c r="AB924" i="24" l="1"/>
  <c r="AA924" i="24"/>
  <c r="R924" i="24"/>
  <c r="Y924" i="24" l="1"/>
  <c r="AF924" i="24" s="1"/>
  <c r="W924" i="24"/>
  <c r="AD924" i="24" s="1"/>
  <c r="X924" i="24"/>
  <c r="AE924" i="24" s="1"/>
  <c r="G925" i="24" l="1"/>
  <c r="B925" i="24"/>
  <c r="H925" i="24"/>
  <c r="C925" i="24"/>
  <c r="I925" i="24"/>
  <c r="D925" i="24"/>
  <c r="U925" i="24" l="1"/>
  <c r="V925" i="24"/>
  <c r="AG924" i="24"/>
  <c r="E925" i="24"/>
  <c r="F925" i="24"/>
  <c r="J925" i="24"/>
  <c r="O925" i="24" s="1"/>
  <c r="L925" i="24" l="1"/>
  <c r="M925" i="24" s="1"/>
  <c r="P925" i="24"/>
  <c r="Q925" i="24" s="1"/>
  <c r="K925" i="24"/>
  <c r="S925" i="24" l="1"/>
  <c r="T925" i="24" s="1"/>
  <c r="AA925" i="24" s="1"/>
  <c r="AC925" i="24" l="1"/>
  <c r="AB925" i="24"/>
  <c r="R925" i="24"/>
  <c r="X925" i="24" l="1"/>
  <c r="AE925" i="24" s="1"/>
  <c r="Y925" i="24"/>
  <c r="AF925" i="24" s="1"/>
  <c r="W925" i="24"/>
  <c r="AD925" i="24" s="1"/>
  <c r="B926" i="24" l="1"/>
  <c r="G926" i="24"/>
  <c r="D926" i="24"/>
  <c r="I926" i="24"/>
  <c r="H926" i="24"/>
  <c r="C926" i="24"/>
  <c r="U926" i="24" l="1"/>
  <c r="V926" i="24"/>
  <c r="AG925" i="24"/>
  <c r="F926" i="24"/>
  <c r="J926" i="24"/>
  <c r="E926" i="24"/>
  <c r="O926" i="24" l="1"/>
  <c r="L926" i="24"/>
  <c r="M926" i="24" s="1"/>
  <c r="P926" i="24"/>
  <c r="Q926" i="24" s="1"/>
  <c r="K926" i="24"/>
  <c r="S926" i="24" l="1"/>
  <c r="T926" i="24" s="1"/>
  <c r="AC926" i="24" s="1"/>
  <c r="AB926" i="24" l="1"/>
  <c r="R926" i="24"/>
  <c r="W926" i="24" s="1"/>
  <c r="AA926" i="24"/>
  <c r="Y926" i="24"/>
  <c r="AF926" i="24" s="1"/>
  <c r="AD926" i="24" l="1"/>
  <c r="X926" i="24"/>
  <c r="AE926" i="24" s="1"/>
  <c r="H927" i="24" s="1"/>
  <c r="B927" i="24"/>
  <c r="G927" i="24"/>
  <c r="I927" i="24"/>
  <c r="D927" i="24"/>
  <c r="C927" i="24" l="1"/>
  <c r="J927" i="24"/>
  <c r="P927" i="24" s="1"/>
  <c r="Q927" i="24" s="1"/>
  <c r="O927" i="24"/>
  <c r="E927" i="24"/>
  <c r="U927" i="24"/>
  <c r="V927" i="24"/>
  <c r="AG926" i="24"/>
  <c r="F927" i="24"/>
  <c r="K927" i="24" l="1"/>
  <c r="L927" i="24"/>
  <c r="M927" i="24" s="1"/>
  <c r="S927" i="24" s="1"/>
  <c r="T927" i="24" l="1"/>
  <c r="AC927" i="24" s="1"/>
  <c r="R927" i="24"/>
  <c r="X927" i="24" s="1"/>
  <c r="AE927" i="24" s="1"/>
  <c r="AB927" i="24"/>
  <c r="AA927" i="24"/>
  <c r="Y927" i="24"/>
  <c r="AF927" i="24" s="1"/>
  <c r="W927" i="24"/>
  <c r="AD927" i="24" l="1"/>
  <c r="G928" i="24"/>
  <c r="B928" i="24"/>
  <c r="C928" i="24"/>
  <c r="H928" i="24"/>
  <c r="D928" i="24"/>
  <c r="I928" i="24"/>
  <c r="F928" i="24" l="1"/>
  <c r="E928" i="24"/>
  <c r="V928" i="24"/>
  <c r="U928" i="24"/>
  <c r="AG927" i="24"/>
  <c r="J928" i="24"/>
  <c r="O928" i="24" s="1"/>
  <c r="L928" i="24" l="1"/>
  <c r="M928" i="24" s="1"/>
  <c r="P928" i="24"/>
  <c r="Q928" i="24" s="1"/>
  <c r="K928" i="24"/>
  <c r="S928" i="24" l="1"/>
  <c r="T928" i="24" s="1"/>
  <c r="AC928" i="24" s="1"/>
  <c r="AB928" i="24" l="1"/>
  <c r="AA928" i="24"/>
  <c r="R928" i="24"/>
  <c r="W928" i="24" l="1"/>
  <c r="AD928" i="24" s="1"/>
  <c r="X928" i="24"/>
  <c r="AE928" i="24" s="1"/>
  <c r="Y928" i="24"/>
  <c r="AF928" i="24" s="1"/>
  <c r="D929" i="24" l="1"/>
  <c r="I929" i="24"/>
  <c r="C929" i="24"/>
  <c r="H929" i="24"/>
  <c r="G929" i="24"/>
  <c r="B929" i="24"/>
  <c r="F929" i="24" l="1"/>
  <c r="E929" i="24"/>
  <c r="J929" i="24"/>
  <c r="O929" i="24" s="1"/>
  <c r="U929" i="24"/>
  <c r="V929" i="24"/>
  <c r="AG928" i="24"/>
  <c r="L929" i="24" l="1"/>
  <c r="M929" i="24" s="1"/>
  <c r="P929" i="24"/>
  <c r="Q929" i="24" s="1"/>
  <c r="R929" i="24" s="1"/>
  <c r="K929" i="24"/>
  <c r="S929" i="24"/>
  <c r="T929" i="24" s="1"/>
  <c r="AA929" i="24" s="1"/>
  <c r="X929" i="24" l="1"/>
  <c r="W929" i="24"/>
  <c r="AD929" i="24" s="1"/>
  <c r="Y929" i="24"/>
  <c r="AC929" i="24"/>
  <c r="AB929" i="24"/>
  <c r="G930" i="24" l="1"/>
  <c r="B930" i="24"/>
  <c r="AF929" i="24"/>
  <c r="AE929" i="24"/>
  <c r="H930" i="24" l="1"/>
  <c r="C930" i="24"/>
  <c r="E930" i="24" s="1"/>
  <c r="I930" i="24"/>
  <c r="J930" i="24" s="1"/>
  <c r="D930" i="24"/>
  <c r="O930" i="24" l="1"/>
  <c r="P930" i="24"/>
  <c r="Q930" i="24" s="1"/>
  <c r="K930" i="24"/>
  <c r="L930" i="24"/>
  <c r="M930" i="24" s="1"/>
  <c r="F930" i="24"/>
  <c r="U930" i="24"/>
  <c r="V930" i="24"/>
  <c r="AG929" i="24"/>
  <c r="S930" i="24" l="1"/>
  <c r="T930" i="24" s="1"/>
  <c r="AA930" i="24" s="1"/>
  <c r="AC930" i="24" l="1"/>
  <c r="AB930" i="24"/>
  <c r="R930" i="24"/>
  <c r="Y930" i="24" l="1"/>
  <c r="AF930" i="24" s="1"/>
  <c r="W930" i="24"/>
  <c r="AD930" i="24" s="1"/>
  <c r="X930" i="24"/>
  <c r="AE930" i="24" s="1"/>
  <c r="H931" i="24" l="1"/>
  <c r="C931" i="24"/>
  <c r="B931" i="24"/>
  <c r="G931" i="24"/>
  <c r="I931" i="24"/>
  <c r="D931" i="24"/>
  <c r="J931" i="24" l="1"/>
  <c r="E931" i="24"/>
  <c r="V931" i="24"/>
  <c r="U931" i="24"/>
  <c r="O931" i="24"/>
  <c r="AG930" i="24"/>
  <c r="F931" i="24"/>
  <c r="L931" i="24" l="1"/>
  <c r="M931" i="24" s="1"/>
  <c r="P931" i="24"/>
  <c r="Q931" i="24" s="1"/>
  <c r="K931" i="24"/>
  <c r="R931" i="24" l="1"/>
  <c r="S931" i="24"/>
  <c r="T931" i="24" s="1"/>
  <c r="AB931" i="24" s="1"/>
  <c r="AA931" i="24"/>
  <c r="AC931" i="24" l="1"/>
  <c r="X931" i="24"/>
  <c r="AE931" i="24" s="1"/>
  <c r="Y931" i="24"/>
  <c r="AF931" i="24" s="1"/>
  <c r="W931" i="24"/>
  <c r="AD931" i="24" s="1"/>
  <c r="G932" i="24" l="1"/>
  <c r="B932" i="24"/>
  <c r="I932" i="24"/>
  <c r="D932" i="24"/>
  <c r="H932" i="24"/>
  <c r="C932" i="24"/>
  <c r="U932" i="24" l="1"/>
  <c r="V932" i="24"/>
  <c r="AG931" i="24"/>
  <c r="E932" i="24"/>
  <c r="F932" i="24"/>
  <c r="J932" i="24"/>
  <c r="O932" i="24" s="1"/>
  <c r="K932" i="24" l="1"/>
  <c r="L932" i="24"/>
  <c r="M932" i="24" s="1"/>
  <c r="P932" i="24"/>
  <c r="Q932" i="24" s="1"/>
  <c r="S932" i="24" l="1"/>
  <c r="T932" i="24" s="1"/>
  <c r="AC932" i="24" s="1"/>
  <c r="R932" i="24" l="1"/>
  <c r="AA932" i="24"/>
  <c r="AB932" i="24"/>
  <c r="X932" i="24" l="1"/>
  <c r="AE932" i="24" s="1"/>
  <c r="W932" i="24"/>
  <c r="AD932" i="24" s="1"/>
  <c r="Y932" i="24"/>
  <c r="AF932" i="24" s="1"/>
  <c r="B933" i="24" l="1"/>
  <c r="G933" i="24"/>
  <c r="I933" i="24"/>
  <c r="D933" i="24"/>
  <c r="C933" i="24"/>
  <c r="H933" i="24"/>
  <c r="J933" i="24" l="1"/>
  <c r="V933" i="24"/>
  <c r="U933" i="24"/>
  <c r="O933" i="24"/>
  <c r="AG932" i="24"/>
  <c r="F933" i="24"/>
  <c r="E933" i="24"/>
  <c r="K933" i="24" l="1"/>
  <c r="P933" i="24"/>
  <c r="Q933" i="24" s="1"/>
  <c r="L933" i="24"/>
  <c r="M933" i="24" s="1"/>
  <c r="S933" i="24" l="1"/>
  <c r="T933" i="24" s="1"/>
  <c r="AA933" i="24" s="1"/>
  <c r="AB933" i="24"/>
  <c r="R933" i="24"/>
  <c r="AC933" i="24" l="1"/>
  <c r="X933" i="24"/>
  <c r="AE933" i="24" s="1"/>
  <c r="Y933" i="24"/>
  <c r="AF933" i="24" s="1"/>
  <c r="W933" i="24"/>
  <c r="AD933" i="24" s="1"/>
  <c r="B934" i="24" l="1"/>
  <c r="G934" i="24"/>
  <c r="I934" i="24"/>
  <c r="D934" i="24"/>
  <c r="H934" i="24"/>
  <c r="C934" i="24"/>
  <c r="U934" i="24" l="1"/>
  <c r="V934" i="24"/>
  <c r="AG933" i="24"/>
  <c r="F934" i="24"/>
  <c r="J934" i="24"/>
  <c r="E934" i="24"/>
  <c r="O934" i="24" l="1"/>
  <c r="L934" i="24"/>
  <c r="M934" i="24" s="1"/>
  <c r="P934" i="24"/>
  <c r="Q934" i="24" s="1"/>
  <c r="K934" i="24"/>
  <c r="S934" i="24" l="1"/>
  <c r="T934" i="24" s="1"/>
  <c r="AA934" i="24" s="1"/>
  <c r="AC934" i="24" l="1"/>
  <c r="AB934" i="24"/>
  <c r="R934" i="24"/>
  <c r="W934" i="24" l="1"/>
  <c r="AD934" i="24" s="1"/>
  <c r="X934" i="24"/>
  <c r="AE934" i="24" s="1"/>
  <c r="Y934" i="24"/>
  <c r="AF934" i="24" s="1"/>
  <c r="H935" i="24" l="1"/>
  <c r="C935" i="24"/>
  <c r="I935" i="24"/>
  <c r="D935" i="24"/>
  <c r="B935" i="24"/>
  <c r="G935" i="24"/>
  <c r="U935" i="24" l="1"/>
  <c r="V935" i="24"/>
  <c r="AG934" i="24"/>
  <c r="J935" i="24"/>
  <c r="F935" i="24"/>
  <c r="E935" i="24"/>
  <c r="O935" i="24" l="1"/>
  <c r="P935" i="24"/>
  <c r="Q935" i="24" s="1"/>
  <c r="K935" i="24"/>
  <c r="L935" i="24"/>
  <c r="M935" i="24" s="1"/>
  <c r="R935" i="24" l="1"/>
  <c r="S935" i="24"/>
  <c r="T935" i="24" s="1"/>
  <c r="AB935" i="24" s="1"/>
  <c r="AA935" i="24"/>
  <c r="AC935" i="24" l="1"/>
  <c r="Y935" i="24"/>
  <c r="AF935" i="24" s="1"/>
  <c r="X935" i="24"/>
  <c r="AE935" i="24" s="1"/>
  <c r="W935" i="24"/>
  <c r="AD935" i="24" s="1"/>
  <c r="G936" i="24" l="1"/>
  <c r="B936" i="24"/>
  <c r="H936" i="24"/>
  <c r="C936" i="24"/>
  <c r="I936" i="24"/>
  <c r="D936" i="24"/>
  <c r="F936" i="24" l="1"/>
  <c r="V936" i="24"/>
  <c r="U936" i="24"/>
  <c r="AG935" i="24"/>
  <c r="E936" i="24"/>
  <c r="J936" i="24"/>
  <c r="O936" i="24" l="1"/>
  <c r="P936" i="24"/>
  <c r="Q936" i="24" s="1"/>
  <c r="K936" i="24"/>
  <c r="L936" i="24"/>
  <c r="M936" i="24" s="1"/>
  <c r="S936" i="24" l="1"/>
  <c r="T936" i="24" s="1"/>
  <c r="AC936" i="24" s="1"/>
  <c r="AB936" i="24" l="1"/>
  <c r="AA936" i="24"/>
  <c r="R936" i="24"/>
  <c r="Y936" i="24" l="1"/>
  <c r="AF936" i="24" s="1"/>
  <c r="X936" i="24"/>
  <c r="AE936" i="24" s="1"/>
  <c r="W936" i="24"/>
  <c r="AD936" i="24" s="1"/>
  <c r="G937" i="24" l="1"/>
  <c r="B937" i="24"/>
  <c r="H937" i="24"/>
  <c r="C937" i="24"/>
  <c r="D937" i="24"/>
  <c r="I937" i="24"/>
  <c r="F937" i="24" l="1"/>
  <c r="E937" i="24"/>
  <c r="U937" i="24"/>
  <c r="V937" i="24"/>
  <c r="AG936" i="24"/>
  <c r="J937" i="24"/>
  <c r="O937" i="24" l="1"/>
  <c r="K937" i="24"/>
  <c r="L937" i="24"/>
  <c r="M937" i="24" s="1"/>
  <c r="P937" i="24"/>
  <c r="Q937" i="24" s="1"/>
  <c r="S937" i="24" l="1"/>
  <c r="T937" i="24" s="1"/>
  <c r="AA937" i="24" s="1"/>
  <c r="AB937" i="24" l="1"/>
  <c r="AC937" i="24"/>
  <c r="R937" i="24"/>
  <c r="X937" i="24" l="1"/>
  <c r="AE937" i="24" s="1"/>
  <c r="Y937" i="24"/>
  <c r="AF937" i="24" s="1"/>
  <c r="W937" i="24"/>
  <c r="AD937" i="24" s="1"/>
  <c r="B938" i="24" l="1"/>
  <c r="G938" i="24"/>
  <c r="D938" i="24"/>
  <c r="I938" i="24"/>
  <c r="H938" i="24"/>
  <c r="C938" i="24"/>
  <c r="V938" i="24" l="1"/>
  <c r="U938" i="24"/>
  <c r="AG937" i="24"/>
  <c r="J938" i="24"/>
  <c r="O938" i="24" s="1"/>
  <c r="F938" i="24"/>
  <c r="E938" i="24"/>
  <c r="L938" i="24" l="1"/>
  <c r="M938" i="24" s="1"/>
  <c r="P938" i="24"/>
  <c r="Q938" i="24" s="1"/>
  <c r="K938" i="24"/>
  <c r="S938" i="24" l="1"/>
  <c r="T938" i="24" s="1"/>
  <c r="AA938" i="24" s="1"/>
  <c r="AC938" i="24"/>
  <c r="AB938" i="24" l="1"/>
  <c r="R938" i="24"/>
  <c r="X938" i="24" l="1"/>
  <c r="AE938" i="24" s="1"/>
  <c r="W938" i="24"/>
  <c r="AD938" i="24" s="1"/>
  <c r="Y938" i="24"/>
  <c r="AF938" i="24" s="1"/>
  <c r="I939" i="24" l="1"/>
  <c r="D939" i="24"/>
  <c r="B939" i="24"/>
  <c r="G939" i="24"/>
  <c r="J939" i="24" s="1"/>
  <c r="C939" i="24"/>
  <c r="H939" i="24"/>
  <c r="O939" i="24" l="1"/>
  <c r="K939" i="24"/>
  <c r="P939" i="24"/>
  <c r="Q939" i="24" s="1"/>
  <c r="L939" i="24"/>
  <c r="M939" i="24" s="1"/>
  <c r="E939" i="24"/>
  <c r="V939" i="24"/>
  <c r="U939" i="24"/>
  <c r="AG938" i="24"/>
  <c r="F939" i="24"/>
  <c r="S939" i="24" l="1"/>
  <c r="T939" i="24" s="1"/>
  <c r="AB939" i="24" s="1"/>
  <c r="AA939" i="24"/>
  <c r="R939" i="24"/>
  <c r="AC939" i="24" l="1"/>
  <c r="X939" i="24"/>
  <c r="AE939" i="24" s="1"/>
  <c r="W939" i="24"/>
  <c r="AD939" i="24" s="1"/>
  <c r="Y939" i="24"/>
  <c r="AF939" i="24" s="1"/>
  <c r="G940" i="24" l="1"/>
  <c r="B940" i="24"/>
  <c r="I940" i="24"/>
  <c r="D940" i="24"/>
  <c r="C940" i="24"/>
  <c r="H940" i="24"/>
  <c r="E940" i="24" l="1"/>
  <c r="AG939" i="24"/>
  <c r="V940" i="24"/>
  <c r="U940" i="24"/>
  <c r="J940" i="24"/>
  <c r="F940" i="24"/>
  <c r="L940" i="24" l="1"/>
  <c r="M940" i="24" s="1"/>
  <c r="K940" i="24"/>
  <c r="P940" i="24"/>
  <c r="Q940" i="24" s="1"/>
  <c r="R940" i="24" s="1"/>
  <c r="O940" i="24"/>
  <c r="S940" i="24" s="1"/>
  <c r="T940" i="24" s="1"/>
  <c r="AC940" i="24" s="1"/>
  <c r="X940" i="24" l="1"/>
  <c r="Y940" i="24"/>
  <c r="AF940" i="24" s="1"/>
  <c r="W940" i="24"/>
  <c r="AB940" i="24"/>
  <c r="AA940" i="24"/>
  <c r="AD940" i="24" l="1"/>
  <c r="G941" i="24"/>
  <c r="B941" i="24"/>
  <c r="I941" i="24"/>
  <c r="D941" i="24"/>
  <c r="AE940" i="24"/>
  <c r="U941" i="24" l="1"/>
  <c r="V941" i="24"/>
  <c r="AG940" i="24"/>
  <c r="H941" i="24"/>
  <c r="J941" i="24" s="1"/>
  <c r="C941" i="24"/>
  <c r="P941" i="24" l="1"/>
  <c r="Q941" i="24" s="1"/>
  <c r="K941" i="24"/>
  <c r="L941" i="24"/>
  <c r="M941" i="24" s="1"/>
  <c r="F941" i="24"/>
  <c r="E941" i="24"/>
  <c r="O941" i="24"/>
  <c r="S941" i="24" l="1"/>
  <c r="T941" i="24" s="1"/>
  <c r="AA941" i="24" s="1"/>
  <c r="AC941" i="24"/>
  <c r="AB941" i="24"/>
  <c r="R941" i="24"/>
  <c r="X941" i="24" l="1"/>
  <c r="AE941" i="24" s="1"/>
  <c r="W941" i="24"/>
  <c r="AD941" i="24" s="1"/>
  <c r="Y941" i="24"/>
  <c r="AF941" i="24" s="1"/>
  <c r="G942" i="24" l="1"/>
  <c r="B942" i="24"/>
  <c r="I942" i="24"/>
  <c r="D942" i="24"/>
  <c r="C942" i="24"/>
  <c r="H942" i="24"/>
  <c r="U942" i="24" l="1"/>
  <c r="V942" i="24"/>
  <c r="AG941" i="24"/>
  <c r="E942" i="24"/>
  <c r="F942" i="24"/>
  <c r="J942" i="24"/>
  <c r="O942" i="24" l="1"/>
  <c r="P942" i="24"/>
  <c r="Q942" i="24" s="1"/>
  <c r="K942" i="24"/>
  <c r="L942" i="24"/>
  <c r="M942" i="24" s="1"/>
  <c r="S942" i="24" l="1"/>
  <c r="T942" i="24" s="1"/>
  <c r="AB942" i="24" s="1"/>
  <c r="AA942" i="24" l="1"/>
  <c r="AC942" i="24"/>
  <c r="R942" i="24"/>
  <c r="Y942" i="24" l="1"/>
  <c r="AF942" i="24" s="1"/>
  <c r="W942" i="24"/>
  <c r="AD942" i="24" s="1"/>
  <c r="X942" i="24"/>
  <c r="AE942" i="24" s="1"/>
  <c r="H943" i="24" l="1"/>
  <c r="C943" i="24"/>
  <c r="G943" i="24"/>
  <c r="B943" i="24"/>
  <c r="I943" i="24"/>
  <c r="D943" i="24"/>
  <c r="J943" i="24" l="1"/>
  <c r="F943" i="24"/>
  <c r="E943" i="24"/>
  <c r="U943" i="24"/>
  <c r="V943" i="24"/>
  <c r="AG942" i="24"/>
  <c r="O943" i="24" l="1"/>
  <c r="P943" i="24"/>
  <c r="Q943" i="24" s="1"/>
  <c r="L943" i="24"/>
  <c r="M943" i="24" s="1"/>
  <c r="K943" i="24"/>
  <c r="S943" i="24" l="1"/>
  <c r="T943" i="24" s="1"/>
  <c r="AB943" i="24" s="1"/>
  <c r="AC943" i="24" l="1"/>
  <c r="AA943" i="24"/>
  <c r="R943" i="24"/>
  <c r="X943" i="24" l="1"/>
  <c r="AE943" i="24" s="1"/>
  <c r="W943" i="24"/>
  <c r="AD943" i="24" s="1"/>
  <c r="Y943" i="24"/>
  <c r="AF943" i="24" s="1"/>
  <c r="D944" i="24" l="1"/>
  <c r="I944" i="24"/>
  <c r="G944" i="24"/>
  <c r="B944" i="24"/>
  <c r="E944" i="24" s="1"/>
  <c r="H944" i="24"/>
  <c r="C944" i="24"/>
  <c r="F944" i="24" l="1"/>
  <c r="J944" i="24"/>
  <c r="O944" i="24" s="1"/>
  <c r="U944" i="24"/>
  <c r="V944" i="24"/>
  <c r="AG943" i="24"/>
  <c r="P944" i="24" l="1"/>
  <c r="Q944" i="24" s="1"/>
  <c r="K944" i="24"/>
  <c r="L944" i="24"/>
  <c r="M944" i="24" s="1"/>
  <c r="S944" i="24" l="1"/>
  <c r="T944" i="24" s="1"/>
  <c r="AC944" i="24" s="1"/>
  <c r="R944" i="24"/>
  <c r="AB944" i="24" l="1"/>
  <c r="AA944" i="24"/>
  <c r="X944" i="24"/>
  <c r="AE944" i="24" s="1"/>
  <c r="Y944" i="24"/>
  <c r="AF944" i="24" s="1"/>
  <c r="W944" i="24"/>
  <c r="AD944" i="24" l="1"/>
  <c r="B945" i="24"/>
  <c r="G945" i="24"/>
  <c r="D945" i="24"/>
  <c r="I945" i="24"/>
  <c r="C945" i="24"/>
  <c r="H945" i="24"/>
  <c r="U945" i="24" l="1"/>
  <c r="V945" i="24"/>
  <c r="AG944" i="24"/>
  <c r="J945" i="24"/>
  <c r="F945" i="24"/>
  <c r="E945" i="24"/>
  <c r="O945" i="24" l="1"/>
  <c r="P945" i="24"/>
  <c r="Q945" i="24" s="1"/>
  <c r="K945" i="24"/>
  <c r="L945" i="24"/>
  <c r="M945" i="24" s="1"/>
  <c r="S945" i="24" l="1"/>
  <c r="T945" i="24" s="1"/>
  <c r="AB945" i="24"/>
  <c r="AA945" i="24"/>
  <c r="AC945" i="24"/>
  <c r="R945" i="24"/>
  <c r="X945" i="24" l="1"/>
  <c r="AE945" i="24" s="1"/>
  <c r="Y945" i="24"/>
  <c r="AF945" i="24" s="1"/>
  <c r="W945" i="24"/>
  <c r="AD945" i="24" s="1"/>
  <c r="G946" i="24" l="1"/>
  <c r="B946" i="24"/>
  <c r="I946" i="24"/>
  <c r="D946" i="24"/>
  <c r="H946" i="24"/>
  <c r="C946" i="24"/>
  <c r="V946" i="24" l="1"/>
  <c r="U946" i="24"/>
  <c r="AG945" i="24"/>
  <c r="F946" i="24"/>
  <c r="E946" i="24"/>
  <c r="J946" i="24"/>
  <c r="O946" i="24" l="1"/>
  <c r="L946" i="24"/>
  <c r="M946" i="24" s="1"/>
  <c r="K946" i="24"/>
  <c r="P946" i="24"/>
  <c r="Q946" i="24" s="1"/>
  <c r="S946" i="24" l="1"/>
  <c r="T946" i="24" s="1"/>
  <c r="AA946" i="24" s="1"/>
  <c r="AB946" i="24"/>
  <c r="R946" i="24"/>
  <c r="AC946" i="24" l="1"/>
  <c r="Y946" i="24"/>
  <c r="AF946" i="24" s="1"/>
  <c r="X946" i="24"/>
  <c r="AE946" i="24" s="1"/>
  <c r="W946" i="24"/>
  <c r="AD946" i="24" s="1"/>
  <c r="I947" i="24" l="1"/>
  <c r="D947" i="24"/>
  <c r="B947" i="24"/>
  <c r="G947" i="24"/>
  <c r="H947" i="24"/>
  <c r="C947" i="24"/>
  <c r="J947" i="24" l="1"/>
  <c r="E947" i="24"/>
  <c r="F947" i="24"/>
  <c r="U947" i="24"/>
  <c r="V947" i="24"/>
  <c r="AG946" i="24"/>
  <c r="O947" i="24" l="1"/>
  <c r="L947" i="24"/>
  <c r="M947" i="24" s="1"/>
  <c r="P947" i="24"/>
  <c r="Q947" i="24" s="1"/>
  <c r="K947" i="24"/>
  <c r="S947" i="24" l="1"/>
  <c r="T947" i="24" s="1"/>
  <c r="AA947" i="24" s="1"/>
  <c r="AC947" i="24"/>
  <c r="R947" i="24"/>
  <c r="AB947" i="24" l="1"/>
  <c r="X947" i="24"/>
  <c r="Y947" i="24"/>
  <c r="AF947" i="24" s="1"/>
  <c r="W947" i="24"/>
  <c r="AD947" i="24" s="1"/>
  <c r="G948" i="24" l="1"/>
  <c r="B948" i="24"/>
  <c r="D948" i="24"/>
  <c r="I948" i="24"/>
  <c r="AE947" i="24"/>
  <c r="U948" i="24" l="1"/>
  <c r="V948" i="24"/>
  <c r="AG947" i="24"/>
  <c r="C948" i="24"/>
  <c r="H948" i="24"/>
  <c r="E948" i="24" l="1"/>
  <c r="F948" i="24"/>
  <c r="J948" i="24"/>
  <c r="L948" i="24" l="1"/>
  <c r="M948" i="24" s="1"/>
  <c r="K948" i="24"/>
  <c r="P948" i="24"/>
  <c r="Q948" i="24" s="1"/>
  <c r="R948" i="24" s="1"/>
  <c r="O948" i="24"/>
  <c r="S948" i="24" s="1"/>
  <c r="T948" i="24" s="1"/>
  <c r="AC948" i="24" s="1"/>
  <c r="W948" i="24" l="1"/>
  <c r="Y948" i="24"/>
  <c r="AF948" i="24" s="1"/>
  <c r="X948" i="24"/>
  <c r="AB948" i="24"/>
  <c r="AA948" i="24"/>
  <c r="AE948" i="24" l="1"/>
  <c r="D949" i="24"/>
  <c r="I949" i="24"/>
  <c r="AD948" i="24"/>
  <c r="B949" i="24" l="1"/>
  <c r="G949" i="24"/>
  <c r="V949" i="24"/>
  <c r="U949" i="24"/>
  <c r="AG948" i="24"/>
  <c r="C949" i="24"/>
  <c r="H949" i="24"/>
  <c r="J949" i="24" l="1"/>
  <c r="F949" i="24"/>
  <c r="E949" i="24"/>
  <c r="O949" i="24" l="1"/>
  <c r="P949" i="24"/>
  <c r="Q949" i="24" s="1"/>
  <c r="L949" i="24"/>
  <c r="M949" i="24" s="1"/>
  <c r="K949" i="24"/>
  <c r="S949" i="24" l="1"/>
  <c r="T949" i="24" s="1"/>
  <c r="AA949" i="24" s="1"/>
  <c r="R949" i="24"/>
  <c r="AB949" i="24" l="1"/>
  <c r="W949" i="24"/>
  <c r="AD949" i="24" s="1"/>
  <c r="X949" i="24"/>
  <c r="AE949" i="24" s="1"/>
  <c r="Y949" i="24"/>
  <c r="AC949" i="24"/>
  <c r="AF949" i="24" l="1"/>
  <c r="C950" i="24"/>
  <c r="H950" i="24"/>
  <c r="B950" i="24"/>
  <c r="G950" i="24"/>
  <c r="E950" i="24" l="1"/>
  <c r="F950" i="24"/>
  <c r="J950" i="24"/>
  <c r="D950" i="24"/>
  <c r="I950" i="24"/>
  <c r="O950" i="24" l="1"/>
  <c r="P950" i="24"/>
  <c r="Q950" i="24" s="1"/>
  <c r="L950" i="24"/>
  <c r="M950" i="24" s="1"/>
  <c r="K950" i="24"/>
  <c r="U950" i="24"/>
  <c r="V950" i="24"/>
  <c r="AG949" i="24"/>
  <c r="S950" i="24" l="1"/>
  <c r="T950" i="24" s="1"/>
  <c r="AB950" i="24" s="1"/>
  <c r="AC950" i="24"/>
  <c r="AA950" i="24"/>
  <c r="R950" i="24" l="1"/>
  <c r="W950" i="24" l="1"/>
  <c r="AD950" i="24" s="1"/>
  <c r="X950" i="24"/>
  <c r="AE950" i="24" s="1"/>
  <c r="Y950" i="24"/>
  <c r="AF950" i="24" s="1"/>
  <c r="H951" i="24" l="1"/>
  <c r="C951" i="24"/>
  <c r="I951" i="24"/>
  <c r="D951" i="24"/>
  <c r="B951" i="24"/>
  <c r="G951" i="24"/>
  <c r="V951" i="24" l="1"/>
  <c r="U951" i="24"/>
  <c r="AG950" i="24"/>
  <c r="J951" i="24"/>
  <c r="F951" i="24"/>
  <c r="E951" i="24"/>
  <c r="O951" i="24" l="1"/>
  <c r="L951" i="24"/>
  <c r="M951" i="24" s="1"/>
  <c r="K951" i="24"/>
  <c r="P951" i="24"/>
  <c r="Q951" i="24" s="1"/>
  <c r="S951" i="24" l="1"/>
  <c r="T951" i="24" s="1"/>
  <c r="AA951" i="24" s="1"/>
  <c r="R951" i="24"/>
  <c r="AB951" i="24" l="1"/>
  <c r="AC951" i="24"/>
  <c r="X951" i="24"/>
  <c r="AE951" i="24" s="1"/>
  <c r="Y951" i="24"/>
  <c r="AF951" i="24" s="1"/>
  <c r="W951" i="24"/>
  <c r="AD951" i="24" s="1"/>
  <c r="B952" i="24" l="1"/>
  <c r="G952" i="24"/>
  <c r="I952" i="24"/>
  <c r="D952" i="24"/>
  <c r="H952" i="24"/>
  <c r="C952" i="24"/>
  <c r="V952" i="24" l="1"/>
  <c r="U952" i="24"/>
  <c r="AG951" i="24"/>
  <c r="J952" i="24"/>
  <c r="F952" i="24"/>
  <c r="E952" i="24"/>
  <c r="L952" i="24" l="1"/>
  <c r="M952" i="24" s="1"/>
  <c r="K952" i="24"/>
  <c r="P952" i="24"/>
  <c r="Q952" i="24" s="1"/>
  <c r="O952" i="24"/>
  <c r="S952" i="24" s="1"/>
  <c r="T952" i="24" s="1"/>
  <c r="AC952" i="24" s="1"/>
  <c r="R952" i="24" l="1"/>
  <c r="AB952" i="24"/>
  <c r="AA952" i="24"/>
  <c r="W952" i="24" l="1"/>
  <c r="AD952" i="24" s="1"/>
  <c r="X952" i="24"/>
  <c r="AE952" i="24" s="1"/>
  <c r="Y952" i="24"/>
  <c r="AF952" i="24" s="1"/>
  <c r="D953" i="24" l="1"/>
  <c r="I953" i="24"/>
  <c r="H953" i="24"/>
  <c r="C953" i="24"/>
  <c r="G953" i="24"/>
  <c r="B953" i="24"/>
  <c r="F953" i="24" l="1"/>
  <c r="E953" i="24"/>
  <c r="J953" i="24"/>
  <c r="O953" i="24" s="1"/>
  <c r="U953" i="24"/>
  <c r="V953" i="24"/>
  <c r="AG952" i="24"/>
  <c r="K953" i="24" l="1"/>
  <c r="P953" i="24"/>
  <c r="Q953" i="24" s="1"/>
  <c r="L953" i="24"/>
  <c r="M953" i="24" s="1"/>
  <c r="S953" i="24" l="1"/>
  <c r="T953" i="24" s="1"/>
  <c r="AA953" i="24" s="1"/>
  <c r="AB953" i="24"/>
  <c r="AC953" i="24"/>
  <c r="R953" i="24"/>
  <c r="Y953" i="24" l="1"/>
  <c r="AF953" i="24" s="1"/>
  <c r="W953" i="24"/>
  <c r="AD953" i="24" s="1"/>
  <c r="X953" i="24"/>
  <c r="AE953" i="24" s="1"/>
  <c r="C954" i="24" l="1"/>
  <c r="H954" i="24"/>
  <c r="B954" i="24"/>
  <c r="G954" i="24"/>
  <c r="I954" i="24"/>
  <c r="D954" i="24"/>
  <c r="J954" i="24" l="1"/>
  <c r="E954" i="24"/>
  <c r="V954" i="24"/>
  <c r="U954" i="24"/>
  <c r="AG953" i="24"/>
  <c r="F954" i="24"/>
  <c r="O954" i="24" l="1"/>
  <c r="L954" i="24"/>
  <c r="M954" i="24" s="1"/>
  <c r="P954" i="24"/>
  <c r="Q954" i="24" s="1"/>
  <c r="K954" i="24"/>
  <c r="R954" i="24" l="1"/>
  <c r="S954" i="24"/>
  <c r="T954" i="24" s="1"/>
  <c r="AC954" i="24" s="1"/>
  <c r="AB954" i="24" l="1"/>
  <c r="AA954" i="24"/>
  <c r="Y954" i="24"/>
  <c r="AF954" i="24" s="1"/>
  <c r="X954" i="24"/>
  <c r="AE954" i="24" s="1"/>
  <c r="W954" i="24"/>
  <c r="AD954" i="24" l="1"/>
  <c r="G955" i="24"/>
  <c r="B955" i="24"/>
  <c r="H955" i="24"/>
  <c r="C955" i="24"/>
  <c r="I955" i="24"/>
  <c r="D955" i="24"/>
  <c r="F955" i="24" l="1"/>
  <c r="E955" i="24"/>
  <c r="U955" i="24"/>
  <c r="V955" i="24"/>
  <c r="AG954" i="24"/>
  <c r="J955" i="24"/>
  <c r="O955" i="24" l="1"/>
  <c r="L955" i="24"/>
  <c r="M955" i="24" s="1"/>
  <c r="P955" i="24"/>
  <c r="Q955" i="24" s="1"/>
  <c r="K955" i="24"/>
  <c r="S955" i="24" l="1"/>
  <c r="T955" i="24" s="1"/>
  <c r="AB955" i="24" s="1"/>
  <c r="AC955" i="24" l="1"/>
  <c r="AA955" i="24"/>
  <c r="R955" i="24"/>
  <c r="Y955" i="24" l="1"/>
  <c r="AF955" i="24" s="1"/>
  <c r="W955" i="24"/>
  <c r="AD955" i="24" s="1"/>
  <c r="X955" i="24"/>
  <c r="AE955" i="24" s="1"/>
  <c r="H956" i="24" l="1"/>
  <c r="C956" i="24"/>
  <c r="G956" i="24"/>
  <c r="B956" i="24"/>
  <c r="I956" i="24"/>
  <c r="D956" i="24"/>
  <c r="J956" i="24" l="1"/>
  <c r="U956" i="24"/>
  <c r="V956" i="24"/>
  <c r="O956" i="24"/>
  <c r="AG955" i="24"/>
  <c r="F956" i="24"/>
  <c r="E956" i="24"/>
  <c r="L956" i="24" l="1"/>
  <c r="M956" i="24" s="1"/>
  <c r="P956" i="24"/>
  <c r="Q956" i="24" s="1"/>
  <c r="K956" i="24"/>
  <c r="S956" i="24" l="1"/>
  <c r="T956" i="24" s="1"/>
  <c r="AC956" i="24" s="1"/>
  <c r="AA956" i="24" l="1"/>
  <c r="R956" i="24"/>
  <c r="AB956" i="24"/>
  <c r="W956" i="24"/>
  <c r="AD956" i="24" s="1"/>
  <c r="Y956" i="24"/>
  <c r="AF956" i="24" s="1"/>
  <c r="X956" i="24"/>
  <c r="AE956" i="24" l="1"/>
  <c r="H957" i="24"/>
  <c r="C957" i="24"/>
  <c r="G957" i="24"/>
  <c r="B957" i="24"/>
  <c r="I957" i="24"/>
  <c r="D957" i="24"/>
  <c r="E957" i="24" l="1"/>
  <c r="J957" i="24"/>
  <c r="F957" i="24"/>
  <c r="U957" i="24"/>
  <c r="V957" i="24"/>
  <c r="AG956" i="24"/>
  <c r="O957" i="24" l="1"/>
  <c r="P957" i="24"/>
  <c r="Q957" i="24" s="1"/>
  <c r="K957" i="24"/>
  <c r="L957" i="24"/>
  <c r="M957" i="24" s="1"/>
  <c r="S957" i="24" l="1"/>
  <c r="T957" i="24" s="1"/>
  <c r="AA957" i="24" s="1"/>
  <c r="R957" i="24"/>
  <c r="AB957" i="24" l="1"/>
  <c r="AC957" i="24"/>
  <c r="X957" i="24"/>
  <c r="AE957" i="24" s="1"/>
  <c r="Y957" i="24"/>
  <c r="AF957" i="24" s="1"/>
  <c r="W957" i="24"/>
  <c r="AD957" i="24" s="1"/>
  <c r="D958" i="24" l="1"/>
  <c r="I958" i="24"/>
  <c r="H958" i="24"/>
  <c r="C958" i="24"/>
  <c r="B958" i="24"/>
  <c r="G958" i="24"/>
  <c r="F958" i="24" l="1"/>
  <c r="J958" i="24"/>
  <c r="E958" i="24"/>
  <c r="U958" i="24"/>
  <c r="V958" i="24"/>
  <c r="AG957" i="24"/>
  <c r="O958" i="24" l="1"/>
  <c r="L958" i="24"/>
  <c r="M958" i="24" s="1"/>
  <c r="P958" i="24"/>
  <c r="Q958" i="24" s="1"/>
  <c r="K958" i="24"/>
  <c r="S958" i="24" l="1"/>
  <c r="T958" i="24" s="1"/>
  <c r="AA958" i="24" s="1"/>
  <c r="AB958" i="24" l="1"/>
  <c r="AC958" i="24"/>
  <c r="R958" i="24"/>
  <c r="X958" i="24" l="1"/>
  <c r="AE958" i="24" s="1"/>
  <c r="W958" i="24"/>
  <c r="AD958" i="24" s="1"/>
  <c r="Y958" i="24"/>
  <c r="AF958" i="24" s="1"/>
  <c r="I959" i="24" l="1"/>
  <c r="D959" i="24"/>
  <c r="G959" i="24"/>
  <c r="J959" i="24" s="1"/>
  <c r="B959" i="24"/>
  <c r="C959" i="24"/>
  <c r="H959" i="24"/>
  <c r="E959" i="24" l="1"/>
  <c r="O959" i="24"/>
  <c r="L959" i="24"/>
  <c r="M959" i="24" s="1"/>
  <c r="K959" i="24"/>
  <c r="P959" i="24"/>
  <c r="Q959" i="24" s="1"/>
  <c r="U959" i="24"/>
  <c r="V959" i="24"/>
  <c r="AG958" i="24"/>
  <c r="F959" i="24"/>
  <c r="S959" i="24" l="1"/>
  <c r="T959" i="24" s="1"/>
  <c r="AB959" i="24" s="1"/>
  <c r="R959" i="24"/>
  <c r="AC959" i="24" l="1"/>
  <c r="AA959" i="24"/>
  <c r="X959" i="24"/>
  <c r="AE959" i="24" s="1"/>
  <c r="Y959" i="24"/>
  <c r="AF959" i="24" s="1"/>
  <c r="W959" i="24"/>
  <c r="D960" i="24" l="1"/>
  <c r="I960" i="24"/>
  <c r="C960" i="24"/>
  <c r="H960" i="24"/>
  <c r="AD959" i="24"/>
  <c r="G960" i="24" l="1"/>
  <c r="B960" i="24"/>
  <c r="U960" i="24"/>
  <c r="V960" i="24"/>
  <c r="AG959" i="24"/>
  <c r="E960" i="24" l="1"/>
  <c r="F960" i="24"/>
  <c r="J960" i="24"/>
  <c r="L960" i="24" l="1"/>
  <c r="M960" i="24" s="1"/>
  <c r="K960" i="24"/>
  <c r="P960" i="24"/>
  <c r="Q960" i="24" s="1"/>
  <c r="O960" i="24"/>
  <c r="S960" i="24" s="1"/>
  <c r="T960" i="24" s="1"/>
  <c r="AC960" i="24" s="1"/>
  <c r="R960" i="24" l="1"/>
  <c r="AA960" i="24"/>
  <c r="AB960" i="24"/>
  <c r="X960" i="24" l="1"/>
  <c r="AE960" i="24" s="1"/>
  <c r="Y960" i="24"/>
  <c r="AF960" i="24" s="1"/>
  <c r="W960" i="24"/>
  <c r="AD960" i="24" s="1"/>
  <c r="G961" i="24" l="1"/>
  <c r="B961" i="24"/>
  <c r="D961" i="24"/>
  <c r="I961" i="24"/>
  <c r="H961" i="24"/>
  <c r="C961" i="24"/>
  <c r="U961" i="24" l="1"/>
  <c r="V961" i="24"/>
  <c r="AG960" i="24"/>
  <c r="E961" i="24"/>
  <c r="F961" i="24"/>
  <c r="J961" i="24"/>
  <c r="O961" i="24" s="1"/>
  <c r="P961" i="24" l="1"/>
  <c r="Q961" i="24" s="1"/>
  <c r="K961" i="24"/>
  <c r="L961" i="24"/>
  <c r="M961" i="24" s="1"/>
  <c r="S961" i="24" l="1"/>
  <c r="T961" i="24" s="1"/>
  <c r="AA961" i="24" s="1"/>
  <c r="AC961" i="24"/>
  <c r="R961" i="24"/>
  <c r="AB961" i="24" l="1"/>
  <c r="Y961" i="24"/>
  <c r="AF961" i="24" s="1"/>
  <c r="W961" i="24"/>
  <c r="AD961" i="24" s="1"/>
  <c r="X961" i="24"/>
  <c r="AE961" i="24" s="1"/>
  <c r="C962" i="24" l="1"/>
  <c r="H962" i="24"/>
  <c r="B962" i="24"/>
  <c r="G962" i="24"/>
  <c r="I962" i="24"/>
  <c r="D962" i="24"/>
  <c r="E962" i="24" l="1"/>
  <c r="J962" i="24"/>
  <c r="V962" i="24"/>
  <c r="U962" i="24"/>
  <c r="AG961" i="24"/>
  <c r="F962" i="24"/>
  <c r="O962" i="24" l="1"/>
  <c r="L962" i="24"/>
  <c r="M962" i="24" s="1"/>
  <c r="P962" i="24"/>
  <c r="Q962" i="24" s="1"/>
  <c r="K962" i="24"/>
  <c r="S962" i="24" l="1"/>
  <c r="T962" i="24" s="1"/>
  <c r="AC962" i="24" s="1"/>
  <c r="AA962" i="24"/>
  <c r="AB962" i="24"/>
  <c r="R962" i="24"/>
  <c r="X962" i="24" l="1"/>
  <c r="AE962" i="24" s="1"/>
  <c r="Y962" i="24"/>
  <c r="AF962" i="24" s="1"/>
  <c r="W962" i="24"/>
  <c r="AD962" i="24" s="1"/>
  <c r="B963" i="24" l="1"/>
  <c r="G963" i="24"/>
  <c r="I963" i="24"/>
  <c r="D963" i="24"/>
  <c r="C963" i="24"/>
  <c r="H963" i="24"/>
  <c r="U963" i="24" l="1"/>
  <c r="V963" i="24"/>
  <c r="AG962" i="24"/>
  <c r="J963" i="24"/>
  <c r="F963" i="24"/>
  <c r="E963" i="24"/>
  <c r="O963" i="24" l="1"/>
  <c r="P963" i="24"/>
  <c r="Q963" i="24" s="1"/>
  <c r="L963" i="24"/>
  <c r="M963" i="24" s="1"/>
  <c r="K963" i="24"/>
  <c r="S963" i="24" l="1"/>
  <c r="T963" i="24" s="1"/>
  <c r="AB963" i="24" s="1"/>
  <c r="AA963" i="24"/>
  <c r="AC963" i="24"/>
  <c r="R963" i="24"/>
  <c r="X963" i="24" l="1"/>
  <c r="AE963" i="24" s="1"/>
  <c r="W963" i="24"/>
  <c r="AD963" i="24" s="1"/>
  <c r="Y963" i="24"/>
  <c r="AF963" i="24" s="1"/>
  <c r="G964" i="24" l="1"/>
  <c r="B964" i="24"/>
  <c r="I964" i="24"/>
  <c r="D964" i="24"/>
  <c r="H964" i="24"/>
  <c r="C964" i="24"/>
  <c r="F964" i="24" l="1"/>
  <c r="E964" i="24"/>
  <c r="U964" i="24"/>
  <c r="V964" i="24"/>
  <c r="AG963" i="24"/>
  <c r="J964" i="24"/>
  <c r="O964" i="24" l="1"/>
  <c r="L964" i="24"/>
  <c r="M964" i="24" s="1"/>
  <c r="P964" i="24"/>
  <c r="Q964" i="24" s="1"/>
  <c r="K964" i="24"/>
  <c r="S964" i="24" l="1"/>
  <c r="T964" i="24" s="1"/>
  <c r="AB964" i="24" s="1"/>
  <c r="AA964" i="24" l="1"/>
  <c r="AC964" i="24"/>
  <c r="R964" i="24"/>
  <c r="Y964" i="24" l="1"/>
  <c r="AF964" i="24" s="1"/>
  <c r="X964" i="24"/>
  <c r="AE964" i="24" s="1"/>
  <c r="W964" i="24"/>
  <c r="AD964" i="24" s="1"/>
  <c r="H965" i="24" l="1"/>
  <c r="C965" i="24"/>
  <c r="B965" i="24"/>
  <c r="G965" i="24"/>
  <c r="J965" i="24" s="1"/>
  <c r="I965" i="24"/>
  <c r="D965" i="24"/>
  <c r="L965" i="24" l="1"/>
  <c r="M965" i="24" s="1"/>
  <c r="P965" i="24"/>
  <c r="Q965" i="24" s="1"/>
  <c r="K965" i="24"/>
  <c r="F965" i="24"/>
  <c r="E965" i="24"/>
  <c r="V965" i="24"/>
  <c r="U965" i="24"/>
  <c r="O965" i="24"/>
  <c r="AG964" i="24"/>
  <c r="S965" i="24" l="1"/>
  <c r="T965" i="24" s="1"/>
  <c r="AA965" i="24" s="1"/>
  <c r="AB965" i="24"/>
  <c r="AC965" i="24" l="1"/>
  <c r="R965" i="24"/>
  <c r="W965" i="24" s="1"/>
  <c r="AD965" i="24" s="1"/>
  <c r="X965" i="24"/>
  <c r="AE965" i="24" s="1"/>
  <c r="Y965" i="24"/>
  <c r="AF965" i="24" s="1"/>
  <c r="I966" i="24" l="1"/>
  <c r="D966" i="24"/>
  <c r="G966" i="24"/>
  <c r="B966" i="24"/>
  <c r="C966" i="24"/>
  <c r="H966" i="24"/>
  <c r="E966" i="24" l="1"/>
  <c r="AG965" i="24"/>
  <c r="V966" i="24"/>
  <c r="U966" i="24"/>
  <c r="J966" i="24"/>
  <c r="O966" i="24" s="1"/>
  <c r="F966" i="24"/>
  <c r="L966" i="24" l="1"/>
  <c r="M966" i="24" s="1"/>
  <c r="P966" i="24"/>
  <c r="Q966" i="24" s="1"/>
  <c r="K966" i="24"/>
  <c r="R966" i="24" l="1"/>
  <c r="S966" i="24"/>
  <c r="T966" i="24" s="1"/>
  <c r="AA966" i="24" s="1"/>
  <c r="AC966" i="24"/>
  <c r="AB966" i="24"/>
  <c r="X966" i="24" l="1"/>
  <c r="AE966" i="24" s="1"/>
  <c r="Y966" i="24"/>
  <c r="AF966" i="24" s="1"/>
  <c r="W966" i="24"/>
  <c r="AD966" i="24" s="1"/>
  <c r="G967" i="24" l="1"/>
  <c r="B967" i="24"/>
  <c r="I967" i="24"/>
  <c r="D967" i="24"/>
  <c r="C967" i="24"/>
  <c r="H967" i="24"/>
  <c r="V967" i="24" l="1"/>
  <c r="U967" i="24"/>
  <c r="AG966" i="24"/>
  <c r="E967" i="24"/>
  <c r="F967" i="24"/>
  <c r="J967" i="24"/>
  <c r="O967" i="24" l="1"/>
  <c r="L967" i="24"/>
  <c r="M967" i="24" s="1"/>
  <c r="K967" i="24"/>
  <c r="P967" i="24"/>
  <c r="Q967" i="24" s="1"/>
  <c r="S967" i="24" l="1"/>
  <c r="T967" i="24" s="1"/>
  <c r="AB967" i="24" s="1"/>
  <c r="AA967" i="24"/>
  <c r="R967" i="24"/>
  <c r="Y967" i="24" l="1"/>
  <c r="W967" i="24"/>
  <c r="AD967" i="24" s="1"/>
  <c r="X967" i="24"/>
  <c r="AE967" i="24" s="1"/>
  <c r="AC967" i="24"/>
  <c r="H968" i="24" l="1"/>
  <c r="C968" i="24"/>
  <c r="B968" i="24"/>
  <c r="G968" i="24"/>
  <c r="AF967" i="24"/>
  <c r="E968" i="24" l="1"/>
  <c r="F968" i="24"/>
  <c r="I968" i="24"/>
  <c r="D968" i="24"/>
  <c r="U968" i="24" l="1"/>
  <c r="V968" i="24"/>
  <c r="AG967" i="24"/>
  <c r="J968" i="24"/>
  <c r="O968" i="24" s="1"/>
  <c r="L968" i="24" l="1"/>
  <c r="M968" i="24" s="1"/>
  <c r="P968" i="24"/>
  <c r="Q968" i="24" s="1"/>
  <c r="K968" i="24"/>
  <c r="S968" i="24" l="1"/>
  <c r="T968" i="24" s="1"/>
  <c r="AC968" i="24" s="1"/>
  <c r="AB968" i="24"/>
  <c r="R968" i="24" l="1"/>
  <c r="AA968" i="24"/>
  <c r="X968" i="24"/>
  <c r="AE968" i="24" s="1"/>
  <c r="Y968" i="24"/>
  <c r="AF968" i="24" s="1"/>
  <c r="W968" i="24"/>
  <c r="AD968" i="24" l="1"/>
  <c r="G969" i="24"/>
  <c r="B969" i="24"/>
  <c r="H969" i="24"/>
  <c r="C969" i="24"/>
  <c r="I969" i="24"/>
  <c r="D969" i="24"/>
  <c r="F969" i="24" l="1"/>
  <c r="E969" i="24"/>
  <c r="V969" i="24"/>
  <c r="U969" i="24"/>
  <c r="AG968" i="24"/>
  <c r="J969" i="24"/>
  <c r="O969" i="24" s="1"/>
  <c r="K969" i="24" l="1"/>
  <c r="L969" i="24"/>
  <c r="M969" i="24" s="1"/>
  <c r="P969" i="24"/>
  <c r="Q969" i="24" s="1"/>
  <c r="S969" i="24" l="1"/>
  <c r="T969" i="24" s="1"/>
  <c r="AA969" i="24" s="1"/>
  <c r="AB969" i="24"/>
  <c r="R969" i="24"/>
  <c r="W969" i="24" l="1"/>
  <c r="AD969" i="24" s="1"/>
  <c r="Y969" i="24"/>
  <c r="X969" i="24"/>
  <c r="AE969" i="24" s="1"/>
  <c r="AC969" i="24"/>
  <c r="H970" i="24" l="1"/>
  <c r="C970" i="24"/>
  <c r="AF969" i="24"/>
  <c r="G970" i="24"/>
  <c r="B970" i="24"/>
  <c r="D970" i="24" l="1"/>
  <c r="I970" i="24"/>
  <c r="F970" i="24"/>
  <c r="E970" i="24"/>
  <c r="V970" i="24" l="1"/>
  <c r="U970" i="24"/>
  <c r="AG969" i="24"/>
  <c r="J970" i="24"/>
  <c r="O970" i="24" s="1"/>
  <c r="K970" i="24" l="1"/>
  <c r="P970" i="24"/>
  <c r="Q970" i="24" s="1"/>
  <c r="L970" i="24"/>
  <c r="M970" i="24" s="1"/>
  <c r="S970" i="24" l="1"/>
  <c r="T970" i="24" s="1"/>
  <c r="AA970" i="24" s="1"/>
  <c r="AB970" i="24"/>
  <c r="AC970" i="24" l="1"/>
  <c r="R970" i="24"/>
  <c r="Y970" i="24" l="1"/>
  <c r="AF970" i="24" s="1"/>
  <c r="W970" i="24"/>
  <c r="AD970" i="24" s="1"/>
  <c r="X970" i="24"/>
  <c r="AE970" i="24" s="1"/>
  <c r="H971" i="24" l="1"/>
  <c r="C971" i="24"/>
  <c r="B971" i="24"/>
  <c r="G971" i="24"/>
  <c r="J971" i="24" s="1"/>
  <c r="I971" i="24"/>
  <c r="D971" i="24"/>
  <c r="O971" i="24" l="1"/>
  <c r="L971" i="24"/>
  <c r="M971" i="24" s="1"/>
  <c r="P971" i="24"/>
  <c r="Q971" i="24" s="1"/>
  <c r="K971" i="24"/>
  <c r="E971" i="24"/>
  <c r="U971" i="24"/>
  <c r="V971" i="24"/>
  <c r="AG970" i="24"/>
  <c r="F971" i="24"/>
  <c r="S971" i="24" l="1"/>
  <c r="T971" i="24" s="1"/>
  <c r="AB971" i="24" s="1"/>
  <c r="AC971" i="24"/>
  <c r="AA971" i="24"/>
  <c r="R971" i="24" l="1"/>
  <c r="Y971" i="24" l="1"/>
  <c r="AF971" i="24" s="1"/>
  <c r="W971" i="24"/>
  <c r="AD971" i="24" s="1"/>
  <c r="X971" i="24"/>
  <c r="AE971" i="24" s="1"/>
  <c r="G972" i="24" l="1"/>
  <c r="B972" i="24"/>
  <c r="C972" i="24"/>
  <c r="H972" i="24"/>
  <c r="D972" i="24"/>
  <c r="I972" i="24"/>
  <c r="F972" i="24" l="1"/>
  <c r="E972" i="24"/>
  <c r="U972" i="24"/>
  <c r="V972" i="24"/>
  <c r="AG971" i="24"/>
  <c r="J972" i="24"/>
  <c r="O972" i="24" s="1"/>
  <c r="P972" i="24" l="1"/>
  <c r="Q972" i="24" s="1"/>
  <c r="K972" i="24"/>
  <c r="L972" i="24"/>
  <c r="M972" i="24" s="1"/>
  <c r="S972" i="24" l="1"/>
  <c r="R972" i="24" l="1"/>
  <c r="T972" i="24"/>
  <c r="AA972" i="24" l="1"/>
  <c r="AC972" i="24"/>
  <c r="AB972" i="24"/>
  <c r="AE972" i="24" s="1"/>
  <c r="X972" i="24"/>
  <c r="Y972" i="24"/>
  <c r="W972" i="24"/>
  <c r="AF972" i="24" l="1"/>
  <c r="H973" i="24"/>
  <c r="C973" i="24"/>
  <c r="I973" i="24"/>
  <c r="D973" i="24"/>
  <c r="AD972" i="24"/>
  <c r="AG972" i="24" l="1"/>
  <c r="U973" i="24"/>
  <c r="V973" i="24"/>
  <c r="G973" i="24"/>
  <c r="B973" i="24"/>
  <c r="E973" i="24" l="1"/>
  <c r="J973" i="24"/>
  <c r="F973" i="24"/>
  <c r="L973" i="24" l="1"/>
  <c r="M973" i="24" s="1"/>
  <c r="P973" i="24"/>
  <c r="Q973" i="24" s="1"/>
  <c r="K973" i="24"/>
  <c r="O973" i="24"/>
  <c r="S973" i="24" s="1"/>
  <c r="T973" i="24" s="1"/>
  <c r="AC973" i="24" s="1"/>
  <c r="R973" i="24" l="1"/>
  <c r="AB973" i="24"/>
  <c r="AA973" i="24"/>
  <c r="Y973" i="24" l="1"/>
  <c r="AF973" i="24" s="1"/>
  <c r="X973" i="24"/>
  <c r="AE973" i="24" s="1"/>
  <c r="W973" i="24"/>
  <c r="AD973" i="24" s="1"/>
  <c r="B974" i="24" l="1"/>
  <c r="G974" i="24"/>
  <c r="C974" i="24"/>
  <c r="H974" i="24"/>
  <c r="I974" i="24"/>
  <c r="D974" i="24"/>
  <c r="F974" i="24" l="1"/>
  <c r="U974" i="24"/>
  <c r="V974" i="24"/>
  <c r="AG973" i="24"/>
  <c r="J974" i="24"/>
  <c r="E974" i="24"/>
  <c r="L974" i="24" l="1"/>
  <c r="M974" i="24" s="1"/>
  <c r="P974" i="24"/>
  <c r="Q974" i="24" s="1"/>
  <c r="K974" i="24"/>
  <c r="O974" i="24"/>
  <c r="S974" i="24" l="1"/>
  <c r="T974" i="24" s="1"/>
  <c r="AA974" i="24" s="1"/>
  <c r="AC974" i="24"/>
  <c r="AB974" i="24"/>
  <c r="R974" i="24" l="1"/>
  <c r="W974" i="24" s="1"/>
  <c r="AD974" i="24" s="1"/>
  <c r="X974" i="24"/>
  <c r="AE974" i="24" s="1"/>
  <c r="Y974" i="24"/>
  <c r="AF974" i="24" s="1"/>
  <c r="D975" i="24" l="1"/>
  <c r="I975" i="24"/>
  <c r="C975" i="24"/>
  <c r="H975" i="24"/>
  <c r="G975" i="24"/>
  <c r="B975" i="24"/>
  <c r="F975" i="24" l="1"/>
  <c r="E975" i="24"/>
  <c r="J975" i="24"/>
  <c r="V975" i="24"/>
  <c r="U975" i="24"/>
  <c r="AG974" i="24"/>
  <c r="O975" i="24" l="1"/>
  <c r="P975" i="24"/>
  <c r="Q975" i="24" s="1"/>
  <c r="L975" i="24"/>
  <c r="M975" i="24" s="1"/>
  <c r="K975" i="24"/>
  <c r="S975" i="24" l="1"/>
  <c r="T975" i="24" s="1"/>
  <c r="AC975" i="24" s="1"/>
  <c r="R975" i="24"/>
  <c r="AA975" i="24" l="1"/>
  <c r="AB975" i="24"/>
  <c r="X975" i="24"/>
  <c r="AE975" i="24" s="1"/>
  <c r="W975" i="24"/>
  <c r="AD975" i="24" s="1"/>
  <c r="Y975" i="24"/>
  <c r="AF975" i="24" s="1"/>
  <c r="H976" i="24" l="1"/>
  <c r="C976" i="24"/>
  <c r="B976" i="24"/>
  <c r="G976" i="24"/>
  <c r="I976" i="24"/>
  <c r="D976" i="24"/>
  <c r="J976" i="24" l="1"/>
  <c r="E976" i="24"/>
  <c r="F976" i="24"/>
  <c r="V976" i="24"/>
  <c r="U976" i="24"/>
  <c r="O976" i="24"/>
  <c r="AG975" i="24"/>
  <c r="P976" i="24" l="1"/>
  <c r="Q976" i="24" s="1"/>
  <c r="K976" i="24"/>
  <c r="L976" i="24"/>
  <c r="M976" i="24" s="1"/>
  <c r="S976" i="24" l="1"/>
  <c r="T976" i="24" s="1"/>
  <c r="AC976" i="24" s="1"/>
  <c r="R976" i="24"/>
  <c r="AB976" i="24" l="1"/>
  <c r="X976" i="24"/>
  <c r="Y976" i="24"/>
  <c r="AF976" i="24" s="1"/>
  <c r="W976" i="24"/>
  <c r="AA976" i="24"/>
  <c r="AE976" i="24" l="1"/>
  <c r="AD976" i="24"/>
  <c r="I977" i="24"/>
  <c r="D977" i="24"/>
  <c r="H977" i="24"/>
  <c r="C977" i="24"/>
  <c r="U977" i="24" l="1"/>
  <c r="V977" i="24"/>
  <c r="AG976" i="24"/>
  <c r="G977" i="24"/>
  <c r="B977" i="24"/>
  <c r="E977" i="24" l="1"/>
  <c r="J977" i="24"/>
  <c r="F977" i="24"/>
  <c r="K977" i="24" l="1"/>
  <c r="L977" i="24"/>
  <c r="M977" i="24" s="1"/>
  <c r="P977" i="24"/>
  <c r="Q977" i="24" s="1"/>
  <c r="O977" i="24"/>
  <c r="S977" i="24" l="1"/>
  <c r="T977" i="24" s="1"/>
  <c r="AA977" i="24" s="1"/>
  <c r="AB977" i="24"/>
  <c r="AC977" i="24"/>
  <c r="R977" i="24" l="1"/>
  <c r="W977" i="24" l="1"/>
  <c r="AD977" i="24" s="1"/>
  <c r="Y977" i="24"/>
  <c r="AF977" i="24" s="1"/>
  <c r="X977" i="24"/>
  <c r="AE977" i="24" s="1"/>
  <c r="I978" i="24" l="1"/>
  <c r="D978" i="24"/>
  <c r="C978" i="24"/>
  <c r="H978" i="24"/>
  <c r="B978" i="24"/>
  <c r="G978" i="24"/>
  <c r="F978" i="24" l="1"/>
  <c r="J978" i="24"/>
  <c r="V978" i="24"/>
  <c r="U978" i="24"/>
  <c r="AG977" i="24"/>
  <c r="E978" i="24"/>
  <c r="O978" i="24" l="1"/>
  <c r="P978" i="24"/>
  <c r="Q978" i="24" s="1"/>
  <c r="K978" i="24"/>
  <c r="L978" i="24"/>
  <c r="M978" i="24" s="1"/>
  <c r="S978" i="24" l="1"/>
  <c r="T978" i="24" s="1"/>
  <c r="AB978" i="24" s="1"/>
  <c r="AA978" i="24" l="1"/>
  <c r="AC978" i="24"/>
  <c r="R978" i="24"/>
  <c r="X978" i="24" l="1"/>
  <c r="AE978" i="24" s="1"/>
  <c r="W978" i="24"/>
  <c r="AD978" i="24" s="1"/>
  <c r="Y978" i="24"/>
  <c r="AF978" i="24" s="1"/>
  <c r="G979" i="24" l="1"/>
  <c r="B979" i="24"/>
  <c r="I979" i="24"/>
  <c r="D979" i="24"/>
  <c r="H979" i="24"/>
  <c r="C979" i="24"/>
  <c r="F979" i="24" l="1"/>
  <c r="E979" i="24"/>
  <c r="V979" i="24"/>
  <c r="U979" i="24"/>
  <c r="AG978" i="24"/>
  <c r="J979" i="24"/>
  <c r="O979" i="24" l="1"/>
  <c r="P979" i="24"/>
  <c r="Q979" i="24" s="1"/>
  <c r="L979" i="24"/>
  <c r="M979" i="24" s="1"/>
  <c r="K979" i="24"/>
  <c r="S979" i="24" l="1"/>
  <c r="T979" i="24" s="1"/>
  <c r="AC979" i="24" s="1"/>
  <c r="AA979" i="24" l="1"/>
  <c r="AB979" i="24"/>
  <c r="R979" i="24"/>
  <c r="Y979" i="24" l="1"/>
  <c r="AF979" i="24" s="1"/>
  <c r="X979" i="24"/>
  <c r="AE979" i="24" s="1"/>
  <c r="W979" i="24"/>
  <c r="AD979" i="24" s="1"/>
  <c r="B980" i="24" l="1"/>
  <c r="G980" i="24"/>
  <c r="C980" i="24"/>
  <c r="H980" i="24"/>
  <c r="I980" i="24"/>
  <c r="D980" i="24"/>
  <c r="V980" i="24" l="1"/>
  <c r="U980" i="24"/>
  <c r="AG979" i="24"/>
  <c r="J980" i="24"/>
  <c r="F980" i="24"/>
  <c r="E980" i="24"/>
  <c r="O980" i="24" l="1"/>
  <c r="L980" i="24"/>
  <c r="M980" i="24" s="1"/>
  <c r="P980" i="24"/>
  <c r="Q980" i="24" s="1"/>
  <c r="K980" i="24"/>
  <c r="S980" i="24" l="1"/>
  <c r="T980" i="24" s="1"/>
  <c r="AA980" i="24" s="1"/>
  <c r="AC980" i="24" l="1"/>
  <c r="AB980" i="24"/>
  <c r="R980" i="24"/>
  <c r="W980" i="24" l="1"/>
  <c r="AD980" i="24" s="1"/>
  <c r="Y980" i="24"/>
  <c r="AF980" i="24" s="1"/>
  <c r="X980" i="24"/>
  <c r="AE980" i="24" s="1"/>
  <c r="H981" i="24" l="1"/>
  <c r="C981" i="24"/>
  <c r="I981" i="24"/>
  <c r="D981" i="24"/>
  <c r="B981" i="24"/>
  <c r="G981" i="24"/>
  <c r="F981" i="24" l="1"/>
  <c r="U981" i="24"/>
  <c r="V981" i="24"/>
  <c r="AG980" i="24"/>
  <c r="J981" i="24"/>
  <c r="E981" i="24"/>
  <c r="L981" i="24" l="1"/>
  <c r="M981" i="24" s="1"/>
  <c r="P981" i="24"/>
  <c r="Q981" i="24" s="1"/>
  <c r="K981" i="24"/>
  <c r="O981" i="24"/>
  <c r="S981" i="24" l="1"/>
  <c r="T981" i="24" s="1"/>
  <c r="AA981" i="24" s="1"/>
  <c r="AB981" i="24"/>
  <c r="AC981" i="24"/>
  <c r="R981" i="24" l="1"/>
  <c r="W981" i="24" s="1"/>
  <c r="AD981" i="24" s="1"/>
  <c r="X981" i="24" l="1"/>
  <c r="AE981" i="24" s="1"/>
  <c r="Y981" i="24"/>
  <c r="AF981" i="24" s="1"/>
  <c r="D982" i="24" s="1"/>
  <c r="H982" i="24"/>
  <c r="C982" i="24"/>
  <c r="I982" i="24"/>
  <c r="B982" i="24"/>
  <c r="G982" i="24"/>
  <c r="V982" i="24" l="1"/>
  <c r="U982" i="24"/>
  <c r="AG981" i="24"/>
  <c r="J982" i="24"/>
  <c r="E982" i="24"/>
  <c r="F982" i="24"/>
  <c r="O982" i="24" l="1"/>
  <c r="P982" i="24"/>
  <c r="Q982" i="24" s="1"/>
  <c r="K982" i="24"/>
  <c r="L982" i="24"/>
  <c r="M982" i="24" s="1"/>
  <c r="S982" i="24" l="1"/>
  <c r="T982" i="24" s="1"/>
  <c r="AA982" i="24" s="1"/>
  <c r="R982" i="24"/>
  <c r="Y982" i="24" l="1"/>
  <c r="W982" i="24"/>
  <c r="AD982" i="24" s="1"/>
  <c r="X982" i="24"/>
  <c r="AE982" i="24" s="1"/>
  <c r="AC982" i="24"/>
  <c r="AB982" i="24"/>
  <c r="C983" i="24" l="1"/>
  <c r="H983" i="24"/>
  <c r="G983" i="24"/>
  <c r="B983" i="24"/>
  <c r="AF982" i="24"/>
  <c r="E983" i="24" l="1"/>
  <c r="D983" i="24"/>
  <c r="I983" i="24"/>
  <c r="J983" i="24" s="1"/>
  <c r="F983" i="24"/>
  <c r="O983" i="24" l="1"/>
  <c r="K983" i="24"/>
  <c r="P983" i="24"/>
  <c r="Q983" i="24" s="1"/>
  <c r="L983" i="24"/>
  <c r="M983" i="24" s="1"/>
  <c r="U983" i="24"/>
  <c r="V983" i="24"/>
  <c r="AG982" i="24"/>
  <c r="S983" i="24" l="1"/>
  <c r="T983" i="24" s="1"/>
  <c r="AB983" i="24" s="1"/>
  <c r="R983" i="24"/>
  <c r="AC983" i="24" l="1"/>
  <c r="AA983" i="24"/>
  <c r="X983" i="24"/>
  <c r="AE983" i="24" s="1"/>
  <c r="W983" i="24"/>
  <c r="AD983" i="24" s="1"/>
  <c r="Y983" i="24"/>
  <c r="AF983" i="24" s="1"/>
  <c r="G984" i="24" l="1"/>
  <c r="B984" i="24"/>
  <c r="C984" i="24"/>
  <c r="H984" i="24"/>
  <c r="I984" i="24"/>
  <c r="D984" i="24"/>
  <c r="E984" i="24" l="1"/>
  <c r="F984" i="24"/>
  <c r="AG983" i="24"/>
  <c r="V984" i="24"/>
  <c r="U984" i="24"/>
  <c r="J984" i="24"/>
  <c r="L984" i="24" l="1"/>
  <c r="M984" i="24" s="1"/>
  <c r="P984" i="24"/>
  <c r="Q984" i="24" s="1"/>
  <c r="K984" i="24"/>
  <c r="O984" i="24"/>
  <c r="S984" i="24" l="1"/>
  <c r="T984" i="24" s="1"/>
  <c r="AC984" i="24" s="1"/>
  <c r="AA984" i="24" l="1"/>
  <c r="AB984" i="24"/>
  <c r="R984" i="24"/>
  <c r="X984" i="24" l="1"/>
  <c r="AE984" i="24" s="1"/>
  <c r="W984" i="24"/>
  <c r="AD984" i="24" s="1"/>
  <c r="Y984" i="24"/>
  <c r="AF984" i="24" s="1"/>
  <c r="D985" i="24" l="1"/>
  <c r="I985" i="24"/>
  <c r="G985" i="24"/>
  <c r="B985" i="24"/>
  <c r="H985" i="24"/>
  <c r="C985" i="24"/>
  <c r="F985" i="24" l="1"/>
  <c r="E985" i="24"/>
  <c r="J985" i="24"/>
  <c r="O985" i="24" s="1"/>
  <c r="V985" i="24"/>
  <c r="U985" i="24"/>
  <c r="AG984" i="24"/>
  <c r="L985" i="24" l="1"/>
  <c r="M985" i="24" s="1"/>
  <c r="P985" i="24"/>
  <c r="Q985" i="24" s="1"/>
  <c r="K985" i="24"/>
  <c r="S985" i="24" l="1"/>
  <c r="T985" i="24" s="1"/>
  <c r="AA985" i="24" s="1"/>
  <c r="AB985" i="24"/>
  <c r="R985" i="24" l="1"/>
  <c r="Y985" i="24" s="1"/>
  <c r="AF985" i="24" s="1"/>
  <c r="AC985" i="24"/>
  <c r="X985" i="24"/>
  <c r="AE985" i="24" s="1"/>
  <c r="W985" i="24"/>
  <c r="AD985" i="24" s="1"/>
  <c r="G986" i="24" l="1"/>
  <c r="B986" i="24"/>
  <c r="H986" i="24"/>
  <c r="C986" i="24"/>
  <c r="D986" i="24"/>
  <c r="I986" i="24"/>
  <c r="E986" i="24" l="1"/>
  <c r="F986" i="24"/>
  <c r="U986" i="24"/>
  <c r="V986" i="24"/>
  <c r="AG985" i="24"/>
  <c r="J986" i="24"/>
  <c r="L986" i="24" l="1"/>
  <c r="M986" i="24" s="1"/>
  <c r="P986" i="24"/>
  <c r="Q986" i="24" s="1"/>
  <c r="K986" i="24"/>
  <c r="O986" i="24"/>
  <c r="S986" i="24" l="1"/>
  <c r="T986" i="24" s="1"/>
  <c r="AA986" i="24" s="1"/>
  <c r="AC986" i="24"/>
  <c r="AB986" i="24"/>
  <c r="R986" i="24" l="1"/>
  <c r="X986" i="24" s="1"/>
  <c r="AE986" i="24" s="1"/>
  <c r="Y986" i="24"/>
  <c r="AF986" i="24" s="1"/>
  <c r="W986" i="24" l="1"/>
  <c r="AD986" i="24" s="1"/>
  <c r="I987" i="24"/>
  <c r="D987" i="24"/>
  <c r="B987" i="24"/>
  <c r="G987" i="24"/>
  <c r="H987" i="24"/>
  <c r="C987" i="24"/>
  <c r="F987" i="24" l="1"/>
  <c r="U987" i="24"/>
  <c r="V987" i="24"/>
  <c r="AG986" i="24"/>
  <c r="J987" i="24"/>
  <c r="E987" i="24"/>
  <c r="O987" i="24" l="1"/>
  <c r="L987" i="24"/>
  <c r="M987" i="24" s="1"/>
  <c r="P987" i="24"/>
  <c r="Q987" i="24" s="1"/>
  <c r="K987" i="24"/>
  <c r="S987" i="24" l="1"/>
  <c r="T987" i="24" s="1"/>
  <c r="AC987" i="24" s="1"/>
  <c r="AB987" i="24" l="1"/>
  <c r="AA987" i="24"/>
  <c r="R987" i="24"/>
  <c r="Y987" i="24" l="1"/>
  <c r="AF987" i="24" s="1"/>
  <c r="W987" i="24"/>
  <c r="AD987" i="24" s="1"/>
  <c r="X987" i="24"/>
  <c r="AE987" i="24" s="1"/>
  <c r="H988" i="24" l="1"/>
  <c r="C988" i="24"/>
  <c r="B988" i="24"/>
  <c r="G988" i="24"/>
  <c r="D988" i="24"/>
  <c r="I988" i="24"/>
  <c r="J988" i="24" l="1"/>
  <c r="E988" i="24"/>
  <c r="F988" i="24"/>
  <c r="U988" i="24"/>
  <c r="V988" i="24"/>
  <c r="O988" i="24"/>
  <c r="AG987" i="24"/>
  <c r="L988" i="24" l="1"/>
  <c r="M988" i="24" s="1"/>
  <c r="K988" i="24"/>
  <c r="P988" i="24"/>
  <c r="Q988" i="24" s="1"/>
  <c r="S988" i="24" l="1"/>
  <c r="T988" i="24" s="1"/>
  <c r="AC988" i="24" s="1"/>
  <c r="AA988" i="24" l="1"/>
  <c r="AB988" i="24"/>
  <c r="R988" i="24"/>
  <c r="W988" i="24" l="1"/>
  <c r="AD988" i="24" s="1"/>
  <c r="X988" i="24"/>
  <c r="AE988" i="24" s="1"/>
  <c r="Y988" i="24"/>
  <c r="AF988" i="24" s="1"/>
  <c r="D989" i="24" l="1"/>
  <c r="I989" i="24"/>
  <c r="H989" i="24"/>
  <c r="C989" i="24"/>
  <c r="G989" i="24"/>
  <c r="B989" i="24"/>
  <c r="F989" i="24" l="1"/>
  <c r="E989" i="24"/>
  <c r="J989" i="24"/>
  <c r="V989" i="24"/>
  <c r="U989" i="24"/>
  <c r="AG988" i="24"/>
  <c r="O989" i="24" l="1"/>
  <c r="L989" i="24"/>
  <c r="M989" i="24" s="1"/>
  <c r="P989" i="24"/>
  <c r="Q989" i="24" s="1"/>
  <c r="K989" i="24"/>
  <c r="S989" i="24" l="1"/>
  <c r="T989" i="24" s="1"/>
  <c r="AB989" i="24" s="1"/>
  <c r="AC989" i="24" l="1"/>
  <c r="AA989" i="24"/>
  <c r="R989" i="24"/>
  <c r="W989" i="24" l="1"/>
  <c r="AD989" i="24" s="1"/>
  <c r="Y989" i="24"/>
  <c r="AF989" i="24" s="1"/>
  <c r="X989" i="24"/>
  <c r="AE989" i="24" s="1"/>
  <c r="C990" i="24" l="1"/>
  <c r="H990" i="24"/>
  <c r="I990" i="24"/>
  <c r="D990" i="24"/>
  <c r="B990" i="24"/>
  <c r="G990" i="24"/>
  <c r="V990" i="24" l="1"/>
  <c r="U990" i="24"/>
  <c r="AG989" i="24"/>
  <c r="J990" i="24"/>
  <c r="E990" i="24"/>
  <c r="F990" i="24"/>
  <c r="O990" i="24" l="1"/>
  <c r="K990" i="24"/>
  <c r="L990" i="24"/>
  <c r="M990" i="24" s="1"/>
  <c r="P990" i="24"/>
  <c r="Q990" i="24" s="1"/>
  <c r="S990" i="24" l="1"/>
  <c r="T990" i="24" s="1"/>
  <c r="AA990" i="24" s="1"/>
  <c r="AB990" i="24"/>
  <c r="AC990" i="24"/>
  <c r="R990" i="24"/>
  <c r="X990" i="24" l="1"/>
  <c r="AE990" i="24" s="1"/>
  <c r="W990" i="24"/>
  <c r="AD990" i="24" s="1"/>
  <c r="Y990" i="24"/>
  <c r="AF990" i="24" s="1"/>
  <c r="I991" i="24" l="1"/>
  <c r="D991" i="24"/>
  <c r="B991" i="24"/>
  <c r="G991" i="24"/>
  <c r="H991" i="24"/>
  <c r="C991" i="24"/>
  <c r="J991" i="24" l="1"/>
  <c r="E991" i="24"/>
  <c r="F991" i="24"/>
  <c r="V991" i="24"/>
  <c r="U991" i="24"/>
  <c r="O991" i="24"/>
  <c r="AG990" i="24"/>
  <c r="L991" i="24" l="1"/>
  <c r="M991" i="24" s="1"/>
  <c r="P991" i="24"/>
  <c r="Q991" i="24" s="1"/>
  <c r="K991" i="24"/>
  <c r="R991" i="24" l="1"/>
  <c r="S991" i="24"/>
  <c r="T991" i="24" s="1"/>
  <c r="AB991" i="24" s="1"/>
  <c r="AC991" i="24"/>
  <c r="AA991" i="24" l="1"/>
  <c r="X991" i="24"/>
  <c r="AE991" i="24" s="1"/>
  <c r="Y991" i="24"/>
  <c r="AF991" i="24" s="1"/>
  <c r="W991" i="24"/>
  <c r="AD991" i="24" l="1"/>
  <c r="G992" i="24"/>
  <c r="B992" i="24"/>
  <c r="D992" i="24"/>
  <c r="I992" i="24"/>
  <c r="H992" i="24"/>
  <c r="C992" i="24"/>
  <c r="U992" i="24" l="1"/>
  <c r="V992" i="24"/>
  <c r="AG991" i="24"/>
  <c r="F992" i="24"/>
  <c r="E992" i="24"/>
  <c r="J992" i="24"/>
  <c r="O992" i="24" l="1"/>
  <c r="P992" i="24"/>
  <c r="Q992" i="24" s="1"/>
  <c r="L992" i="24"/>
  <c r="M992" i="24" s="1"/>
  <c r="K992" i="24"/>
  <c r="S992" i="24" l="1"/>
  <c r="T992" i="24" s="1"/>
  <c r="AC992" i="24" s="1"/>
  <c r="R992" i="24"/>
  <c r="W992" i="24" l="1"/>
  <c r="X992" i="24"/>
  <c r="Y992" i="24"/>
  <c r="AF992" i="24" s="1"/>
  <c r="AA992" i="24"/>
  <c r="AB992" i="24"/>
  <c r="AE992" i="24" l="1"/>
  <c r="I993" i="24"/>
  <c r="D993" i="24"/>
  <c r="H993" i="24"/>
  <c r="C993" i="24"/>
  <c r="AD992" i="24"/>
  <c r="V993" i="24" l="1"/>
  <c r="U993" i="24"/>
  <c r="AG992" i="24"/>
  <c r="G993" i="24"/>
  <c r="B993" i="24"/>
  <c r="F993" i="24" s="1"/>
  <c r="E993" i="24" l="1"/>
  <c r="J993" i="24"/>
  <c r="O993" i="24" l="1"/>
  <c r="K993" i="24"/>
  <c r="P993" i="24"/>
  <c r="Q993" i="24" s="1"/>
  <c r="L993" i="24"/>
  <c r="M993" i="24" s="1"/>
  <c r="S993" i="24" l="1"/>
  <c r="T993" i="24" s="1"/>
  <c r="AA993" i="24"/>
  <c r="AB993" i="24"/>
  <c r="AC993" i="24"/>
  <c r="R993" i="24"/>
  <c r="Y993" i="24" l="1"/>
  <c r="AF993" i="24" s="1"/>
  <c r="X993" i="24"/>
  <c r="AE993" i="24" s="1"/>
  <c r="W993" i="24"/>
  <c r="AD993" i="24" s="1"/>
  <c r="G994" i="24" l="1"/>
  <c r="B994" i="24"/>
  <c r="H994" i="24"/>
  <c r="C994" i="24"/>
  <c r="I994" i="24"/>
  <c r="D994" i="24"/>
  <c r="F994" i="24" l="1"/>
  <c r="V994" i="24"/>
  <c r="U994" i="24"/>
  <c r="O994" i="24"/>
  <c r="AG993" i="24"/>
  <c r="E994" i="24"/>
  <c r="J994" i="24"/>
  <c r="P994" i="24" l="1"/>
  <c r="Q994" i="24" s="1"/>
  <c r="K994" i="24"/>
  <c r="L994" i="24"/>
  <c r="M994" i="24" s="1"/>
  <c r="S994" i="24" l="1"/>
  <c r="T994" i="24" s="1"/>
  <c r="AA994" i="24" s="1"/>
  <c r="AB994" i="24"/>
  <c r="R994" i="24"/>
  <c r="AC994" i="24" l="1"/>
  <c r="Y994" i="24"/>
  <c r="W994" i="24"/>
  <c r="AD994" i="24" s="1"/>
  <c r="X994" i="24"/>
  <c r="AE994" i="24" s="1"/>
  <c r="AF994" i="24" l="1"/>
  <c r="C995" i="24"/>
  <c r="H995" i="24"/>
  <c r="G995" i="24"/>
  <c r="B995" i="24"/>
  <c r="I995" i="24"/>
  <c r="D995" i="24"/>
  <c r="V995" i="24" l="1"/>
  <c r="U995" i="24"/>
  <c r="AG994" i="24"/>
  <c r="J995" i="24"/>
  <c r="E995" i="24"/>
  <c r="F995" i="24"/>
  <c r="O995" i="24" l="1"/>
  <c r="L995" i="24"/>
  <c r="M995" i="24" s="1"/>
  <c r="P995" i="24"/>
  <c r="Q995" i="24" s="1"/>
  <c r="K995" i="24"/>
  <c r="S995" i="24" l="1"/>
  <c r="T995" i="24" s="1"/>
  <c r="AB995" i="24" s="1"/>
  <c r="AA995" i="24"/>
  <c r="AC995" i="24" l="1"/>
  <c r="R995" i="24"/>
  <c r="Y995" i="24" l="1"/>
  <c r="AF995" i="24" s="1"/>
  <c r="W995" i="24"/>
  <c r="AD995" i="24" s="1"/>
  <c r="X995" i="24"/>
  <c r="AE995" i="24" s="1"/>
  <c r="C996" i="24" l="1"/>
  <c r="H996" i="24"/>
  <c r="G996" i="24"/>
  <c r="B996" i="24"/>
  <c r="I996" i="24"/>
  <c r="D996" i="24"/>
  <c r="E996" i="24" l="1"/>
  <c r="J996" i="24"/>
  <c r="V996" i="24"/>
  <c r="U996" i="24"/>
  <c r="AG995" i="24"/>
  <c r="F996" i="24"/>
  <c r="O996" i="24" l="1"/>
  <c r="P996" i="24"/>
  <c r="Q996" i="24" s="1"/>
  <c r="K996" i="24"/>
  <c r="L996" i="24"/>
  <c r="M996" i="24" s="1"/>
  <c r="R996" i="24" l="1"/>
  <c r="S996" i="24"/>
  <c r="T996" i="24" s="1"/>
  <c r="AC996" i="24" s="1"/>
  <c r="AB996" i="24"/>
  <c r="AA996" i="24" l="1"/>
  <c r="W996" i="24"/>
  <c r="Y996" i="24"/>
  <c r="AF996" i="24" s="1"/>
  <c r="X996" i="24"/>
  <c r="AE996" i="24" s="1"/>
  <c r="AD996" i="24" l="1"/>
  <c r="D997" i="24"/>
  <c r="I997" i="24"/>
  <c r="C997" i="24"/>
  <c r="H997" i="24"/>
  <c r="B997" i="24"/>
  <c r="G997" i="24"/>
  <c r="F997" i="24" l="1"/>
  <c r="J997" i="24"/>
  <c r="E997" i="24"/>
  <c r="V997" i="24"/>
  <c r="U997" i="24"/>
  <c r="AG996" i="24"/>
  <c r="O997" i="24" l="1"/>
  <c r="L997" i="24"/>
  <c r="M997" i="24" s="1"/>
  <c r="P997" i="24"/>
  <c r="Q997" i="24" s="1"/>
  <c r="K997" i="24"/>
  <c r="S997" i="24" l="1"/>
  <c r="T997" i="24" s="1"/>
  <c r="AB997" i="24" s="1"/>
  <c r="AA997" i="24" l="1"/>
  <c r="AC997" i="24"/>
  <c r="R997" i="24"/>
  <c r="Y997" i="24" l="1"/>
  <c r="AF997" i="24" s="1"/>
  <c r="W997" i="24"/>
  <c r="AD997" i="24" s="1"/>
  <c r="X997" i="24"/>
  <c r="AE997" i="24" s="1"/>
  <c r="C998" i="24" l="1"/>
  <c r="H998" i="24"/>
  <c r="G998" i="24"/>
  <c r="B998" i="24"/>
  <c r="D998" i="24"/>
  <c r="I998" i="24"/>
  <c r="E998" i="24" l="1"/>
  <c r="J998" i="24"/>
  <c r="U998" i="24"/>
  <c r="V998" i="24"/>
  <c r="AG997" i="24"/>
  <c r="F998" i="24"/>
  <c r="O998" i="24" l="1"/>
  <c r="K998" i="24"/>
  <c r="P998" i="24"/>
  <c r="Q998" i="24" s="1"/>
  <c r="L998" i="24"/>
  <c r="M998" i="24" s="1"/>
  <c r="S998" i="24" l="1"/>
  <c r="T998" i="24" s="1"/>
  <c r="AA998" i="24" s="1"/>
  <c r="AC998" i="24" l="1"/>
  <c r="AB998" i="24"/>
  <c r="R998" i="24"/>
  <c r="W998" i="24" l="1"/>
  <c r="AD998" i="24" s="1"/>
  <c r="X998" i="24"/>
  <c r="AE998" i="24" s="1"/>
  <c r="Y998" i="24"/>
  <c r="AF998" i="24" s="1"/>
  <c r="I999" i="24" l="1"/>
  <c r="D999" i="24"/>
  <c r="C999" i="24"/>
  <c r="H999" i="24"/>
  <c r="B999" i="24"/>
  <c r="G999" i="24"/>
  <c r="F999" i="24" l="1"/>
  <c r="U999" i="24"/>
  <c r="V999" i="24"/>
  <c r="AG998" i="24"/>
  <c r="J999" i="24"/>
  <c r="E999" i="24"/>
  <c r="O999" i="24" l="1"/>
  <c r="P999" i="24"/>
  <c r="Q999" i="24" s="1"/>
  <c r="K999" i="24"/>
  <c r="L999" i="24"/>
  <c r="M999" i="24" s="1"/>
  <c r="S999" i="24" l="1"/>
  <c r="T999" i="24" s="1"/>
  <c r="AB999" i="24" s="1"/>
  <c r="R999" i="24"/>
  <c r="AC999" i="24" l="1"/>
  <c r="Y999" i="24"/>
  <c r="AF999" i="24" s="1"/>
  <c r="X999" i="24"/>
  <c r="AE999" i="24" s="1"/>
  <c r="W999" i="24"/>
  <c r="AA999" i="24"/>
  <c r="AD999" i="24" l="1"/>
  <c r="H1000" i="24"/>
  <c r="C1000" i="24"/>
  <c r="I1000" i="24"/>
  <c r="D1000" i="24"/>
  <c r="U1000" i="24" l="1"/>
  <c r="V1000" i="24"/>
  <c r="AG999" i="24"/>
  <c r="G1000" i="24"/>
  <c r="B1000" i="24"/>
  <c r="E1000" i="24" l="1"/>
  <c r="J1000" i="24"/>
  <c r="F1000" i="24"/>
  <c r="O1000" i="24" l="1"/>
  <c r="K1000" i="24"/>
  <c r="L1000" i="24"/>
  <c r="M1000" i="24" s="1"/>
  <c r="P1000" i="24"/>
  <c r="Q1000" i="24" s="1"/>
  <c r="S1000" i="24" l="1"/>
  <c r="T1000" i="24" s="1"/>
  <c r="AC1000" i="24" s="1"/>
  <c r="AA1000" i="24" l="1"/>
  <c r="AB1000" i="24"/>
  <c r="R1000" i="24"/>
  <c r="X1000" i="24" l="1"/>
  <c r="AE1000" i="24" s="1"/>
  <c r="W1000" i="24"/>
  <c r="AD1000" i="24" s="1"/>
  <c r="Y1000" i="24"/>
  <c r="AF1000" i="24" s="1"/>
  <c r="B1001" i="24" l="1"/>
  <c r="G1001" i="24"/>
  <c r="D1001" i="24"/>
  <c r="I1001" i="24"/>
  <c r="H1001" i="24"/>
  <c r="C1001" i="24"/>
  <c r="U1001" i="24" l="1"/>
  <c r="V1001" i="24"/>
  <c r="AG1000" i="24"/>
  <c r="F1001" i="24"/>
  <c r="J1001" i="24"/>
  <c r="E1001" i="24"/>
  <c r="O1001" i="24" l="1"/>
  <c r="L1001" i="24"/>
  <c r="M1001" i="24" s="1"/>
  <c r="P1001" i="24"/>
  <c r="Q1001" i="24" s="1"/>
  <c r="K1001" i="24"/>
  <c r="S1001" i="24" l="1"/>
  <c r="T1001" i="24" s="1"/>
  <c r="AB1001" i="24" s="1"/>
  <c r="AC1001" i="24" l="1"/>
  <c r="AA1001" i="24"/>
  <c r="R1001" i="24"/>
  <c r="X1001" i="24" l="1"/>
  <c r="AE1001" i="24" s="1"/>
  <c r="W1001" i="24"/>
  <c r="AD1001" i="24" s="1"/>
  <c r="Y1001" i="24"/>
  <c r="AF1001" i="24" s="1"/>
  <c r="I1002" i="24" l="1"/>
  <c r="D1002" i="24"/>
  <c r="B1002" i="24"/>
  <c r="G1002" i="24"/>
  <c r="H1002" i="24"/>
  <c r="C1002" i="24"/>
  <c r="E1002" i="24" l="1"/>
  <c r="F1002" i="24"/>
  <c r="V1002" i="24"/>
  <c r="U1002" i="24"/>
  <c r="AG1001" i="24"/>
  <c r="J1002" i="24"/>
  <c r="O1002" i="24" s="1"/>
  <c r="P1002" i="24" l="1"/>
  <c r="Q1002" i="24" s="1"/>
  <c r="K1002" i="24"/>
  <c r="L1002" i="24"/>
  <c r="M1002" i="24" s="1"/>
  <c r="S1002" i="24" l="1"/>
  <c r="T1002" i="24" s="1"/>
  <c r="AA1002" i="24" s="1"/>
  <c r="AB1002" i="24"/>
  <c r="AC1002" i="24"/>
  <c r="R1002" i="24"/>
  <c r="X1002" i="24" l="1"/>
  <c r="AE1002" i="24" s="1"/>
  <c r="Y1002" i="24"/>
  <c r="AF1002" i="24" s="1"/>
  <c r="W1002" i="24"/>
  <c r="AD1002" i="24" s="1"/>
  <c r="B1003" i="24" l="1"/>
  <c r="G1003" i="24"/>
  <c r="D1003" i="24"/>
  <c r="I1003" i="24"/>
  <c r="H1003" i="24"/>
  <c r="C1003" i="24"/>
  <c r="V1003" i="24" l="1"/>
  <c r="U1003" i="24"/>
  <c r="O1003" i="24"/>
  <c r="AG1002" i="24"/>
  <c r="F1003" i="24"/>
  <c r="J1003" i="24"/>
  <c r="E1003" i="24"/>
  <c r="P1003" i="24" l="1"/>
  <c r="Q1003" i="24" s="1"/>
  <c r="L1003" i="24"/>
  <c r="M1003" i="24" s="1"/>
  <c r="K1003" i="24"/>
  <c r="S1003" i="24" l="1"/>
  <c r="T1003" i="24" s="1"/>
  <c r="AB1003" i="24" s="1"/>
  <c r="AA1003" i="24"/>
  <c r="R1003" i="24"/>
  <c r="AC1003" i="24" l="1"/>
  <c r="Y1003" i="24"/>
  <c r="AF1003" i="24" s="1"/>
  <c r="X1003" i="24"/>
  <c r="AE1003" i="24" s="1"/>
  <c r="W1003" i="24"/>
  <c r="AD1003" i="24" s="1"/>
  <c r="B1004" i="24" l="1"/>
  <c r="G1004" i="24"/>
  <c r="C1004" i="24"/>
  <c r="H1004" i="24"/>
  <c r="I1004" i="24"/>
  <c r="D1004" i="24"/>
  <c r="F1004" i="24" l="1"/>
  <c r="U1004" i="24"/>
  <c r="V1004" i="24"/>
  <c r="AG1003" i="24"/>
  <c r="J1004" i="24"/>
  <c r="E1004" i="24"/>
  <c r="O1004" i="24" l="1"/>
  <c r="K1004" i="24"/>
  <c r="P1004" i="24"/>
  <c r="Q1004" i="24" s="1"/>
  <c r="L1004" i="24"/>
  <c r="M1004" i="24" s="1"/>
  <c r="S1004" i="24" l="1"/>
  <c r="T1004" i="24" s="1"/>
  <c r="AC1004" i="24" s="1"/>
  <c r="AB1004" i="24" l="1"/>
  <c r="AA1004" i="24"/>
  <c r="R1004" i="24"/>
  <c r="X1004" i="24" l="1"/>
  <c r="AE1004" i="24" s="1"/>
  <c r="Y1004" i="24"/>
  <c r="AF1004" i="24" s="1"/>
  <c r="W1004" i="24"/>
  <c r="AD1004" i="24" s="1"/>
  <c r="D1005" i="24" l="1"/>
  <c r="I1005" i="24"/>
  <c r="G1005" i="24"/>
  <c r="B1005" i="24"/>
  <c r="C1005" i="24"/>
  <c r="H1005" i="24"/>
  <c r="J1005" i="24" l="1"/>
  <c r="E1005" i="24"/>
  <c r="F1005" i="24"/>
  <c r="U1005" i="24"/>
  <c r="V1005" i="24"/>
  <c r="AG1004" i="24"/>
  <c r="O1005" i="24" l="1"/>
  <c r="K1005" i="24"/>
  <c r="P1005" i="24"/>
  <c r="Q1005" i="24" s="1"/>
  <c r="L1005" i="24"/>
  <c r="M1005" i="24" s="1"/>
  <c r="S1005" i="24" l="1"/>
  <c r="T1005" i="24" s="1"/>
  <c r="AA1005" i="24" s="1"/>
  <c r="AB1005" i="24"/>
  <c r="AC1005" i="24" l="1"/>
  <c r="R1005" i="24"/>
  <c r="X1005" i="24" l="1"/>
  <c r="AE1005" i="24" s="1"/>
  <c r="Y1005" i="24"/>
  <c r="AF1005" i="24" s="1"/>
  <c r="W1005" i="24"/>
  <c r="AD1005" i="24" s="1"/>
  <c r="I1006" i="24" l="1"/>
  <c r="D1006" i="24"/>
  <c r="G1006" i="24"/>
  <c r="B1006" i="24"/>
  <c r="C1006" i="24"/>
  <c r="H1006" i="24"/>
  <c r="E1006" i="24" l="1"/>
  <c r="J1006" i="24"/>
  <c r="U1006" i="24"/>
  <c r="V1006" i="24"/>
  <c r="AG1005" i="24"/>
  <c r="F1006" i="24"/>
  <c r="O1006" i="24" l="1"/>
  <c r="P1006" i="24"/>
  <c r="Q1006" i="24" s="1"/>
  <c r="K1006" i="24"/>
  <c r="L1006" i="24"/>
  <c r="M1006" i="24" s="1"/>
  <c r="S1006" i="24" l="1"/>
  <c r="T1006" i="24" s="1"/>
  <c r="AA1006" i="24"/>
  <c r="AB1006" i="24"/>
  <c r="AC1006" i="24"/>
  <c r="R1006" i="24"/>
  <c r="X1006" i="24" l="1"/>
  <c r="AE1006" i="24" s="1"/>
  <c r="Y1006" i="24"/>
  <c r="AF1006" i="24" s="1"/>
  <c r="W1006" i="24"/>
  <c r="AD1006" i="24" s="1"/>
  <c r="I1007" i="24" l="1"/>
  <c r="D1007" i="24"/>
  <c r="B1007" i="24"/>
  <c r="G1007" i="24"/>
  <c r="H1007" i="24"/>
  <c r="C1007" i="24"/>
  <c r="J1007" i="24" l="1"/>
  <c r="E1007" i="24"/>
  <c r="V1007" i="24"/>
  <c r="U1007" i="24"/>
  <c r="AG1006" i="24"/>
  <c r="F1007" i="24"/>
  <c r="O1007" i="24" l="1"/>
  <c r="L1007" i="24"/>
  <c r="M1007" i="24" s="1"/>
  <c r="P1007" i="24"/>
  <c r="Q1007" i="24" s="1"/>
  <c r="K1007" i="24"/>
  <c r="S1007" i="24" l="1"/>
  <c r="T1007" i="24" s="1"/>
  <c r="AB1007" i="24"/>
  <c r="AC1007" i="24"/>
  <c r="AA1007" i="24"/>
  <c r="R1007" i="24"/>
  <c r="Y1007" i="24" l="1"/>
  <c r="AF1007" i="24" s="1"/>
  <c r="W1007" i="24"/>
  <c r="AD1007" i="24" s="1"/>
  <c r="X1007" i="24"/>
  <c r="AE1007" i="24" s="1"/>
  <c r="C1008" i="24" l="1"/>
  <c r="H1008" i="24"/>
  <c r="G1008" i="24"/>
  <c r="B1008" i="24"/>
  <c r="I1008" i="24"/>
  <c r="D1008" i="24"/>
  <c r="E1008" i="24" l="1"/>
  <c r="J1008" i="24"/>
  <c r="V1008" i="24"/>
  <c r="U1008" i="24"/>
  <c r="AG1007" i="24"/>
  <c r="F1008" i="24"/>
  <c r="O1008" i="24" l="1"/>
  <c r="P1008" i="24"/>
  <c r="Q1008" i="24" s="1"/>
  <c r="K1008" i="24"/>
  <c r="L1008" i="24"/>
  <c r="M1008" i="24" s="1"/>
  <c r="S1008" i="24" l="1"/>
  <c r="T1008" i="24" s="1"/>
  <c r="AC1008" i="24" s="1"/>
  <c r="AB1008" i="24"/>
  <c r="AA1008" i="24" l="1"/>
  <c r="R1008" i="24"/>
  <c r="W1008" i="24" s="1"/>
  <c r="AD1008" i="24" s="1"/>
  <c r="Y1008" i="24" l="1"/>
  <c r="AF1008" i="24" s="1"/>
  <c r="X1008" i="24"/>
  <c r="AE1008" i="24" s="1"/>
  <c r="C1009" i="24" s="1"/>
  <c r="I1009" i="24"/>
  <c r="D1009" i="24"/>
  <c r="B1009" i="24"/>
  <c r="G1009" i="24"/>
  <c r="H1009" i="24"/>
  <c r="J1009" i="24" l="1"/>
  <c r="V1009" i="24"/>
  <c r="U1009" i="24"/>
  <c r="AG1008" i="24"/>
  <c r="E1009" i="24"/>
  <c r="F1009" i="24"/>
  <c r="O1009" i="24" l="1"/>
  <c r="L1009" i="24"/>
  <c r="M1009" i="24" s="1"/>
  <c r="P1009" i="24"/>
  <c r="Q1009" i="24" s="1"/>
  <c r="K1009" i="24"/>
  <c r="S1009" i="24" l="1"/>
  <c r="T1009" i="24" s="1"/>
  <c r="AA1009" i="24" s="1"/>
  <c r="AC1009" i="24" l="1"/>
  <c r="AB1009" i="24"/>
  <c r="R1009" i="24"/>
  <c r="X1009" i="24" l="1"/>
  <c r="AE1009" i="24" s="1"/>
  <c r="W1009" i="24"/>
  <c r="AD1009" i="24" s="1"/>
  <c r="Y1009" i="24"/>
  <c r="AF1009" i="24" s="1"/>
  <c r="D1010" i="24" l="1"/>
  <c r="I1010" i="24"/>
  <c r="B1010" i="24"/>
  <c r="G1010" i="24"/>
  <c r="C1010" i="24"/>
  <c r="H1010" i="24"/>
  <c r="J1010" i="24" l="1"/>
  <c r="E1010" i="24"/>
  <c r="L1010" i="24"/>
  <c r="M1010" i="24" s="1"/>
  <c r="P1010" i="24"/>
  <c r="Q1010" i="24" s="1"/>
  <c r="K1010" i="24"/>
  <c r="F1010" i="24"/>
  <c r="U1010" i="24"/>
  <c r="V1010" i="24"/>
  <c r="O1010" i="24"/>
  <c r="AG1009" i="24"/>
  <c r="S1010" i="24" l="1"/>
  <c r="T1010" i="24" s="1"/>
  <c r="AA1010" i="24" s="1"/>
  <c r="AB1010" i="24"/>
  <c r="R1010" i="24"/>
  <c r="X1010" i="24" l="1"/>
  <c r="AE1010" i="24" s="1"/>
  <c r="Y1010" i="24"/>
  <c r="W1010" i="24"/>
  <c r="AD1010" i="24" s="1"/>
  <c r="AC1010" i="24"/>
  <c r="G1011" i="24" l="1"/>
  <c r="B1011" i="24"/>
  <c r="AF1010" i="24"/>
  <c r="C1011" i="24"/>
  <c r="H1011" i="24"/>
  <c r="F1011" i="24" l="1"/>
  <c r="E1011" i="24"/>
  <c r="I1011" i="24"/>
  <c r="D1011" i="24"/>
  <c r="J1011" i="24" l="1"/>
  <c r="AG1010" i="24"/>
  <c r="V1011" i="24"/>
  <c r="O1011" i="24"/>
  <c r="U1011" i="24"/>
  <c r="P1011" i="24" l="1"/>
  <c r="Q1011" i="24" s="1"/>
  <c r="K1011" i="24"/>
  <c r="L1011" i="24"/>
  <c r="M1011" i="24" s="1"/>
  <c r="S1011" i="24" l="1"/>
  <c r="T1011" i="24" s="1"/>
  <c r="AB1011" i="24" s="1"/>
  <c r="AA1011" i="24"/>
  <c r="R1011" i="24"/>
  <c r="AC1011" i="24" l="1"/>
  <c r="W1011" i="24"/>
  <c r="AD1011" i="24" s="1"/>
  <c r="X1011" i="24"/>
  <c r="AE1011" i="24" s="1"/>
  <c r="Y1011" i="24"/>
  <c r="AF1011" i="24" s="1"/>
  <c r="D1012" i="24" l="1"/>
  <c r="I1012" i="24"/>
  <c r="H1012" i="24"/>
  <c r="C1012" i="24"/>
  <c r="B1012" i="24"/>
  <c r="G1012" i="24"/>
  <c r="J1012" i="24" l="1"/>
  <c r="E1012" i="24"/>
  <c r="F1012" i="24"/>
  <c r="U1012" i="24"/>
  <c r="V1012" i="24"/>
  <c r="AG1011" i="24"/>
  <c r="O1012" i="24" l="1"/>
  <c r="L1012" i="24"/>
  <c r="M1012" i="24" s="1"/>
  <c r="K1012" i="24"/>
  <c r="P1012" i="24"/>
  <c r="Q1012" i="24" s="1"/>
  <c r="S1012" i="24" l="1"/>
  <c r="T1012" i="24" s="1"/>
  <c r="AC1012" i="24" s="1"/>
  <c r="AB1012" i="24" l="1"/>
  <c r="AA1012" i="24"/>
  <c r="R1012" i="24"/>
  <c r="X1012" i="24" l="1"/>
  <c r="AE1012" i="24" s="1"/>
  <c r="W1012" i="24"/>
  <c r="AD1012" i="24" s="1"/>
  <c r="Y1012" i="24"/>
  <c r="AF1012" i="24" s="1"/>
  <c r="I1013" i="24" l="1"/>
  <c r="D1013" i="24"/>
  <c r="G1013" i="24"/>
  <c r="B1013" i="24"/>
  <c r="H1013" i="24"/>
  <c r="C1013" i="24"/>
  <c r="E1013" i="24" l="1"/>
  <c r="J1013" i="24"/>
  <c r="O1013" i="24" s="1"/>
  <c r="F1013" i="24"/>
  <c r="U1013" i="24"/>
  <c r="V1013" i="24"/>
  <c r="AG1012" i="24"/>
  <c r="K1013" i="24" l="1"/>
  <c r="P1013" i="24"/>
  <c r="Q1013" i="24" s="1"/>
  <c r="L1013" i="24"/>
  <c r="M1013" i="24" s="1"/>
  <c r="S1013" i="24" l="1"/>
  <c r="T1013" i="24" s="1"/>
  <c r="AA1013" i="24" s="1"/>
  <c r="AB1013" i="24" l="1"/>
  <c r="AC1013" i="24"/>
  <c r="R1013" i="24"/>
  <c r="Y1013" i="24" l="1"/>
  <c r="AF1013" i="24" s="1"/>
  <c r="X1013" i="24"/>
  <c r="AE1013" i="24" s="1"/>
  <c r="W1013" i="24"/>
  <c r="AD1013" i="24" s="1"/>
  <c r="B1014" i="24" l="1"/>
  <c r="G1014" i="24"/>
  <c r="H1014" i="24"/>
  <c r="C1014" i="24"/>
  <c r="I1014" i="24"/>
  <c r="D1014" i="24"/>
  <c r="F1014" i="24" l="1"/>
  <c r="J1014" i="24"/>
  <c r="V1014" i="24"/>
  <c r="U1014" i="24"/>
  <c r="AG1013" i="24"/>
  <c r="E1014" i="24"/>
  <c r="O1014" i="24" l="1"/>
  <c r="K1014" i="24"/>
  <c r="L1014" i="24"/>
  <c r="M1014" i="24" s="1"/>
  <c r="P1014" i="24"/>
  <c r="Q1014" i="24" s="1"/>
  <c r="S1014" i="24" l="1"/>
  <c r="T1014" i="24" s="1"/>
  <c r="AA1014" i="24" s="1"/>
  <c r="AC1014" i="24" l="1"/>
  <c r="AB1014" i="24"/>
  <c r="R1014" i="24"/>
  <c r="W1014" i="24" l="1"/>
  <c r="AD1014" i="24" s="1"/>
  <c r="X1014" i="24"/>
  <c r="AE1014" i="24" s="1"/>
  <c r="Y1014" i="24"/>
  <c r="AF1014" i="24" s="1"/>
  <c r="H1015" i="24" l="1"/>
  <c r="C1015" i="24"/>
  <c r="I1015" i="24"/>
  <c r="D1015" i="24"/>
  <c r="B1015" i="24"/>
  <c r="G1015" i="24"/>
  <c r="U1015" i="24" l="1"/>
  <c r="V1015" i="24"/>
  <c r="O1015" i="24"/>
  <c r="AG1014" i="24"/>
  <c r="J1015" i="24"/>
  <c r="F1015" i="24"/>
  <c r="E1015" i="24"/>
  <c r="P1015" i="24" l="1"/>
  <c r="Q1015" i="24" s="1"/>
  <c r="K1015" i="24"/>
  <c r="L1015" i="24"/>
  <c r="M1015" i="24" s="1"/>
  <c r="S1015" i="24" l="1"/>
  <c r="T1015" i="24" s="1"/>
  <c r="AB1015" i="24" s="1"/>
  <c r="AA1015" i="24"/>
  <c r="AC1015" i="24"/>
  <c r="R1015" i="24"/>
  <c r="Y1015" i="24" l="1"/>
  <c r="AF1015" i="24" s="1"/>
  <c r="W1015" i="24"/>
  <c r="AD1015" i="24" s="1"/>
  <c r="X1015" i="24"/>
  <c r="AE1015" i="24" s="1"/>
  <c r="G1016" i="24" l="1"/>
  <c r="B1016" i="24"/>
  <c r="C1016" i="24"/>
  <c r="H1016" i="24"/>
  <c r="I1016" i="24"/>
  <c r="D1016" i="24"/>
  <c r="F1016" i="24" l="1"/>
  <c r="U1016" i="24"/>
  <c r="V1016" i="24"/>
  <c r="AG1015" i="24"/>
  <c r="E1016" i="24"/>
  <c r="J1016" i="24"/>
  <c r="O1016" i="24" l="1"/>
  <c r="K1016" i="24"/>
  <c r="P1016" i="24"/>
  <c r="Q1016" i="24" s="1"/>
  <c r="L1016" i="24"/>
  <c r="M1016" i="24" s="1"/>
  <c r="S1016" i="24" l="1"/>
  <c r="T1016" i="24" s="1"/>
  <c r="AC1016" i="24" s="1"/>
  <c r="AA1016" i="24"/>
  <c r="R1016" i="24"/>
  <c r="X1016" i="24" l="1"/>
  <c r="Y1016" i="24"/>
  <c r="AF1016" i="24" s="1"/>
  <c r="W1016" i="24"/>
  <c r="AD1016" i="24" s="1"/>
  <c r="AB1016" i="24"/>
  <c r="D1017" i="24" l="1"/>
  <c r="I1017" i="24"/>
  <c r="G1017" i="24"/>
  <c r="B1017" i="24"/>
  <c r="AE1016" i="24"/>
  <c r="H1017" i="24" l="1"/>
  <c r="J1017" i="24" s="1"/>
  <c r="C1017" i="24"/>
  <c r="V1017" i="24"/>
  <c r="U1017" i="24"/>
  <c r="AG1016" i="24"/>
  <c r="K1017" i="24" l="1"/>
  <c r="L1017" i="24"/>
  <c r="M1017" i="24" s="1"/>
  <c r="P1017" i="24"/>
  <c r="Q1017" i="24" s="1"/>
  <c r="O1017" i="24"/>
  <c r="F1017" i="24"/>
  <c r="E1017" i="24"/>
  <c r="R1017" i="24" l="1"/>
  <c r="S1017" i="24"/>
  <c r="T1017" i="24" s="1"/>
  <c r="AA1017" i="24" s="1"/>
  <c r="AB1017" i="24"/>
  <c r="AC1017" i="24" l="1"/>
  <c r="W1017" i="24"/>
  <c r="AD1017" i="24" s="1"/>
  <c r="Y1017" i="24"/>
  <c r="AF1017" i="24" s="1"/>
  <c r="X1017" i="24"/>
  <c r="AE1017" i="24" s="1"/>
  <c r="I1018" i="24" l="1"/>
  <c r="D1018" i="24"/>
  <c r="C1018" i="24"/>
  <c r="H1018" i="24"/>
  <c r="B1018" i="24"/>
  <c r="G1018" i="24"/>
  <c r="F1018" i="24" l="1"/>
  <c r="J1018" i="24"/>
  <c r="U1018" i="24"/>
  <c r="V1018" i="24"/>
  <c r="AG1017" i="24"/>
  <c r="E1018" i="24"/>
  <c r="O1018" i="24" l="1"/>
  <c r="L1018" i="24"/>
  <c r="M1018" i="24" s="1"/>
  <c r="P1018" i="24"/>
  <c r="Q1018" i="24" s="1"/>
  <c r="K1018" i="24"/>
  <c r="S1018" i="24" l="1"/>
  <c r="T1018" i="24" s="1"/>
  <c r="AA1018" i="24" s="1"/>
  <c r="AB1018" i="24" l="1"/>
  <c r="AC1018" i="24"/>
  <c r="R1018" i="24"/>
  <c r="W1018" i="24" l="1"/>
  <c r="AD1018" i="24" s="1"/>
  <c r="X1018" i="24"/>
  <c r="AE1018" i="24" s="1"/>
  <c r="Y1018" i="24"/>
  <c r="AF1018" i="24" s="1"/>
  <c r="C1019" i="24" l="1"/>
  <c r="H1019" i="24"/>
  <c r="I1019" i="24"/>
  <c r="D1019" i="24"/>
  <c r="G1019" i="24"/>
  <c r="B1019" i="24"/>
  <c r="V1019" i="24" l="1"/>
  <c r="U1019" i="24"/>
  <c r="AG1018" i="24"/>
  <c r="E1019" i="24"/>
  <c r="J1019" i="24"/>
  <c r="F1019" i="24"/>
  <c r="O1019" i="24" l="1"/>
  <c r="P1019" i="24"/>
  <c r="Q1019" i="24" s="1"/>
  <c r="K1019" i="24"/>
  <c r="L1019" i="24"/>
  <c r="M1019" i="24" s="1"/>
  <c r="S1019" i="24" l="1"/>
  <c r="T1019" i="24" s="1"/>
  <c r="AB1019" i="24" s="1"/>
  <c r="AC1019" i="24" l="1"/>
  <c r="AA1019" i="24"/>
  <c r="R1019" i="24"/>
  <c r="X1019" i="24" l="1"/>
  <c r="AE1019" i="24" s="1"/>
  <c r="Y1019" i="24"/>
  <c r="AF1019" i="24" s="1"/>
  <c r="W1019" i="24"/>
  <c r="AD1019" i="24" s="1"/>
  <c r="I1020" i="24" l="1"/>
  <c r="D1020" i="24"/>
  <c r="B1020" i="24"/>
  <c r="G1020" i="24"/>
  <c r="C1020" i="24"/>
  <c r="H1020" i="24"/>
  <c r="J1020" i="24" l="1"/>
  <c r="U1020" i="24"/>
  <c r="V1020" i="24"/>
  <c r="AG1019" i="24"/>
  <c r="E1020" i="24"/>
  <c r="F1020" i="24"/>
  <c r="O1020" i="24" l="1"/>
  <c r="K1020" i="24"/>
  <c r="P1020" i="24"/>
  <c r="Q1020" i="24" s="1"/>
  <c r="L1020" i="24"/>
  <c r="M1020" i="24" s="1"/>
  <c r="S1020" i="24" l="1"/>
  <c r="T1020" i="24" s="1"/>
  <c r="AC1020" i="24" s="1"/>
  <c r="AB1020" i="24"/>
  <c r="AA1020" i="24"/>
  <c r="R1020" i="24"/>
  <c r="X1020" i="24" l="1"/>
  <c r="AE1020" i="24" s="1"/>
  <c r="W1020" i="24"/>
  <c r="AD1020" i="24" s="1"/>
  <c r="Y1020" i="24"/>
  <c r="AF1020" i="24" s="1"/>
  <c r="D1021" i="24" l="1"/>
  <c r="I1021" i="24"/>
  <c r="B1021" i="24"/>
  <c r="G1021" i="24"/>
  <c r="H1021" i="24"/>
  <c r="C1021" i="24"/>
  <c r="J1021" i="24" l="1"/>
  <c r="E1021" i="24"/>
  <c r="F1021" i="24"/>
  <c r="U1021" i="24"/>
  <c r="V1021" i="24"/>
  <c r="AG1020" i="24"/>
  <c r="O1021" i="24" l="1"/>
  <c r="K1021" i="24"/>
  <c r="P1021" i="24"/>
  <c r="Q1021" i="24" s="1"/>
  <c r="L1021" i="24"/>
  <c r="M1021" i="24" s="1"/>
  <c r="S1021" i="24" l="1"/>
  <c r="T1021" i="24" s="1"/>
  <c r="AA1021" i="24" s="1"/>
  <c r="AC1021" i="24" l="1"/>
  <c r="AB1021" i="24"/>
  <c r="R1021" i="24"/>
  <c r="W1021" i="24" l="1"/>
  <c r="AD1021" i="24" s="1"/>
  <c r="X1021" i="24"/>
  <c r="AE1021" i="24" s="1"/>
  <c r="Y1021" i="24"/>
  <c r="AF1021" i="24" s="1"/>
  <c r="C1022" i="24" l="1"/>
  <c r="H1022" i="24"/>
  <c r="D1022" i="24"/>
  <c r="I1022" i="24"/>
  <c r="G1022" i="24"/>
  <c r="B1022" i="24"/>
  <c r="V1022" i="24" l="1"/>
  <c r="U1022" i="24"/>
  <c r="AG1021" i="24"/>
  <c r="E1022" i="24"/>
  <c r="J1022" i="24"/>
  <c r="F1022" i="24"/>
  <c r="O1022" i="24" l="1"/>
  <c r="L1022" i="24"/>
  <c r="M1022" i="24" s="1"/>
  <c r="P1022" i="24"/>
  <c r="Q1022" i="24" s="1"/>
  <c r="K1022" i="24"/>
  <c r="S1022" i="24" l="1"/>
  <c r="T1022" i="24" s="1"/>
  <c r="AA1022" i="24" s="1"/>
  <c r="AC1022" i="24"/>
  <c r="R1022" i="24"/>
  <c r="AB1022" i="24" l="1"/>
  <c r="X1022" i="24"/>
  <c r="Y1022" i="24"/>
  <c r="AF1022" i="24" s="1"/>
  <c r="W1022" i="24"/>
  <c r="AD1022" i="24" s="1"/>
  <c r="AE1022" i="24" l="1"/>
  <c r="B1023" i="24"/>
  <c r="G1023" i="24"/>
  <c r="I1023" i="24"/>
  <c r="D1023" i="24"/>
  <c r="C1023" i="24"/>
  <c r="H1023" i="24"/>
  <c r="J1023" i="24" l="1"/>
  <c r="U1023" i="24"/>
  <c r="V1023" i="24"/>
  <c r="AG1022" i="24"/>
  <c r="F1023" i="24"/>
  <c r="E1023" i="24"/>
  <c r="O1023" i="24" l="1"/>
  <c r="L1023" i="24"/>
  <c r="M1023" i="24" s="1"/>
  <c r="P1023" i="24"/>
  <c r="Q1023" i="24" s="1"/>
  <c r="K1023" i="24"/>
  <c r="S1023" i="24" l="1"/>
  <c r="T1023" i="24" s="1"/>
  <c r="AB1023" i="24" s="1"/>
  <c r="AC1023" i="24"/>
  <c r="AA1023" i="24"/>
  <c r="R1023" i="24" l="1"/>
  <c r="Y1023" i="24" s="1"/>
  <c r="AF1023" i="24" s="1"/>
  <c r="X1023" i="24" l="1"/>
  <c r="AE1023" i="24" s="1"/>
  <c r="W1023" i="24"/>
  <c r="AD1023" i="24" s="1"/>
  <c r="B1024" i="24" s="1"/>
  <c r="H1024" i="24"/>
  <c r="C1024" i="24"/>
  <c r="G1024" i="24"/>
  <c r="I1024" i="24"/>
  <c r="D1024" i="24"/>
  <c r="J1024" i="24" l="1"/>
  <c r="E1024" i="24"/>
  <c r="U1024" i="24"/>
  <c r="V1024" i="24"/>
  <c r="AG1023" i="24"/>
  <c r="F1024" i="24"/>
  <c r="O1024" i="24" l="1"/>
  <c r="L1024" i="24"/>
  <c r="M1024" i="24" s="1"/>
  <c r="K1024" i="24"/>
  <c r="P1024" i="24"/>
  <c r="Q1024" i="24" s="1"/>
  <c r="S1024" i="24" l="1"/>
  <c r="T1024" i="24" s="1"/>
  <c r="AC1024" i="24"/>
  <c r="AB1024" i="24"/>
  <c r="AA1024" i="24"/>
  <c r="R1024" i="24"/>
  <c r="X1024" i="24" l="1"/>
  <c r="AE1024" i="24" s="1"/>
  <c r="W1024" i="24"/>
  <c r="AD1024" i="24" s="1"/>
  <c r="Y1024" i="24"/>
  <c r="AF1024" i="24" s="1"/>
  <c r="G1025" i="24" l="1"/>
  <c r="B1025" i="24"/>
  <c r="D1025" i="24"/>
  <c r="I1025" i="24"/>
  <c r="H1025" i="24"/>
  <c r="C1025" i="24"/>
  <c r="E1025" i="24" l="1"/>
  <c r="U1025" i="24"/>
  <c r="V1025" i="24"/>
  <c r="AG1024" i="24"/>
  <c r="F1025" i="24"/>
  <c r="J1025" i="24"/>
  <c r="K1025" i="24" l="1"/>
  <c r="P1025" i="24"/>
  <c r="Q1025" i="24" s="1"/>
  <c r="L1025" i="24"/>
  <c r="M1025" i="24" s="1"/>
  <c r="O1025" i="24"/>
  <c r="S1025" i="24" l="1"/>
  <c r="T1025" i="24" s="1"/>
  <c r="AA1025" i="24" s="1"/>
  <c r="AC1025" i="24"/>
  <c r="R1025" i="24"/>
  <c r="X1025" i="24" l="1"/>
  <c r="W1025" i="24"/>
  <c r="AD1025" i="24" s="1"/>
  <c r="Y1025" i="24"/>
  <c r="AF1025" i="24" s="1"/>
  <c r="AB1025" i="24"/>
  <c r="I1026" i="24" l="1"/>
  <c r="D1026" i="24"/>
  <c r="G1026" i="24"/>
  <c r="B1026" i="24"/>
  <c r="AE1025" i="24"/>
  <c r="AG1025" i="24" l="1"/>
  <c r="U1026" i="24"/>
  <c r="V1026" i="24"/>
  <c r="H1026" i="24"/>
  <c r="J1026" i="24" s="1"/>
  <c r="C1026" i="24"/>
  <c r="P1026" i="24" l="1"/>
  <c r="Q1026" i="24" s="1"/>
  <c r="L1026" i="24"/>
  <c r="M1026" i="24" s="1"/>
  <c r="K1026" i="24"/>
  <c r="O1026" i="24"/>
  <c r="F1026" i="24"/>
  <c r="E1026" i="24"/>
  <c r="S1026" i="24" l="1"/>
  <c r="T1026" i="24" s="1"/>
  <c r="AA1026" i="24" s="1"/>
  <c r="AC1026" i="24"/>
  <c r="AB1026" i="24"/>
  <c r="R1026" i="24"/>
  <c r="W1026" i="24" l="1"/>
  <c r="AD1026" i="24" s="1"/>
  <c r="X1026" i="24"/>
  <c r="AE1026" i="24" s="1"/>
  <c r="Y1026" i="24"/>
  <c r="AF1026" i="24" s="1"/>
  <c r="D1027" i="24" l="1"/>
  <c r="I1027" i="24"/>
  <c r="C1027" i="24"/>
  <c r="H1027" i="24"/>
  <c r="G1027" i="24"/>
  <c r="B1027" i="24"/>
  <c r="F1027" i="24" l="1"/>
  <c r="E1027" i="24"/>
  <c r="J1027" i="24"/>
  <c r="V1027" i="24"/>
  <c r="U1027" i="24"/>
  <c r="AG1026" i="24"/>
  <c r="O1027" i="24" l="1"/>
  <c r="L1027" i="24"/>
  <c r="M1027" i="24" s="1"/>
  <c r="P1027" i="24"/>
  <c r="Q1027" i="24" s="1"/>
  <c r="K1027" i="24"/>
  <c r="S1027" i="24" l="1"/>
  <c r="T1027" i="24" s="1"/>
  <c r="AB1027" i="24"/>
  <c r="AA1027" i="24"/>
  <c r="AC1027" i="24"/>
  <c r="R1027" i="24"/>
  <c r="Y1027" i="24" l="1"/>
  <c r="AF1027" i="24" s="1"/>
  <c r="X1027" i="24"/>
  <c r="AE1027" i="24" s="1"/>
  <c r="W1027" i="24"/>
  <c r="AD1027" i="24" s="1"/>
  <c r="B1028" i="24" l="1"/>
  <c r="G1028" i="24"/>
  <c r="C1028" i="24"/>
  <c r="H1028" i="24"/>
  <c r="I1028" i="24"/>
  <c r="D1028" i="24"/>
  <c r="F1028" i="24" l="1"/>
  <c r="V1028" i="24"/>
  <c r="U1028" i="24"/>
  <c r="AG1027" i="24"/>
  <c r="J1028" i="24"/>
  <c r="E1028" i="24"/>
  <c r="O1028" i="24" l="1"/>
  <c r="L1028" i="24"/>
  <c r="M1028" i="24" s="1"/>
  <c r="K1028" i="24"/>
  <c r="P1028" i="24"/>
  <c r="Q1028" i="24" s="1"/>
  <c r="S1028" i="24" l="1"/>
  <c r="T1028" i="24" s="1"/>
  <c r="AA1028" i="24"/>
  <c r="AB1028" i="24"/>
  <c r="AC1028" i="24"/>
  <c r="R1028" i="24" l="1"/>
  <c r="X1028" i="24" s="1"/>
  <c r="AE1028" i="24" s="1"/>
  <c r="Y1028" i="24"/>
  <c r="AF1028" i="24" s="1"/>
  <c r="W1028" i="24"/>
  <c r="AD1028" i="24" s="1"/>
  <c r="B1029" i="24" l="1"/>
  <c r="G1029" i="24"/>
  <c r="D1029" i="24"/>
  <c r="I1029" i="24"/>
  <c r="H1029" i="24"/>
  <c r="C1029" i="24"/>
  <c r="V1029" i="24" l="1"/>
  <c r="U1029" i="24"/>
  <c r="AG1028" i="24"/>
  <c r="F1029" i="24"/>
  <c r="J1029" i="24"/>
  <c r="E1029" i="24"/>
  <c r="O1029" i="24" l="1"/>
  <c r="L1029" i="24"/>
  <c r="M1029" i="24" s="1"/>
  <c r="K1029" i="24"/>
  <c r="P1029" i="24"/>
  <c r="Q1029" i="24" s="1"/>
  <c r="S1029" i="24" l="1"/>
  <c r="T1029" i="24" s="1"/>
  <c r="AA1029" i="24" s="1"/>
  <c r="R1029" i="24" l="1"/>
  <c r="AB1029" i="24"/>
  <c r="AC1029" i="24"/>
  <c r="Y1029" i="24"/>
  <c r="W1029" i="24"/>
  <c r="AD1029" i="24" s="1"/>
  <c r="X1029" i="24"/>
  <c r="AF1029" i="24" l="1"/>
  <c r="AE1029" i="24"/>
  <c r="C1030" i="24"/>
  <c r="H1030" i="24"/>
  <c r="B1030" i="24"/>
  <c r="G1030" i="24"/>
  <c r="I1030" i="24"/>
  <c r="D1030" i="24"/>
  <c r="J1030" i="24" l="1"/>
  <c r="E1030" i="24"/>
  <c r="U1030" i="24"/>
  <c r="V1030" i="24"/>
  <c r="AG1029" i="24"/>
  <c r="F1030" i="24"/>
  <c r="O1030" i="24" l="1"/>
  <c r="L1030" i="24"/>
  <c r="M1030" i="24" s="1"/>
  <c r="P1030" i="24"/>
  <c r="Q1030" i="24" s="1"/>
  <c r="K1030" i="24"/>
  <c r="S1030" i="24" l="1"/>
  <c r="T1030" i="24" s="1"/>
  <c r="AA1030" i="24" s="1"/>
  <c r="AC1030" i="24"/>
  <c r="AB1030" i="24" l="1"/>
  <c r="R1030" i="24"/>
  <c r="Y1030" i="24" s="1"/>
  <c r="AF1030" i="24" s="1"/>
  <c r="W1030" i="24"/>
  <c r="AD1030" i="24" s="1"/>
  <c r="X1030" i="24"/>
  <c r="AE1030" i="24" s="1"/>
  <c r="I1031" i="24" l="1"/>
  <c r="D1031" i="24"/>
  <c r="C1031" i="24"/>
  <c r="H1031" i="24"/>
  <c r="G1031" i="24"/>
  <c r="B1031" i="24"/>
  <c r="F1031" i="24" l="1"/>
  <c r="E1031" i="24"/>
  <c r="V1031" i="24"/>
  <c r="U1031" i="24"/>
  <c r="AG1030" i="24"/>
  <c r="J1031" i="24"/>
  <c r="O1031" i="24" l="1"/>
  <c r="K1031" i="24"/>
  <c r="P1031" i="24"/>
  <c r="Q1031" i="24" s="1"/>
  <c r="L1031" i="24"/>
  <c r="M1031" i="24" s="1"/>
  <c r="S1031" i="24" l="1"/>
  <c r="T1031" i="24" s="1"/>
  <c r="AA1031" i="24" s="1"/>
  <c r="AB1031" i="24"/>
  <c r="R1031" i="24"/>
  <c r="AC1031" i="24" l="1"/>
  <c r="Y1031" i="24"/>
  <c r="AF1031" i="24" s="1"/>
  <c r="W1031" i="24"/>
  <c r="AD1031" i="24" s="1"/>
  <c r="X1031" i="24"/>
  <c r="AE1031" i="24" s="1"/>
  <c r="H1032" i="24" l="1"/>
  <c r="C1032" i="24"/>
  <c r="B1032" i="24"/>
  <c r="G1032" i="24"/>
  <c r="I1032" i="24"/>
  <c r="D1032" i="24"/>
  <c r="E1032" i="24" l="1"/>
  <c r="V1032" i="24"/>
  <c r="U1032" i="24"/>
  <c r="AG1031" i="24"/>
  <c r="F1032" i="24"/>
  <c r="J1032" i="24"/>
  <c r="O1032" i="24" l="1"/>
  <c r="P1032" i="24"/>
  <c r="Q1032" i="24" s="1"/>
  <c r="L1032" i="24"/>
  <c r="M1032" i="24" s="1"/>
  <c r="K1032" i="24"/>
  <c r="S1032" i="24" l="1"/>
  <c r="T1032" i="24" s="1"/>
  <c r="AA1032" i="24" s="1"/>
  <c r="AC1032" i="24" l="1"/>
  <c r="AB1032" i="24"/>
  <c r="R1032" i="24"/>
  <c r="X1032" i="24" l="1"/>
  <c r="AE1032" i="24" s="1"/>
  <c r="W1032" i="24"/>
  <c r="AD1032" i="24" s="1"/>
  <c r="Y1032" i="24"/>
  <c r="AF1032" i="24" s="1"/>
  <c r="D1033" i="24" l="1"/>
  <c r="I1033" i="24"/>
  <c r="B1033" i="24"/>
  <c r="G1033" i="24"/>
  <c r="C1033" i="24"/>
  <c r="H1033" i="24"/>
  <c r="J1033" i="24" l="1"/>
  <c r="E1033" i="24"/>
  <c r="F1033" i="24"/>
  <c r="U1033" i="24"/>
  <c r="V1033" i="24"/>
  <c r="AG1032" i="24"/>
  <c r="O1033" i="24" l="1"/>
  <c r="K1033" i="24"/>
  <c r="P1033" i="24"/>
  <c r="Q1033" i="24" s="1"/>
  <c r="L1033" i="24"/>
  <c r="M1033" i="24" s="1"/>
  <c r="S1033" i="24" l="1"/>
  <c r="T1033" i="24" s="1"/>
  <c r="AA1033" i="24" s="1"/>
  <c r="R1033" i="24"/>
  <c r="W1033" i="24" l="1"/>
  <c r="AD1033" i="24" s="1"/>
  <c r="Y1033" i="24"/>
  <c r="X1033" i="24"/>
  <c r="AC1033" i="24"/>
  <c r="AB1033" i="24"/>
  <c r="AE1033" i="24" l="1"/>
  <c r="AF1033" i="24"/>
  <c r="C1034" i="24"/>
  <c r="H1034" i="24"/>
  <c r="G1034" i="24"/>
  <c r="B1034" i="24"/>
  <c r="F1034" i="24" l="1"/>
  <c r="E1034" i="24"/>
  <c r="I1034" i="24"/>
  <c r="D1034" i="24"/>
  <c r="U1034" i="24" l="1"/>
  <c r="V1034" i="24"/>
  <c r="AG1033" i="24"/>
  <c r="J1034" i="24"/>
  <c r="O1034" i="24" s="1"/>
  <c r="K1034" i="24" l="1"/>
  <c r="P1034" i="24"/>
  <c r="Q1034" i="24" s="1"/>
  <c r="L1034" i="24"/>
  <c r="M1034" i="24" s="1"/>
  <c r="S1034" i="24" l="1"/>
  <c r="T1034" i="24" s="1"/>
  <c r="AA1034" i="24" s="1"/>
  <c r="AC1034" i="24"/>
  <c r="AB1034" i="24"/>
  <c r="R1034" i="24"/>
  <c r="W1034" i="24" l="1"/>
  <c r="AD1034" i="24" s="1"/>
  <c r="Y1034" i="24"/>
  <c r="AF1034" i="24" s="1"/>
  <c r="X1034" i="24"/>
  <c r="AE1034" i="24" s="1"/>
  <c r="C1035" i="24" l="1"/>
  <c r="H1035" i="24"/>
  <c r="I1035" i="24"/>
  <c r="D1035" i="24"/>
  <c r="G1035" i="24"/>
  <c r="B1035" i="24"/>
  <c r="U1035" i="24" l="1"/>
  <c r="V1035" i="24"/>
  <c r="AG1034" i="24"/>
  <c r="E1035" i="24"/>
  <c r="J1035" i="24"/>
  <c r="F1035" i="24"/>
  <c r="O1035" i="24" l="1"/>
  <c r="L1035" i="24"/>
  <c r="M1035" i="24" s="1"/>
  <c r="P1035" i="24"/>
  <c r="Q1035" i="24" s="1"/>
  <c r="K1035" i="24"/>
  <c r="R1035" i="24" l="1"/>
  <c r="S1035" i="24"/>
  <c r="T1035" i="24" s="1"/>
  <c r="AC1035" i="24" s="1"/>
  <c r="AA1035" i="24"/>
  <c r="AB1035" i="24" l="1"/>
  <c r="W1035" i="24"/>
  <c r="AD1035" i="24" s="1"/>
  <c r="Y1035" i="24"/>
  <c r="AF1035" i="24" s="1"/>
  <c r="X1035" i="24"/>
  <c r="AE1035" i="24" s="1"/>
  <c r="I1036" i="24" l="1"/>
  <c r="D1036" i="24"/>
  <c r="H1036" i="24"/>
  <c r="C1036" i="24"/>
  <c r="G1036" i="24"/>
  <c r="B1036" i="24"/>
  <c r="F1036" i="24" l="1"/>
  <c r="E1036" i="24"/>
  <c r="V1036" i="24"/>
  <c r="U1036" i="24"/>
  <c r="AG1035" i="24"/>
  <c r="J1036" i="24"/>
  <c r="O1036" i="24" l="1"/>
  <c r="K1036" i="24"/>
  <c r="L1036" i="24"/>
  <c r="M1036" i="24" s="1"/>
  <c r="P1036" i="24"/>
  <c r="Q1036" i="24" s="1"/>
  <c r="R1036" i="24" l="1"/>
  <c r="S1036" i="24"/>
  <c r="T1036" i="24" s="1"/>
  <c r="AC1036" i="24" s="1"/>
  <c r="AB1036" i="24"/>
  <c r="AA1036" i="24" l="1"/>
  <c r="X1036" i="24"/>
  <c r="AE1036" i="24" s="1"/>
  <c r="W1036" i="24"/>
  <c r="AD1036" i="24" s="1"/>
  <c r="Y1036" i="24"/>
  <c r="AF1036" i="24" s="1"/>
  <c r="I1037" i="24" l="1"/>
  <c r="D1037" i="24"/>
  <c r="B1037" i="24"/>
  <c r="G1037" i="24"/>
  <c r="C1037" i="24"/>
  <c r="H1037" i="24"/>
  <c r="J1037" i="24" l="1"/>
  <c r="E1037" i="24"/>
  <c r="V1037" i="24"/>
  <c r="U1037" i="24"/>
  <c r="AG1036" i="24"/>
  <c r="F1037" i="24"/>
  <c r="O1037" i="24" l="1"/>
  <c r="P1037" i="24"/>
  <c r="Q1037" i="24" s="1"/>
  <c r="L1037" i="24"/>
  <c r="M1037" i="24" s="1"/>
  <c r="K1037" i="24"/>
  <c r="S1037" i="24" l="1"/>
  <c r="T1037" i="24" s="1"/>
  <c r="AA1037" i="24"/>
  <c r="AB1037" i="24"/>
  <c r="AC1037" i="24"/>
  <c r="R1037" i="24"/>
  <c r="W1037" i="24" l="1"/>
  <c r="AD1037" i="24" s="1"/>
  <c r="Y1037" i="24"/>
  <c r="AF1037" i="24" s="1"/>
  <c r="X1037" i="24"/>
  <c r="AE1037" i="24" s="1"/>
  <c r="I1038" i="24" l="1"/>
  <c r="D1038" i="24"/>
  <c r="H1038" i="24"/>
  <c r="C1038" i="24"/>
  <c r="G1038" i="24"/>
  <c r="B1038" i="24"/>
  <c r="F1038" i="24" l="1"/>
  <c r="U1038" i="24"/>
  <c r="V1038" i="24"/>
  <c r="AG1037" i="24"/>
  <c r="E1038" i="24"/>
  <c r="J1038" i="24"/>
  <c r="P1038" i="24" l="1"/>
  <c r="Q1038" i="24" s="1"/>
  <c r="L1038" i="24"/>
  <c r="M1038" i="24" s="1"/>
  <c r="K1038" i="24"/>
  <c r="O1038" i="24"/>
  <c r="S1038" i="24" l="1"/>
  <c r="T1038" i="24" s="1"/>
  <c r="AA1038" i="24" s="1"/>
  <c r="AC1038" i="24"/>
  <c r="AB1038" i="24"/>
  <c r="R1038" i="24"/>
  <c r="Y1038" i="24" l="1"/>
  <c r="AF1038" i="24" s="1"/>
  <c r="X1038" i="24"/>
  <c r="AE1038" i="24" s="1"/>
  <c r="W1038" i="24"/>
  <c r="AD1038" i="24" s="1"/>
  <c r="G1039" i="24" l="1"/>
  <c r="B1039" i="24"/>
  <c r="H1039" i="24"/>
  <c r="C1039" i="24"/>
  <c r="I1039" i="24"/>
  <c r="D1039" i="24"/>
  <c r="F1039" i="24" l="1"/>
  <c r="U1039" i="24"/>
  <c r="V1039" i="24"/>
  <c r="AG1038" i="24"/>
  <c r="E1039" i="24"/>
  <c r="J1039" i="24"/>
  <c r="O1039" i="24" s="1"/>
  <c r="L1039" i="24" l="1"/>
  <c r="M1039" i="24" s="1"/>
  <c r="K1039" i="24"/>
  <c r="P1039" i="24"/>
  <c r="Q1039" i="24" s="1"/>
  <c r="R1039" i="24" l="1"/>
  <c r="S1039" i="24"/>
  <c r="T1039" i="24" s="1"/>
  <c r="AB1039" i="24" s="1"/>
  <c r="AC1039" i="24" l="1"/>
  <c r="AA1039" i="24"/>
  <c r="W1039" i="24"/>
  <c r="Y1039" i="24"/>
  <c r="AF1039" i="24" s="1"/>
  <c r="X1039" i="24"/>
  <c r="AE1039" i="24" s="1"/>
  <c r="AD1039" i="24" l="1"/>
  <c r="D1040" i="24"/>
  <c r="I1040" i="24"/>
  <c r="C1040" i="24"/>
  <c r="H1040" i="24"/>
  <c r="G1040" i="24"/>
  <c r="B1040" i="24"/>
  <c r="F1040" i="24" l="1"/>
  <c r="E1040" i="24"/>
  <c r="J1040" i="24"/>
  <c r="U1040" i="24"/>
  <c r="V1040" i="24"/>
  <c r="AG1039" i="24"/>
  <c r="O1040" i="24" l="1"/>
  <c r="K1040" i="24"/>
  <c r="L1040" i="24"/>
  <c r="M1040" i="24" s="1"/>
  <c r="P1040" i="24"/>
  <c r="Q1040" i="24" s="1"/>
  <c r="S1040" i="24" l="1"/>
  <c r="T1040" i="24" s="1"/>
  <c r="AC1040" i="24" s="1"/>
  <c r="AA1040" i="24"/>
  <c r="AB1040" i="24"/>
  <c r="R1040" i="24"/>
  <c r="Y1040" i="24" l="1"/>
  <c r="AF1040" i="24" s="1"/>
  <c r="X1040" i="24"/>
  <c r="AE1040" i="24" s="1"/>
  <c r="W1040" i="24"/>
  <c r="AD1040" i="24" s="1"/>
  <c r="B1041" i="24" l="1"/>
  <c r="G1041" i="24"/>
  <c r="H1041" i="24"/>
  <c r="C1041" i="24"/>
  <c r="D1041" i="24"/>
  <c r="I1041" i="24"/>
  <c r="J1041" i="24" l="1"/>
  <c r="F1041" i="24"/>
  <c r="V1041" i="24"/>
  <c r="U1041" i="24"/>
  <c r="AG1040" i="24"/>
  <c r="E1041" i="24"/>
  <c r="O1041" i="24" l="1"/>
  <c r="P1041" i="24"/>
  <c r="Q1041" i="24" s="1"/>
  <c r="L1041" i="24"/>
  <c r="M1041" i="24" s="1"/>
  <c r="K1041" i="24"/>
  <c r="S1041" i="24" l="1"/>
  <c r="T1041" i="24" s="1"/>
  <c r="AA1041" i="24" s="1"/>
  <c r="R1041" i="24"/>
  <c r="W1041" i="24" l="1"/>
  <c r="AD1041" i="24" s="1"/>
  <c r="X1041" i="24"/>
  <c r="AE1041" i="24" s="1"/>
  <c r="Y1041" i="24"/>
  <c r="AC1041" i="24"/>
  <c r="AB1041" i="24"/>
  <c r="H1042" i="24" l="1"/>
  <c r="C1042" i="24"/>
  <c r="AF1041" i="24"/>
  <c r="B1042" i="24"/>
  <c r="G1042" i="24"/>
  <c r="E1042" i="24" l="1"/>
  <c r="D1042" i="24"/>
  <c r="I1042" i="24"/>
  <c r="F1042" i="24"/>
  <c r="V1042" i="24" l="1"/>
  <c r="U1042" i="24"/>
  <c r="O1042" i="24"/>
  <c r="AG1041" i="24"/>
  <c r="J1042" i="24"/>
  <c r="P1042" i="24" l="1"/>
  <c r="Q1042" i="24" s="1"/>
  <c r="L1042" i="24"/>
  <c r="M1042" i="24" s="1"/>
  <c r="K1042" i="24"/>
  <c r="S1042" i="24" l="1"/>
  <c r="T1042" i="24" s="1"/>
  <c r="AA1042" i="24" s="1"/>
  <c r="AC1042" i="24"/>
  <c r="AB1042" i="24"/>
  <c r="R1042" i="24"/>
  <c r="X1042" i="24" l="1"/>
  <c r="AE1042" i="24" s="1"/>
  <c r="Y1042" i="24"/>
  <c r="AF1042" i="24" s="1"/>
  <c r="W1042" i="24"/>
  <c r="AD1042" i="24" s="1"/>
  <c r="I1043" i="24" l="1"/>
  <c r="D1043" i="24"/>
  <c r="B1043" i="24"/>
  <c r="G1043" i="24"/>
  <c r="H1043" i="24"/>
  <c r="C1043" i="24"/>
  <c r="J1043" i="24" l="1"/>
  <c r="E1043" i="24"/>
  <c r="F1043" i="24"/>
  <c r="U1043" i="24"/>
  <c r="V1043" i="24"/>
  <c r="AG1042" i="24"/>
  <c r="O1043" i="24" l="1"/>
  <c r="L1043" i="24"/>
  <c r="M1043" i="24" s="1"/>
  <c r="K1043" i="24"/>
  <c r="P1043" i="24"/>
  <c r="Q1043" i="24" s="1"/>
  <c r="S1043" i="24" l="1"/>
  <c r="T1043" i="24" s="1"/>
  <c r="AB1043" i="24" s="1"/>
  <c r="AC1043" i="24"/>
  <c r="R1043" i="24"/>
  <c r="Y1043" i="24" l="1"/>
  <c r="AF1043" i="24" s="1"/>
  <c r="W1043" i="24"/>
  <c r="X1043" i="24"/>
  <c r="AE1043" i="24" s="1"/>
  <c r="AA1043" i="24"/>
  <c r="H1044" i="24" l="1"/>
  <c r="C1044" i="24"/>
  <c r="AD1043" i="24"/>
  <c r="D1044" i="24"/>
  <c r="I1044" i="24"/>
  <c r="G1044" i="24" l="1"/>
  <c r="B1044" i="24"/>
  <c r="F1044" i="24" s="1"/>
  <c r="V1044" i="24"/>
  <c r="U1044" i="24"/>
  <c r="AG1043" i="24"/>
  <c r="E1044" i="24" l="1"/>
  <c r="J1044" i="24"/>
  <c r="K1044" i="24" l="1"/>
  <c r="L1044" i="24"/>
  <c r="M1044" i="24" s="1"/>
  <c r="P1044" i="24"/>
  <c r="Q1044" i="24" s="1"/>
  <c r="O1044" i="24"/>
  <c r="S1044" i="24" l="1"/>
  <c r="T1044" i="24" s="1"/>
  <c r="AC1044" i="24" s="1"/>
  <c r="AA1044" i="24"/>
  <c r="AB1044" i="24"/>
  <c r="R1044" i="24"/>
  <c r="X1044" i="24" l="1"/>
  <c r="AE1044" i="24" s="1"/>
  <c r="W1044" i="24"/>
  <c r="AD1044" i="24" s="1"/>
  <c r="Y1044" i="24"/>
  <c r="AF1044" i="24" s="1"/>
  <c r="B1045" i="24" l="1"/>
  <c r="G1045" i="24"/>
  <c r="I1045" i="24"/>
  <c r="D1045" i="24"/>
  <c r="C1045" i="24"/>
  <c r="H1045" i="24"/>
  <c r="U1045" i="24" l="1"/>
  <c r="V1045" i="24"/>
  <c r="AG1044" i="24"/>
  <c r="J1045" i="24"/>
  <c r="F1045" i="24"/>
  <c r="E1045" i="24"/>
  <c r="P1045" i="24" l="1"/>
  <c r="Q1045" i="24" s="1"/>
  <c r="L1045" i="24"/>
  <c r="M1045" i="24" s="1"/>
  <c r="K1045" i="24"/>
  <c r="O1045" i="24"/>
  <c r="S1045" i="24" l="1"/>
  <c r="T1045" i="24" s="1"/>
  <c r="AA1045" i="24" s="1"/>
  <c r="AB1045" i="24"/>
  <c r="AC1045" i="24"/>
  <c r="R1045" i="24"/>
  <c r="W1045" i="24" l="1"/>
  <c r="AD1045" i="24" s="1"/>
  <c r="X1045" i="24"/>
  <c r="AE1045" i="24" s="1"/>
  <c r="Y1045" i="24"/>
  <c r="AF1045" i="24" s="1"/>
  <c r="I1046" i="24" l="1"/>
  <c r="D1046" i="24"/>
  <c r="H1046" i="24"/>
  <c r="C1046" i="24"/>
  <c r="B1046" i="24"/>
  <c r="G1046" i="24"/>
  <c r="F1046" i="24" l="1"/>
  <c r="J1046" i="24"/>
  <c r="V1046" i="24"/>
  <c r="U1046" i="24"/>
  <c r="AG1045" i="24"/>
  <c r="E1046" i="24"/>
  <c r="O1046" i="24" l="1"/>
  <c r="L1046" i="24"/>
  <c r="M1046" i="24" s="1"/>
  <c r="K1046" i="24"/>
  <c r="P1046" i="24"/>
  <c r="Q1046" i="24" s="1"/>
  <c r="S1046" i="24" l="1"/>
  <c r="T1046" i="24" s="1"/>
  <c r="AA1046" i="24" s="1"/>
  <c r="AC1046" i="24" l="1"/>
  <c r="AB1046" i="24"/>
  <c r="R1046" i="24"/>
  <c r="Y1046" i="24" l="1"/>
  <c r="AF1046" i="24" s="1"/>
  <c r="W1046" i="24"/>
  <c r="AD1046" i="24" s="1"/>
  <c r="X1046" i="24"/>
  <c r="AE1046" i="24" s="1"/>
  <c r="G1047" i="24" l="1"/>
  <c r="B1047" i="24"/>
  <c r="C1047" i="24"/>
  <c r="H1047" i="24"/>
  <c r="I1047" i="24"/>
  <c r="D1047" i="24"/>
  <c r="E1047" i="24" l="1"/>
  <c r="F1047" i="24"/>
  <c r="U1047" i="24"/>
  <c r="V1047" i="24"/>
  <c r="AG1046" i="24"/>
  <c r="J1047" i="24"/>
  <c r="O1047" i="24" l="1"/>
  <c r="K1047" i="24"/>
  <c r="L1047" i="24"/>
  <c r="M1047" i="24" s="1"/>
  <c r="P1047" i="24"/>
  <c r="Q1047" i="24" s="1"/>
  <c r="S1047" i="24" l="1"/>
  <c r="T1047" i="24" s="1"/>
  <c r="AB1047" i="24" s="1"/>
  <c r="AC1047" i="24" l="1"/>
  <c r="AA1047" i="24"/>
  <c r="R1047" i="24"/>
  <c r="X1047" i="24" l="1"/>
  <c r="AE1047" i="24" s="1"/>
  <c r="W1047" i="24"/>
  <c r="AD1047" i="24" s="1"/>
  <c r="Y1047" i="24"/>
  <c r="AF1047" i="24" s="1"/>
  <c r="G1048" i="24" l="1"/>
  <c r="B1048" i="24"/>
  <c r="I1048" i="24"/>
  <c r="D1048" i="24"/>
  <c r="H1048" i="24"/>
  <c r="C1048" i="24"/>
  <c r="E1048" i="24" l="1"/>
  <c r="V1048" i="24"/>
  <c r="U1048" i="24"/>
  <c r="AG1047" i="24"/>
  <c r="F1048" i="24"/>
  <c r="J1048" i="24"/>
  <c r="O1048" i="24" l="1"/>
  <c r="K1048" i="24"/>
  <c r="P1048" i="24"/>
  <c r="Q1048" i="24" s="1"/>
  <c r="L1048" i="24"/>
  <c r="M1048" i="24" s="1"/>
  <c r="S1048" i="24" l="1"/>
  <c r="T1048" i="24" s="1"/>
  <c r="AB1048" i="24" s="1"/>
  <c r="AC1048" i="24"/>
  <c r="AA1048" i="24" l="1"/>
  <c r="R1048" i="24"/>
  <c r="Y1048" i="24" l="1"/>
  <c r="AF1048" i="24" s="1"/>
  <c r="W1048" i="24"/>
  <c r="AD1048" i="24" s="1"/>
  <c r="X1048" i="24"/>
  <c r="AE1048" i="24" s="1"/>
  <c r="G1049" i="24" l="1"/>
  <c r="B1049" i="24"/>
  <c r="H1049" i="24"/>
  <c r="C1049" i="24"/>
  <c r="I1049" i="24"/>
  <c r="D1049" i="24"/>
  <c r="F1049" i="24" l="1"/>
  <c r="V1049" i="24"/>
  <c r="U1049" i="24"/>
  <c r="AG1048" i="24"/>
  <c r="E1049" i="24"/>
  <c r="J1049" i="24"/>
  <c r="O1049" i="24" l="1"/>
  <c r="P1049" i="24"/>
  <c r="Q1049" i="24" s="1"/>
  <c r="L1049" i="24"/>
  <c r="M1049" i="24" s="1"/>
  <c r="K1049" i="24"/>
  <c r="S1049" i="24" l="1"/>
  <c r="T1049" i="24" s="1"/>
  <c r="AA1049" i="24" s="1"/>
  <c r="AC1049" i="24" l="1"/>
  <c r="AB1049" i="24"/>
  <c r="R1049" i="24"/>
  <c r="X1049" i="24" l="1"/>
  <c r="AE1049" i="24" s="1"/>
  <c r="Y1049" i="24"/>
  <c r="AF1049" i="24" s="1"/>
  <c r="W1049" i="24"/>
  <c r="AD1049" i="24" s="1"/>
  <c r="D1050" i="24" l="1"/>
  <c r="I1050" i="24"/>
  <c r="G1050" i="24"/>
  <c r="B1050" i="24"/>
  <c r="C1050" i="24"/>
  <c r="H1050" i="24"/>
  <c r="E1050" i="24" l="1"/>
  <c r="J1050" i="24"/>
  <c r="F1050" i="24"/>
  <c r="V1050" i="24"/>
  <c r="U1050" i="24"/>
  <c r="O1050" i="24"/>
  <c r="AG1049" i="24"/>
  <c r="P1050" i="24" l="1"/>
  <c r="Q1050" i="24" s="1"/>
  <c r="L1050" i="24"/>
  <c r="M1050" i="24" s="1"/>
  <c r="K1050" i="24"/>
  <c r="S1050" i="24" l="1"/>
  <c r="T1050" i="24" s="1"/>
  <c r="AA1050" i="24" s="1"/>
  <c r="AC1050" i="24"/>
  <c r="AB1050" i="24"/>
  <c r="R1050" i="24"/>
  <c r="W1050" i="24" l="1"/>
  <c r="AD1050" i="24" s="1"/>
  <c r="Y1050" i="24"/>
  <c r="AF1050" i="24" s="1"/>
  <c r="X1050" i="24"/>
  <c r="AE1050" i="24" s="1"/>
  <c r="I1051" i="24" l="1"/>
  <c r="D1051" i="24"/>
  <c r="H1051" i="24"/>
  <c r="C1051" i="24"/>
  <c r="B1051" i="24"/>
  <c r="G1051" i="24"/>
  <c r="F1051" i="24" l="1"/>
  <c r="V1051" i="24"/>
  <c r="U1051" i="24"/>
  <c r="AG1050" i="24"/>
  <c r="J1051" i="24"/>
  <c r="O1051" i="24" s="1"/>
  <c r="E1051" i="24"/>
  <c r="L1051" i="24" l="1"/>
  <c r="M1051" i="24" s="1"/>
  <c r="K1051" i="24"/>
  <c r="P1051" i="24"/>
  <c r="Q1051" i="24" s="1"/>
  <c r="S1051" i="24" l="1"/>
  <c r="T1051" i="24" s="1"/>
  <c r="AB1051" i="24" s="1"/>
  <c r="AA1051" i="24" l="1"/>
  <c r="AC1051" i="24"/>
  <c r="R1051" i="24"/>
  <c r="W1051" i="24" l="1"/>
  <c r="AD1051" i="24" s="1"/>
  <c r="Y1051" i="24"/>
  <c r="AF1051" i="24" s="1"/>
  <c r="X1051" i="24"/>
  <c r="AE1051" i="24" s="1"/>
  <c r="I1052" i="24" l="1"/>
  <c r="D1052" i="24"/>
  <c r="H1052" i="24"/>
  <c r="C1052" i="24"/>
  <c r="B1052" i="24"/>
  <c r="G1052" i="24"/>
  <c r="F1052" i="24" l="1"/>
  <c r="J1052" i="24"/>
  <c r="V1052" i="24"/>
  <c r="U1052" i="24"/>
  <c r="AG1051" i="24"/>
  <c r="E1052" i="24"/>
  <c r="O1052" i="24" l="1"/>
  <c r="L1052" i="24"/>
  <c r="M1052" i="24" s="1"/>
  <c r="P1052" i="24"/>
  <c r="Q1052" i="24" s="1"/>
  <c r="K1052" i="24"/>
  <c r="S1052" i="24" l="1"/>
  <c r="T1052" i="24" s="1"/>
  <c r="AC1052" i="24" s="1"/>
  <c r="AA1052" i="24"/>
  <c r="R1052" i="24"/>
  <c r="Y1052" i="24" l="1"/>
  <c r="AF1052" i="24" s="1"/>
  <c r="W1052" i="24"/>
  <c r="AD1052" i="24" s="1"/>
  <c r="X1052" i="24"/>
  <c r="AB1052" i="24"/>
  <c r="G1053" i="24" l="1"/>
  <c r="B1053" i="24"/>
  <c r="AE1052" i="24"/>
  <c r="I1053" i="24"/>
  <c r="D1053" i="24"/>
  <c r="H1053" i="24" l="1"/>
  <c r="C1053" i="24"/>
  <c r="E1053" i="24" s="1"/>
  <c r="V1053" i="24"/>
  <c r="U1053" i="24"/>
  <c r="AG1052" i="24"/>
  <c r="J1053" i="24"/>
  <c r="L1053" i="24" l="1"/>
  <c r="M1053" i="24" s="1"/>
  <c r="K1053" i="24"/>
  <c r="P1053" i="24"/>
  <c r="Q1053" i="24" s="1"/>
  <c r="F1053" i="24"/>
  <c r="O1053" i="24"/>
  <c r="R1053" i="24" l="1"/>
  <c r="S1053" i="24"/>
  <c r="T1053" i="24" s="1"/>
  <c r="AA1053" i="24" s="1"/>
  <c r="AB1053" i="24" l="1"/>
  <c r="AC1053" i="24"/>
  <c r="Y1053" i="24"/>
  <c r="AF1053" i="24" s="1"/>
  <c r="X1053" i="24"/>
  <c r="AE1053" i="24" s="1"/>
  <c r="W1053" i="24"/>
  <c r="AD1053" i="24" s="1"/>
  <c r="H1054" i="24" l="1"/>
  <c r="C1054" i="24"/>
  <c r="G1054" i="24"/>
  <c r="B1054" i="24"/>
  <c r="I1054" i="24"/>
  <c r="D1054" i="24"/>
  <c r="J1054" i="24" l="1"/>
  <c r="V1054" i="24"/>
  <c r="U1054" i="24"/>
  <c r="O1054" i="24"/>
  <c r="AG1053" i="24"/>
  <c r="F1054" i="24"/>
  <c r="E1054" i="24"/>
  <c r="P1054" i="24" l="1"/>
  <c r="Q1054" i="24" s="1"/>
  <c r="L1054" i="24"/>
  <c r="M1054" i="24" s="1"/>
  <c r="K1054" i="24"/>
  <c r="S1054" i="24" l="1"/>
  <c r="T1054" i="24" s="1"/>
  <c r="AA1054" i="24" s="1"/>
  <c r="AB1054" i="24"/>
  <c r="AC1054" i="24"/>
  <c r="R1054" i="24"/>
  <c r="X1054" i="24" l="1"/>
  <c r="AE1054" i="24" s="1"/>
  <c r="Y1054" i="24"/>
  <c r="AF1054" i="24" s="1"/>
  <c r="W1054" i="24"/>
  <c r="AD1054" i="24" s="1"/>
  <c r="I1055" i="24" l="1"/>
  <c r="D1055" i="24"/>
  <c r="B1055" i="24"/>
  <c r="G1055" i="24"/>
  <c r="C1055" i="24"/>
  <c r="H1055" i="24"/>
  <c r="J1055" i="24" l="1"/>
  <c r="U1055" i="24"/>
  <c r="V1055" i="24"/>
  <c r="AG1054" i="24"/>
  <c r="E1055" i="24"/>
  <c r="F1055" i="24"/>
  <c r="O1055" i="24" l="1"/>
  <c r="K1055" i="24"/>
  <c r="P1055" i="24"/>
  <c r="Q1055" i="24" s="1"/>
  <c r="L1055" i="24"/>
  <c r="M1055" i="24" s="1"/>
  <c r="S1055" i="24" l="1"/>
  <c r="T1055" i="24" s="1"/>
  <c r="AC1055" i="24" s="1"/>
  <c r="AB1055" i="24" l="1"/>
  <c r="AA1055" i="24"/>
  <c r="R1055" i="24"/>
  <c r="W1055" i="24" l="1"/>
  <c r="AD1055" i="24" s="1"/>
  <c r="X1055" i="24"/>
  <c r="AE1055" i="24" s="1"/>
  <c r="Y1055" i="24"/>
  <c r="AF1055" i="24" s="1"/>
  <c r="H1056" i="24" l="1"/>
  <c r="C1056" i="24"/>
  <c r="D1056" i="24"/>
  <c r="I1056" i="24"/>
  <c r="B1056" i="24"/>
  <c r="G1056" i="24"/>
  <c r="F1056" i="24" l="1"/>
  <c r="U1056" i="24"/>
  <c r="V1056" i="24"/>
  <c r="AG1055" i="24"/>
  <c r="J1056" i="24"/>
  <c r="E1056" i="24"/>
  <c r="O1056" i="24" l="1"/>
  <c r="K1056" i="24"/>
  <c r="L1056" i="24"/>
  <c r="M1056" i="24" s="1"/>
  <c r="P1056" i="24"/>
  <c r="Q1056" i="24" s="1"/>
  <c r="S1056" i="24" l="1"/>
  <c r="T1056" i="24" s="1"/>
  <c r="AA1056" i="24" s="1"/>
  <c r="AC1056" i="24" l="1"/>
  <c r="AB1056" i="24"/>
  <c r="R1056" i="24"/>
  <c r="W1056" i="24" l="1"/>
  <c r="AD1056" i="24" s="1"/>
  <c r="X1056" i="24"/>
  <c r="AE1056" i="24" s="1"/>
  <c r="Y1056" i="24"/>
  <c r="AF1056" i="24" s="1"/>
  <c r="H1057" i="24" l="1"/>
  <c r="C1057" i="24"/>
  <c r="I1057" i="24"/>
  <c r="D1057" i="24"/>
  <c r="G1057" i="24"/>
  <c r="B1057" i="24"/>
  <c r="V1057" i="24" l="1"/>
  <c r="U1057" i="24"/>
  <c r="AG1056" i="24"/>
  <c r="F1057" i="24"/>
  <c r="E1057" i="24"/>
  <c r="J1057" i="24"/>
  <c r="O1057" i="24" l="1"/>
  <c r="K1057" i="24"/>
  <c r="P1057" i="24"/>
  <c r="Q1057" i="24" s="1"/>
  <c r="L1057" i="24"/>
  <c r="M1057" i="24" s="1"/>
  <c r="S1057" i="24" l="1"/>
  <c r="T1057" i="24" s="1"/>
  <c r="AA1057" i="24" s="1"/>
  <c r="AC1057" i="24" l="1"/>
  <c r="AB1057" i="24"/>
  <c r="R1057" i="24"/>
  <c r="W1057" i="24" l="1"/>
  <c r="AD1057" i="24" s="1"/>
  <c r="X1057" i="24"/>
  <c r="AE1057" i="24" s="1"/>
  <c r="Y1057" i="24"/>
  <c r="AF1057" i="24" s="1"/>
  <c r="H1058" i="24" l="1"/>
  <c r="C1058" i="24"/>
  <c r="D1058" i="24"/>
  <c r="I1058" i="24"/>
  <c r="B1058" i="24"/>
  <c r="G1058" i="24"/>
  <c r="V1058" i="24" l="1"/>
  <c r="U1058" i="24"/>
  <c r="O1058" i="24"/>
  <c r="AG1057" i="24"/>
  <c r="F1058" i="24"/>
  <c r="J1058" i="24"/>
  <c r="E1058" i="24"/>
  <c r="K1058" i="24" l="1"/>
  <c r="P1058" i="24"/>
  <c r="Q1058" i="24" s="1"/>
  <c r="L1058" i="24"/>
  <c r="M1058" i="24" s="1"/>
  <c r="S1058" i="24" l="1"/>
  <c r="T1058" i="24" s="1"/>
  <c r="AA1058" i="24" s="1"/>
  <c r="AB1058" i="24"/>
  <c r="AC1058" i="24"/>
  <c r="R1058" i="24"/>
  <c r="X1058" i="24" l="1"/>
  <c r="AE1058" i="24" s="1"/>
  <c r="W1058" i="24"/>
  <c r="AD1058" i="24" s="1"/>
  <c r="Y1058" i="24"/>
  <c r="AF1058" i="24" s="1"/>
  <c r="G1059" i="24" l="1"/>
  <c r="B1059" i="24"/>
  <c r="D1059" i="24"/>
  <c r="I1059" i="24"/>
  <c r="H1059" i="24"/>
  <c r="C1059" i="24"/>
  <c r="E1059" i="24" l="1"/>
  <c r="V1059" i="24"/>
  <c r="U1059" i="24"/>
  <c r="AG1058" i="24"/>
  <c r="C24" i="24" s="1"/>
  <c r="F1059" i="24"/>
  <c r="J1059" i="24"/>
  <c r="C26" i="24"/>
  <c r="C27" i="24"/>
  <c r="C29" i="24"/>
  <c r="C28" i="24"/>
  <c r="C30" i="24"/>
  <c r="C25" i="24"/>
  <c r="K1059" i="24" l="1"/>
  <c r="L1059" i="24"/>
  <c r="M1059" i="24" s="1"/>
  <c r="P1059" i="24"/>
  <c r="Q1059" i="24" s="1"/>
  <c r="O1059" i="24"/>
  <c r="D24" i="24"/>
  <c r="D29" i="24"/>
  <c r="D27" i="24"/>
  <c r="D28" i="24"/>
  <c r="D30" i="24"/>
  <c r="D26" i="24"/>
  <c r="D25" i="24"/>
  <c r="E27" i="24" l="1"/>
  <c r="B27" i="24" s="1"/>
  <c r="S1059" i="24"/>
  <c r="T1059" i="24" s="1"/>
  <c r="AB1059" i="24" s="1"/>
  <c r="AA1059" i="24" l="1"/>
  <c r="B26" i="24"/>
  <c r="B25" i="24"/>
  <c r="R1059" i="24"/>
  <c r="AC1059" i="24"/>
  <c r="B28" i="24"/>
  <c r="B24" i="24"/>
  <c r="B29" i="24" l="1"/>
  <c r="B6" i="23" s="1"/>
  <c r="N26" i="23" s="1"/>
  <c r="Y1059" i="24"/>
  <c r="AF1059" i="24" s="1"/>
  <c r="X1059" i="24"/>
  <c r="AE1059" i="24" s="1"/>
  <c r="W1059" i="24"/>
  <c r="AD1059" i="24" s="1"/>
  <c r="K12" i="23" l="1"/>
  <c r="G1060" i="24"/>
  <c r="B1060" i="24"/>
  <c r="C1060" i="24"/>
  <c r="H1060" i="24"/>
  <c r="I1060" i="24"/>
  <c r="D1060" i="24"/>
  <c r="F1060" i="24" l="1"/>
  <c r="E1060" i="24"/>
  <c r="V1060" i="24"/>
  <c r="U1060" i="24"/>
  <c r="AG1059" i="24"/>
  <c r="J1060" i="24"/>
  <c r="O1060" i="24" l="1"/>
  <c r="L1060" i="24"/>
  <c r="M1060" i="24" s="1"/>
  <c r="P1060" i="24"/>
  <c r="Q1060" i="24" s="1"/>
  <c r="K1060" i="24"/>
  <c r="S1060" i="24" l="1"/>
  <c r="T1060" i="24" s="1"/>
  <c r="AC1060" i="24" s="1"/>
  <c r="AA1060" i="24"/>
  <c r="AB1060" i="24"/>
  <c r="R1060" i="24"/>
  <c r="X1060" i="24" l="1"/>
  <c r="AE1060" i="24" s="1"/>
  <c r="Y1060" i="24"/>
  <c r="AF1060" i="24" s="1"/>
  <c r="W1060" i="24"/>
  <c r="AD1060" i="24" s="1"/>
  <c r="I1061" i="24" l="1"/>
  <c r="D1061" i="24"/>
  <c r="B1061" i="24"/>
  <c r="G1061" i="24"/>
  <c r="H1061" i="24"/>
  <c r="C1061" i="24"/>
  <c r="J1061" i="24" l="1"/>
  <c r="U1061" i="24"/>
  <c r="V1061" i="24"/>
  <c r="AG1060" i="24"/>
  <c r="E1061" i="24"/>
  <c r="F1061" i="24"/>
  <c r="O1061" i="24" l="1"/>
  <c r="L1061" i="24"/>
  <c r="M1061" i="24" s="1"/>
  <c r="K1061" i="24"/>
  <c r="P1061" i="24"/>
  <c r="Q1061" i="24" s="1"/>
  <c r="S1061" i="24" l="1"/>
  <c r="T1061" i="24" s="1"/>
  <c r="AB1061" i="24"/>
  <c r="AC1061" i="24"/>
  <c r="AA1061" i="24"/>
  <c r="R1061" i="24"/>
  <c r="W1061" i="24" l="1"/>
  <c r="AD1061" i="24" s="1"/>
  <c r="Y1061" i="24"/>
  <c r="AF1061" i="24" s="1"/>
  <c r="X1061" i="24"/>
  <c r="AE1061" i="24" s="1"/>
  <c r="C1062" i="24" l="1"/>
  <c r="H1062" i="24"/>
  <c r="D1062" i="24"/>
  <c r="I1062" i="24"/>
  <c r="B1062" i="24"/>
  <c r="G1062" i="24"/>
  <c r="U1062" i="24" l="1"/>
  <c r="V1062" i="24"/>
  <c r="AG1061" i="24"/>
  <c r="J1062" i="24"/>
  <c r="E1062" i="24"/>
  <c r="F1062" i="24"/>
  <c r="O1062" i="24" l="1"/>
  <c r="L1062" i="24"/>
  <c r="M1062" i="24" s="1"/>
  <c r="K1062" i="24"/>
  <c r="P1062" i="24"/>
  <c r="Q1062" i="24" s="1"/>
  <c r="S1062" i="24" l="1"/>
  <c r="T1062" i="24" s="1"/>
  <c r="AC1062" i="24" s="1"/>
  <c r="AA1062" i="24"/>
  <c r="AB1062" i="24"/>
  <c r="R1062" i="24" l="1"/>
  <c r="W1062" i="24" l="1"/>
  <c r="AD1062" i="24" s="1"/>
  <c r="Y1062" i="24"/>
  <c r="AF1062" i="24" s="1"/>
  <c r="X1062" i="24"/>
  <c r="AE1062" i="24" s="1"/>
  <c r="C1063" i="24" l="1"/>
  <c r="H1063" i="24"/>
  <c r="I1063" i="24"/>
  <c r="D1063" i="24"/>
  <c r="G1063" i="24"/>
  <c r="B1063" i="24"/>
  <c r="E1063" i="24" l="1"/>
  <c r="V1063" i="24"/>
  <c r="U1063" i="24"/>
  <c r="AG1062" i="24"/>
  <c r="J1063" i="24"/>
  <c r="O1063" i="24" s="1"/>
  <c r="F1063" i="24"/>
  <c r="K1063" i="24" l="1"/>
  <c r="P1063" i="24"/>
  <c r="Q1063" i="24" s="1"/>
  <c r="L1063" i="24"/>
  <c r="M1063" i="24" s="1"/>
  <c r="R1063" i="24" l="1"/>
  <c r="S1063" i="24"/>
  <c r="T1063" i="24" s="1"/>
  <c r="AB1063" i="24" s="1"/>
  <c r="AC1063" i="24"/>
  <c r="AA1063" i="24"/>
  <c r="X1063" i="24" l="1"/>
  <c r="AE1063" i="24" s="1"/>
  <c r="Y1063" i="24"/>
  <c r="AF1063" i="24" s="1"/>
  <c r="W1063" i="24"/>
  <c r="AD1063" i="24" s="1"/>
  <c r="I1064" i="24" l="1"/>
  <c r="D1064" i="24"/>
  <c r="B1064" i="24"/>
  <c r="G1064" i="24"/>
  <c r="H1064" i="24"/>
  <c r="C1064" i="24"/>
  <c r="E1064" i="24" l="1"/>
  <c r="F1064" i="24"/>
  <c r="U1064" i="24"/>
  <c r="V1064" i="24"/>
  <c r="AG1063" i="24"/>
  <c r="J1064" i="24"/>
  <c r="P1064" i="24" l="1"/>
  <c r="Q1064" i="24" s="1"/>
  <c r="K1064" i="24"/>
  <c r="L1064" i="24"/>
  <c r="M1064" i="24" s="1"/>
  <c r="O1064" i="24"/>
  <c r="S1064" i="24" l="1"/>
  <c r="T1064" i="24" s="1"/>
  <c r="AC1064" i="24" s="1"/>
  <c r="AA1064" i="24"/>
  <c r="AB1064" i="24"/>
  <c r="R1064" i="24"/>
  <c r="X1064" i="24" l="1"/>
  <c r="AE1064" i="24" s="1"/>
  <c r="W1064" i="24"/>
  <c r="AD1064" i="24" s="1"/>
  <c r="Y1064" i="24"/>
  <c r="AF1064" i="24" s="1"/>
  <c r="B1065" i="24" l="1"/>
  <c r="G1065" i="24"/>
  <c r="I1065" i="24"/>
  <c r="D1065" i="24"/>
  <c r="H1065" i="24"/>
  <c r="C1065" i="24"/>
  <c r="F1065" i="24" s="1"/>
  <c r="V1065" i="24" l="1"/>
  <c r="U1065" i="24"/>
  <c r="AG1064" i="24"/>
  <c r="J1065" i="24"/>
  <c r="E1065" i="24"/>
  <c r="P1065" i="24" l="1"/>
  <c r="Q1065" i="24" s="1"/>
  <c r="L1065" i="24"/>
  <c r="M1065" i="24" s="1"/>
  <c r="K1065" i="24"/>
  <c r="O1065" i="24"/>
  <c r="S1065" i="24" l="1"/>
  <c r="T1065" i="24" s="1"/>
  <c r="AA1065" i="24" s="1"/>
  <c r="AB1065" i="24"/>
  <c r="R1065" i="24"/>
  <c r="AC1065" i="24" l="1"/>
  <c r="W1065" i="24"/>
  <c r="AD1065" i="24" s="1"/>
  <c r="Y1065" i="24"/>
  <c r="AF1065" i="24" s="1"/>
  <c r="X1065" i="24"/>
  <c r="AE1065" i="24" s="1"/>
  <c r="I1066" i="24" l="1"/>
  <c r="D1066" i="24"/>
  <c r="G1066" i="24"/>
  <c r="B1066" i="24"/>
  <c r="E1066" i="24" s="1"/>
  <c r="C1066" i="24"/>
  <c r="H1066" i="24"/>
  <c r="U1066" i="24" l="1"/>
  <c r="V1066" i="24"/>
  <c r="AG1065" i="24"/>
  <c r="J1066" i="24"/>
  <c r="F1066" i="24"/>
  <c r="K1066" i="24" l="1"/>
  <c r="L1066" i="24"/>
  <c r="M1066" i="24" s="1"/>
  <c r="P1066" i="24"/>
  <c r="Q1066" i="24" s="1"/>
  <c r="O1066" i="24"/>
  <c r="S1066" i="24" l="1"/>
  <c r="T1066" i="24" s="1"/>
  <c r="AA1066" i="24" s="1"/>
  <c r="AC1066" i="24"/>
  <c r="AB1066" i="24"/>
  <c r="R1066" i="24"/>
  <c r="W1066" i="24" l="1"/>
  <c r="AD1066" i="24" s="1"/>
  <c r="X1066" i="24"/>
  <c r="AE1066" i="24" s="1"/>
  <c r="Y1066" i="24"/>
  <c r="AF1066" i="24" s="1"/>
  <c r="H1067" i="24" l="1"/>
  <c r="C1067" i="24"/>
  <c r="I1067" i="24"/>
  <c r="D1067" i="24"/>
  <c r="B1067" i="24"/>
  <c r="G1067" i="24"/>
  <c r="J1067" i="24" l="1"/>
  <c r="F1067" i="24"/>
  <c r="V1067" i="24"/>
  <c r="U1067" i="24"/>
  <c r="O1067" i="24"/>
  <c r="AG1066" i="24"/>
  <c r="E1067" i="24"/>
  <c r="L1067" i="24" l="1"/>
  <c r="M1067" i="24" s="1"/>
  <c r="P1067" i="24"/>
  <c r="Q1067" i="24" s="1"/>
  <c r="K1067" i="24"/>
  <c r="S1067" i="24"/>
  <c r="T1067" i="24" s="1"/>
  <c r="AB1067" i="24" s="1"/>
  <c r="R1067" i="24" l="1"/>
  <c r="X1067" i="24" s="1"/>
  <c r="AE1067" i="24" s="1"/>
  <c r="Y1067" i="24"/>
  <c r="AF1067" i="24" s="1"/>
  <c r="W1067" i="24"/>
  <c r="AA1067" i="24"/>
  <c r="AC1067" i="24"/>
  <c r="AD1067" i="24" l="1"/>
  <c r="D1068" i="24"/>
  <c r="I1068" i="24"/>
  <c r="H1068" i="24"/>
  <c r="C1068" i="24"/>
  <c r="U1068" i="24" l="1"/>
  <c r="V1068" i="24"/>
  <c r="AG1067" i="24"/>
  <c r="B1068" i="24"/>
  <c r="F1068" i="24" s="1"/>
  <c r="G1068" i="24"/>
  <c r="J1068" i="24" s="1"/>
  <c r="E1068" i="24" l="1"/>
  <c r="O1068" i="24"/>
  <c r="K1068" i="24"/>
  <c r="L1068" i="24"/>
  <c r="M1068" i="24" s="1"/>
  <c r="P1068" i="24"/>
  <c r="Q1068" i="24" s="1"/>
  <c r="S1068" i="24" l="1"/>
  <c r="T1068" i="24" s="1"/>
  <c r="AC1068" i="24" s="1"/>
  <c r="AB1068" i="24"/>
  <c r="AA1068" i="24" l="1"/>
  <c r="R1068" i="24"/>
  <c r="Y1068" i="24" l="1"/>
  <c r="AF1068" i="24" s="1"/>
  <c r="W1068" i="24"/>
  <c r="AD1068" i="24" s="1"/>
  <c r="X1068" i="24"/>
  <c r="AE1068" i="24" s="1"/>
  <c r="G1069" i="24" l="1"/>
  <c r="B1069" i="24"/>
  <c r="C1069" i="24"/>
  <c r="H1069" i="24"/>
  <c r="D1069" i="24"/>
  <c r="I1069" i="24"/>
  <c r="F1069" i="24" l="1"/>
  <c r="E1069" i="24"/>
  <c r="V1069" i="24"/>
  <c r="U1069" i="24"/>
  <c r="AG1068" i="24"/>
  <c r="J1069" i="24"/>
  <c r="O1069" i="24" l="1"/>
  <c r="P1069" i="24"/>
  <c r="Q1069" i="24" s="1"/>
  <c r="L1069" i="24"/>
  <c r="M1069" i="24" s="1"/>
  <c r="K1069" i="24"/>
  <c r="S1069" i="24" l="1"/>
  <c r="T1069" i="24" s="1"/>
  <c r="AC1069" i="24" s="1"/>
  <c r="AB1069" i="24"/>
  <c r="R1069" i="24"/>
  <c r="AA1069" i="24" l="1"/>
  <c r="W1069" i="24"/>
  <c r="AD1069" i="24" s="1"/>
  <c r="Y1069" i="24"/>
  <c r="AF1069" i="24" s="1"/>
  <c r="X1069" i="24"/>
  <c r="AE1069" i="24" s="1"/>
  <c r="I1070" i="24" l="1"/>
  <c r="D1070" i="24"/>
  <c r="H1070" i="24"/>
  <c r="C1070" i="24"/>
  <c r="F1070" i="24" s="1"/>
  <c r="B1070" i="24"/>
  <c r="G1070" i="24"/>
  <c r="V1070" i="24" l="1"/>
  <c r="U1070" i="24"/>
  <c r="AG1069" i="24"/>
  <c r="J1070" i="24"/>
  <c r="E1070" i="24"/>
  <c r="K1070" i="24" l="1"/>
  <c r="P1070" i="24"/>
  <c r="Q1070" i="24" s="1"/>
  <c r="L1070" i="24"/>
  <c r="M1070" i="24" s="1"/>
  <c r="O1070" i="24"/>
  <c r="R1070" i="24" l="1"/>
  <c r="S1070" i="24"/>
  <c r="T1070" i="24" s="1"/>
  <c r="AA1070" i="24" s="1"/>
  <c r="AB1070" i="24"/>
  <c r="AC1070" i="24" l="1"/>
  <c r="X1070" i="24"/>
  <c r="AE1070" i="24" s="1"/>
  <c r="W1070" i="24"/>
  <c r="AD1070" i="24" s="1"/>
  <c r="Y1070" i="24"/>
  <c r="AF1070" i="24" s="1"/>
  <c r="D1071" i="24" l="1"/>
  <c r="I1071" i="24"/>
  <c r="B1071" i="24"/>
  <c r="G1071" i="24"/>
  <c r="J1071" i="24" s="1"/>
  <c r="C1071" i="24"/>
  <c r="H1071" i="24"/>
  <c r="O1071" i="24" l="1"/>
  <c r="L1071" i="24"/>
  <c r="M1071" i="24" s="1"/>
  <c r="K1071" i="24"/>
  <c r="P1071" i="24"/>
  <c r="Q1071" i="24" s="1"/>
  <c r="E1071" i="24"/>
  <c r="F1071" i="24"/>
  <c r="U1071" i="24"/>
  <c r="V1071" i="24"/>
  <c r="AG1070" i="24"/>
  <c r="S1071" i="24" l="1"/>
  <c r="T1071" i="24" s="1"/>
  <c r="AA1071" i="24" s="1"/>
  <c r="AB1071" i="24"/>
  <c r="AC1071" i="24"/>
  <c r="R1071" i="24" l="1"/>
  <c r="W1071" i="24"/>
  <c r="AD1071" i="24" s="1"/>
  <c r="Y1071" i="24"/>
  <c r="AF1071" i="24" s="1"/>
  <c r="X1071" i="24"/>
  <c r="AE1071" i="24" s="1"/>
  <c r="I1072" i="24" l="1"/>
  <c r="D1072" i="24"/>
  <c r="H1072" i="24"/>
  <c r="C1072" i="24"/>
  <c r="F1072" i="24" s="1"/>
  <c r="G1072" i="24"/>
  <c r="B1072" i="24"/>
  <c r="U1072" i="24" l="1"/>
  <c r="V1072" i="24"/>
  <c r="O1072" i="24"/>
  <c r="AG1071" i="24"/>
  <c r="E1072" i="24"/>
  <c r="J1072" i="24"/>
  <c r="K1072" i="24" l="1"/>
  <c r="L1072" i="24"/>
  <c r="M1072" i="24" s="1"/>
  <c r="P1072" i="24"/>
  <c r="Q1072" i="24" s="1"/>
  <c r="S1072" i="24" l="1"/>
  <c r="T1072" i="24" s="1"/>
  <c r="AC1072" i="24" s="1"/>
  <c r="AB1072" i="24"/>
  <c r="AA1072" i="24"/>
  <c r="R1072" i="24"/>
  <c r="X1072" i="24" l="1"/>
  <c r="AE1072" i="24" s="1"/>
  <c r="W1072" i="24"/>
  <c r="AD1072" i="24" s="1"/>
  <c r="Y1072" i="24"/>
  <c r="AF1072" i="24" s="1"/>
  <c r="B1073" i="24" l="1"/>
  <c r="G1073" i="24"/>
  <c r="I1073" i="24"/>
  <c r="D1073" i="24"/>
  <c r="C1073" i="24"/>
  <c r="H1073" i="24"/>
  <c r="V1073" i="24" l="1"/>
  <c r="U1073" i="24"/>
  <c r="O1073" i="24"/>
  <c r="AG1072" i="24"/>
  <c r="J1073" i="24"/>
  <c r="F1073" i="24"/>
  <c r="E1073" i="24"/>
  <c r="L1073" i="24" l="1"/>
  <c r="M1073" i="24" s="1"/>
  <c r="K1073" i="24"/>
  <c r="P1073" i="24"/>
  <c r="Q1073" i="24" s="1"/>
  <c r="S1073" i="24" l="1"/>
  <c r="T1073" i="24" s="1"/>
  <c r="AA1073" i="24" s="1"/>
  <c r="AC1073" i="24" l="1"/>
  <c r="AB1073" i="24"/>
  <c r="R1073" i="24"/>
  <c r="X1073" i="24" l="1"/>
  <c r="AE1073" i="24" s="1"/>
  <c r="Y1073" i="24"/>
  <c r="AF1073" i="24" s="1"/>
  <c r="W1073" i="24"/>
  <c r="AD1073" i="24" s="1"/>
  <c r="I1074" i="24" l="1"/>
  <c r="D1074" i="24"/>
  <c r="B1074" i="24"/>
  <c r="G1074" i="24"/>
  <c r="H1074" i="24"/>
  <c r="C1074" i="24"/>
  <c r="J1074" i="24" l="1"/>
  <c r="AG1073" i="24"/>
  <c r="V1074" i="24"/>
  <c r="O1074" i="24"/>
  <c r="U1074" i="24"/>
  <c r="E1074" i="24"/>
  <c r="F1074" i="24"/>
  <c r="L1074" i="24" l="1"/>
  <c r="M1074" i="24" s="1"/>
  <c r="P1074" i="24"/>
  <c r="Q1074" i="24" s="1"/>
  <c r="K1074" i="24"/>
  <c r="S1074" i="24" l="1"/>
  <c r="T1074" i="24" s="1"/>
  <c r="AA1074" i="24" s="1"/>
  <c r="AB1074" i="24" l="1"/>
  <c r="AC1074" i="24"/>
  <c r="R1074" i="24"/>
  <c r="W1074" i="24" l="1"/>
  <c r="AD1074" i="24" s="1"/>
  <c r="X1074" i="24"/>
  <c r="AE1074" i="24" s="1"/>
  <c r="Y1074" i="24"/>
  <c r="AF1074" i="24" s="1"/>
  <c r="H1075" i="24" l="1"/>
  <c r="C1075" i="24"/>
  <c r="F1075" i="24" s="1"/>
  <c r="D1075" i="24"/>
  <c r="I1075" i="24"/>
  <c r="B1075" i="24"/>
  <c r="G1075" i="24"/>
  <c r="V1075" i="24" l="1"/>
  <c r="U1075" i="24"/>
  <c r="AG1074" i="24"/>
  <c r="J1075" i="24"/>
  <c r="E1075" i="24"/>
  <c r="L1075" i="24" l="1"/>
  <c r="M1075" i="24" s="1"/>
  <c r="K1075" i="24"/>
  <c r="P1075" i="24"/>
  <c r="Q1075" i="24" s="1"/>
  <c r="O1075" i="24"/>
  <c r="S1075" i="24" l="1"/>
  <c r="T1075" i="24" s="1"/>
  <c r="AC1075" i="24" s="1"/>
  <c r="AA1075" i="24"/>
  <c r="AB1075" i="24" l="1"/>
  <c r="R1075" i="24"/>
  <c r="W1075" i="24" l="1"/>
  <c r="AD1075" i="24" s="1"/>
  <c r="X1075" i="24"/>
  <c r="AE1075" i="24" s="1"/>
  <c r="Y1075" i="24"/>
  <c r="AF1075" i="24" s="1"/>
  <c r="C1076" i="24" l="1"/>
  <c r="H1076" i="24"/>
  <c r="I1076" i="24"/>
  <c r="D1076" i="24"/>
  <c r="G1076" i="24"/>
  <c r="B1076" i="24"/>
  <c r="J1076" i="24" l="1"/>
  <c r="U1076" i="24"/>
  <c r="V1076" i="24"/>
  <c r="O1076" i="24"/>
  <c r="AG1075" i="24"/>
  <c r="L1076" i="24"/>
  <c r="M1076" i="24" s="1"/>
  <c r="K1076" i="24"/>
  <c r="P1076" i="24"/>
  <c r="Q1076" i="24" s="1"/>
  <c r="F1076" i="24"/>
  <c r="E1076" i="24"/>
  <c r="S1076" i="24" l="1"/>
  <c r="T1076" i="24" s="1"/>
  <c r="AC1076" i="24" s="1"/>
  <c r="AA1076" i="24"/>
  <c r="AB1076" i="24"/>
  <c r="R1076" i="24" l="1"/>
  <c r="Y1076" i="24" l="1"/>
  <c r="AF1076" i="24" s="1"/>
  <c r="W1076" i="24"/>
  <c r="AD1076" i="24" s="1"/>
  <c r="X1076" i="24"/>
  <c r="AE1076" i="24" s="1"/>
  <c r="G1077" i="24" l="1"/>
  <c r="B1077" i="24"/>
  <c r="H1077" i="24"/>
  <c r="C1077" i="24"/>
  <c r="D1077" i="24"/>
  <c r="I1077" i="24"/>
  <c r="J1077" i="24" l="1"/>
  <c r="L1077" i="24"/>
  <c r="M1077" i="24" s="1"/>
  <c r="K1077" i="24"/>
  <c r="P1077" i="24"/>
  <c r="Q1077" i="24" s="1"/>
  <c r="F1077" i="24"/>
  <c r="E1077" i="24"/>
  <c r="V1077" i="24"/>
  <c r="U1077" i="24"/>
  <c r="O1077" i="24"/>
  <c r="AG1076" i="24"/>
  <c r="R1077" i="24" l="1"/>
  <c r="S1077" i="24"/>
  <c r="T1077" i="24" s="1"/>
  <c r="AA1077" i="24" s="1"/>
  <c r="X1077" i="24"/>
  <c r="Y1077" i="24"/>
  <c r="W1077" i="24"/>
  <c r="AB1077" i="24"/>
  <c r="AC1077" i="24"/>
  <c r="AD1077" i="24" l="1"/>
  <c r="B1078" i="24"/>
  <c r="G1078" i="24"/>
  <c r="AF1077" i="24"/>
  <c r="AE1077" i="24"/>
  <c r="C1078" i="24" l="1"/>
  <c r="F1078" i="24" s="1"/>
  <c r="H1078" i="24"/>
  <c r="I1078" i="24"/>
  <c r="D1078" i="24"/>
  <c r="E1078" i="24"/>
  <c r="AG1077" i="24" l="1"/>
  <c r="V1078" i="24"/>
  <c r="U1078" i="24"/>
  <c r="J1078" i="24"/>
  <c r="K1078" i="24" l="1"/>
  <c r="P1078" i="24"/>
  <c r="Q1078" i="24" s="1"/>
  <c r="L1078" i="24"/>
  <c r="M1078" i="24" s="1"/>
  <c r="O1078" i="24"/>
  <c r="S1078" i="24" l="1"/>
  <c r="T1078" i="24" s="1"/>
  <c r="AA1078" i="24" s="1"/>
  <c r="AB1078" i="24"/>
  <c r="AC1078" i="24"/>
  <c r="R1078" i="24"/>
  <c r="W1078" i="24" l="1"/>
  <c r="AD1078" i="24" s="1"/>
  <c r="X1078" i="24"/>
  <c r="AE1078" i="24" s="1"/>
  <c r="Y1078" i="24"/>
  <c r="AF1078" i="24" s="1"/>
  <c r="C1079" i="24" l="1"/>
  <c r="H1079" i="24"/>
  <c r="I1079" i="24"/>
  <c r="D1079" i="24"/>
  <c r="G1079" i="24"/>
  <c r="B1079" i="24"/>
  <c r="E1079" i="24" s="1"/>
  <c r="AG1078" i="24" l="1"/>
  <c r="V1079" i="24"/>
  <c r="O1079" i="24"/>
  <c r="U1079" i="24"/>
  <c r="J1079" i="24"/>
  <c r="F1079" i="24"/>
  <c r="K1079" i="24" l="1"/>
  <c r="P1079" i="24"/>
  <c r="Q1079" i="24" s="1"/>
  <c r="L1079" i="24"/>
  <c r="M1079" i="24" s="1"/>
  <c r="S1079" i="24" l="1"/>
  <c r="T1079" i="24" s="1"/>
  <c r="AB1079" i="24" s="1"/>
  <c r="AA1079" i="24"/>
  <c r="R1079" i="24"/>
  <c r="AC1079" i="24" l="1"/>
  <c r="W1079" i="24"/>
  <c r="AD1079" i="24" s="1"/>
  <c r="Y1079" i="24"/>
  <c r="AF1079" i="24" s="1"/>
  <c r="X1079" i="24"/>
  <c r="AE1079" i="24" s="1"/>
  <c r="I1080" i="24" l="1"/>
  <c r="D1080" i="24"/>
  <c r="H1080" i="24"/>
  <c r="C1080" i="24"/>
  <c r="B1080" i="24"/>
  <c r="G1080" i="24"/>
  <c r="F1080" i="24" l="1"/>
  <c r="V1080" i="24"/>
  <c r="O1080" i="24"/>
  <c r="U1080" i="24"/>
  <c r="AG1079" i="24"/>
  <c r="J1080" i="24"/>
  <c r="E1080" i="24"/>
  <c r="K1080" i="24" l="1"/>
  <c r="L1080" i="24"/>
  <c r="M1080" i="24" s="1"/>
  <c r="P1080" i="24"/>
  <c r="Q1080" i="24" s="1"/>
  <c r="S1080" i="24" l="1"/>
  <c r="T1080" i="24" s="1"/>
  <c r="AC1080" i="24" s="1"/>
  <c r="AB1080" i="24"/>
  <c r="AA1080" i="24"/>
  <c r="R1080" i="24"/>
  <c r="X1080" i="24" l="1"/>
  <c r="AE1080" i="24" s="1"/>
  <c r="Y1080" i="24"/>
  <c r="AF1080" i="24" s="1"/>
  <c r="W1080" i="24"/>
  <c r="AD1080" i="24" s="1"/>
  <c r="I1081" i="24" l="1"/>
  <c r="D1081" i="24"/>
  <c r="B1081" i="24"/>
  <c r="G1081" i="24"/>
  <c r="J1081" i="24" s="1"/>
  <c r="H1081" i="24"/>
  <c r="C1081" i="24"/>
  <c r="K1081" i="24" l="1"/>
  <c r="L1081" i="24"/>
  <c r="M1081" i="24" s="1"/>
  <c r="P1081" i="24"/>
  <c r="Q1081" i="24" s="1"/>
  <c r="U1081" i="24"/>
  <c r="V1081" i="24"/>
  <c r="O1081" i="24"/>
  <c r="AG1080" i="24"/>
  <c r="E1081" i="24"/>
  <c r="F1081" i="24"/>
  <c r="S1081" i="24" l="1"/>
  <c r="T1081" i="24" s="1"/>
  <c r="AA1081" i="24" s="1"/>
  <c r="AB1081" i="24" l="1"/>
  <c r="AC1081" i="24"/>
  <c r="R1081" i="24"/>
  <c r="W1081" i="24" l="1"/>
  <c r="AD1081" i="24" s="1"/>
  <c r="X1081" i="24"/>
  <c r="AE1081" i="24" s="1"/>
  <c r="Y1081" i="24"/>
  <c r="AF1081" i="24" s="1"/>
  <c r="H1082" i="24" l="1"/>
  <c r="C1082" i="24"/>
  <c r="I1082" i="24"/>
  <c r="D1082" i="24"/>
  <c r="G1082" i="24"/>
  <c r="B1082" i="24"/>
  <c r="F1082" i="24" l="1"/>
  <c r="AG1081" i="24"/>
  <c r="U1082" i="24"/>
  <c r="V1082" i="24"/>
  <c r="E1082" i="24"/>
  <c r="J1082" i="24"/>
  <c r="L1082" i="24" l="1"/>
  <c r="M1082" i="24" s="1"/>
  <c r="K1082" i="24"/>
  <c r="P1082" i="24"/>
  <c r="Q1082" i="24" s="1"/>
  <c r="O1082" i="24"/>
  <c r="S1082" i="24" l="1"/>
  <c r="T1082" i="24" s="1"/>
  <c r="AA1082" i="24" s="1"/>
  <c r="AB1082" i="24"/>
  <c r="AC1082" i="24"/>
  <c r="R1082" i="24" l="1"/>
  <c r="W1082" i="24"/>
  <c r="AD1082" i="24" s="1"/>
  <c r="Y1082" i="24"/>
  <c r="AF1082" i="24" s="1"/>
  <c r="X1082" i="24"/>
  <c r="AE1082" i="24" s="1"/>
  <c r="I1083" i="24" l="1"/>
  <c r="D1083" i="24"/>
  <c r="H1083" i="24"/>
  <c r="C1083" i="24"/>
  <c r="B1083" i="24"/>
  <c r="G1083" i="24"/>
  <c r="F1083" i="24" l="1"/>
  <c r="V1083" i="24"/>
  <c r="O1083" i="24"/>
  <c r="U1083" i="24"/>
  <c r="AG1082" i="24"/>
  <c r="J1083" i="24"/>
  <c r="E1083" i="24"/>
  <c r="K1083" i="24" l="1"/>
  <c r="P1083" i="24"/>
  <c r="Q1083" i="24" s="1"/>
  <c r="L1083" i="24"/>
  <c r="M1083" i="24" s="1"/>
  <c r="S1083" i="24" l="1"/>
  <c r="T1083" i="24" s="1"/>
  <c r="AB1083" i="24" s="1"/>
  <c r="AC1083" i="24"/>
  <c r="AA1083" i="24"/>
  <c r="R1083" i="24"/>
  <c r="Y1083" i="24" l="1"/>
  <c r="AF1083" i="24" s="1"/>
  <c r="X1083" i="24"/>
  <c r="AE1083" i="24" s="1"/>
  <c r="W1083" i="24"/>
  <c r="AD1083" i="24" s="1"/>
  <c r="C1084" i="24" l="1"/>
  <c r="H1084" i="24"/>
  <c r="B1084" i="24"/>
  <c r="G1084" i="24"/>
  <c r="D1084" i="24"/>
  <c r="I1084" i="24"/>
  <c r="E1084" i="24" l="1"/>
  <c r="J1084" i="24"/>
  <c r="V1084" i="24"/>
  <c r="U1084" i="24"/>
  <c r="AG1083" i="24"/>
  <c r="F1084" i="24"/>
  <c r="K1084" i="24" l="1"/>
  <c r="L1084" i="24"/>
  <c r="M1084" i="24" s="1"/>
  <c r="P1084" i="24"/>
  <c r="Q1084" i="24" s="1"/>
  <c r="O1084" i="24"/>
  <c r="S1084" i="24" l="1"/>
  <c r="T1084" i="24" s="1"/>
  <c r="AC1084" i="24" s="1"/>
  <c r="AA1084" i="24" l="1"/>
  <c r="AB1084" i="24"/>
  <c r="R1084" i="24"/>
  <c r="Y1084" i="24" s="1"/>
  <c r="AF1084" i="24" s="1"/>
  <c r="W1084" i="24" l="1"/>
  <c r="AD1084" i="24" s="1"/>
  <c r="B1085" i="24" s="1"/>
  <c r="X1084" i="24"/>
  <c r="AE1084" i="24" s="1"/>
  <c r="I1085" i="24"/>
  <c r="D1085" i="24"/>
  <c r="G1085" i="24"/>
  <c r="C1085" i="24"/>
  <c r="H1085" i="24"/>
  <c r="E1085" i="24" l="1"/>
  <c r="V1085" i="24"/>
  <c r="U1085" i="24"/>
  <c r="AG1084" i="24"/>
  <c r="J1085" i="24"/>
  <c r="F1085" i="24"/>
  <c r="L1085" i="24" l="1"/>
  <c r="M1085" i="24" s="1"/>
  <c r="K1085" i="24"/>
  <c r="P1085" i="24"/>
  <c r="Q1085" i="24" s="1"/>
  <c r="O1085" i="24"/>
  <c r="S1085" i="24" l="1"/>
  <c r="T1085" i="24" s="1"/>
  <c r="AA1085" i="24" s="1"/>
  <c r="AC1085" i="24"/>
  <c r="AB1085" i="24"/>
  <c r="R1085" i="24" l="1"/>
  <c r="W1085" i="24" l="1"/>
  <c r="AD1085" i="24" s="1"/>
  <c r="Y1085" i="24"/>
  <c r="AF1085" i="24" s="1"/>
  <c r="X1085" i="24"/>
  <c r="AE1085" i="24" s="1"/>
  <c r="I1086" i="24" l="1"/>
  <c r="D1086" i="24"/>
  <c r="C1086" i="24"/>
  <c r="H1086" i="24"/>
  <c r="B1086" i="24"/>
  <c r="G1086" i="24"/>
  <c r="J1086" i="24" l="1"/>
  <c r="F1086" i="24"/>
  <c r="V1086" i="24"/>
  <c r="U1086" i="24"/>
  <c r="O1086" i="24"/>
  <c r="AG1085" i="24"/>
  <c r="E1086" i="24"/>
  <c r="P1086" i="24" l="1"/>
  <c r="Q1086" i="24" s="1"/>
  <c r="L1086" i="24"/>
  <c r="M1086" i="24" s="1"/>
  <c r="K1086" i="24"/>
  <c r="S1086" i="24" l="1"/>
  <c r="T1086" i="24" s="1"/>
  <c r="AA1086" i="24" s="1"/>
  <c r="AB1086" i="24"/>
  <c r="AC1086" i="24"/>
  <c r="R1086" i="24"/>
  <c r="W1086" i="24" l="1"/>
  <c r="AD1086" i="24" s="1"/>
  <c r="Y1086" i="24"/>
  <c r="AF1086" i="24" s="1"/>
  <c r="X1086" i="24"/>
  <c r="AE1086" i="24" s="1"/>
  <c r="H1087" i="24" l="1"/>
  <c r="C1087" i="24"/>
  <c r="D1087" i="24"/>
  <c r="I1087" i="24"/>
  <c r="B1087" i="24"/>
  <c r="G1087" i="24"/>
  <c r="V1087" i="24" l="1"/>
  <c r="U1087" i="24"/>
  <c r="AG1086" i="24"/>
  <c r="F1087" i="24"/>
  <c r="J1087" i="24"/>
  <c r="O1087" i="24" s="1"/>
  <c r="E1087" i="24"/>
  <c r="L1087" i="24" l="1"/>
  <c r="M1087" i="24" s="1"/>
  <c r="P1087" i="24"/>
  <c r="Q1087" i="24" s="1"/>
  <c r="K1087" i="24"/>
  <c r="S1087" i="24" l="1"/>
  <c r="T1087" i="24" s="1"/>
  <c r="AB1087" i="24" s="1"/>
  <c r="AA1087" i="24" l="1"/>
  <c r="R1087" i="24"/>
  <c r="AC1087" i="24"/>
  <c r="Y1087" i="24" l="1"/>
  <c r="AF1087" i="24" s="1"/>
  <c r="W1087" i="24"/>
  <c r="AD1087" i="24" s="1"/>
  <c r="X1087" i="24"/>
  <c r="AE1087" i="24" s="1"/>
  <c r="B1088" i="24" l="1"/>
  <c r="G1088" i="24"/>
  <c r="C1088" i="24"/>
  <c r="H1088" i="24"/>
  <c r="I1088" i="24"/>
  <c r="D1088" i="24"/>
  <c r="F1088" i="24" l="1"/>
  <c r="J1088" i="24"/>
  <c r="V1088" i="24"/>
  <c r="U1088" i="24"/>
  <c r="AG1087" i="24"/>
  <c r="E1088" i="24"/>
  <c r="K1088" i="24" l="1"/>
  <c r="L1088" i="24"/>
  <c r="M1088" i="24" s="1"/>
  <c r="P1088" i="24"/>
  <c r="Q1088" i="24" s="1"/>
  <c r="O1088" i="24"/>
  <c r="S1088" i="24" l="1"/>
  <c r="T1088" i="24" s="1"/>
  <c r="AC1088" i="24" s="1"/>
  <c r="AB1088" i="24"/>
  <c r="AA1088" i="24"/>
  <c r="R1088" i="24"/>
  <c r="W1088" i="24" l="1"/>
  <c r="AD1088" i="24" s="1"/>
  <c r="X1088" i="24"/>
  <c r="AE1088" i="24" s="1"/>
  <c r="Y1088" i="24"/>
  <c r="AF1088" i="24" s="1"/>
  <c r="H1089" i="24" l="1"/>
  <c r="C1089" i="24"/>
  <c r="D1089" i="24"/>
  <c r="I1089" i="24"/>
  <c r="B1089" i="24"/>
  <c r="G1089" i="24"/>
  <c r="E1089" i="24" l="1"/>
  <c r="F1089" i="24"/>
  <c r="V1089" i="24"/>
  <c r="U1089" i="24"/>
  <c r="AG1088" i="24"/>
  <c r="J1089" i="24"/>
  <c r="O1089" i="24" l="1"/>
  <c r="K1089" i="24"/>
  <c r="L1089" i="24"/>
  <c r="M1089" i="24" s="1"/>
  <c r="P1089" i="24"/>
  <c r="Q1089" i="24" s="1"/>
  <c r="S1089" i="24" l="1"/>
  <c r="T1089" i="24" s="1"/>
  <c r="AA1089" i="24" s="1"/>
  <c r="AB1089" i="24"/>
  <c r="AC1089" i="24" l="1"/>
  <c r="R1089" i="24"/>
  <c r="X1089" i="24" l="1"/>
  <c r="AE1089" i="24" s="1"/>
  <c r="W1089" i="24"/>
  <c r="AD1089" i="24" s="1"/>
  <c r="Y1089" i="24"/>
  <c r="AF1089" i="24" s="1"/>
  <c r="B1090" i="24" l="1"/>
  <c r="G1090" i="24"/>
  <c r="D1090" i="24"/>
  <c r="I1090" i="24"/>
  <c r="H1090" i="24"/>
  <c r="C1090" i="24"/>
  <c r="V1090" i="24" l="1"/>
  <c r="U1090" i="24"/>
  <c r="AG1089" i="24"/>
  <c r="J1090" i="24"/>
  <c r="F1090" i="24"/>
  <c r="E1090" i="24"/>
  <c r="O1090" i="24" l="1"/>
  <c r="K1090" i="24"/>
  <c r="L1090" i="24"/>
  <c r="M1090" i="24" s="1"/>
  <c r="P1090" i="24"/>
  <c r="Q1090" i="24" s="1"/>
  <c r="S1090" i="24" l="1"/>
  <c r="T1090" i="24" s="1"/>
  <c r="AA1090" i="24" s="1"/>
  <c r="AC1090" i="24" l="1"/>
  <c r="AB1090" i="24"/>
  <c r="R1090" i="24"/>
  <c r="Y1090" i="24" l="1"/>
  <c r="AF1090" i="24" s="1"/>
  <c r="W1090" i="24"/>
  <c r="AD1090" i="24" s="1"/>
  <c r="X1090" i="24"/>
  <c r="AE1090" i="24" s="1"/>
  <c r="B1091" i="24" l="1"/>
  <c r="G1091" i="24"/>
  <c r="C1091" i="24"/>
  <c r="H1091" i="24"/>
  <c r="D1091" i="24"/>
  <c r="I1091" i="24"/>
  <c r="F1091" i="24" l="1"/>
  <c r="J1091" i="24"/>
  <c r="O1091" i="24" s="1"/>
  <c r="V1091" i="24"/>
  <c r="U1091" i="24"/>
  <c r="AG1090" i="24"/>
  <c r="E1091" i="24"/>
  <c r="L1091" i="24" l="1"/>
  <c r="M1091" i="24" s="1"/>
  <c r="K1091" i="24"/>
  <c r="P1091" i="24"/>
  <c r="Q1091" i="24" s="1"/>
  <c r="S1091" i="24" l="1"/>
  <c r="T1091" i="24" s="1"/>
  <c r="AB1091" i="24" s="1"/>
  <c r="AC1091" i="24"/>
  <c r="AA1091" i="24" l="1"/>
  <c r="R1091" i="24"/>
  <c r="X1091" i="24" l="1"/>
  <c r="AE1091" i="24" s="1"/>
  <c r="W1091" i="24"/>
  <c r="AD1091" i="24" s="1"/>
  <c r="Y1091" i="24"/>
  <c r="AF1091" i="24" s="1"/>
  <c r="G1092" i="24" l="1"/>
  <c r="B1092" i="24"/>
  <c r="D1092" i="24"/>
  <c r="I1092" i="24"/>
  <c r="H1092" i="24"/>
  <c r="C1092" i="24"/>
  <c r="F1092" i="24" l="1"/>
  <c r="U1092" i="24"/>
  <c r="V1092" i="24"/>
  <c r="AG1091" i="24"/>
  <c r="E1092" i="24"/>
  <c r="J1092" i="24"/>
  <c r="L1092" i="24" l="1"/>
  <c r="M1092" i="24" s="1"/>
  <c r="P1092" i="24"/>
  <c r="Q1092" i="24" s="1"/>
  <c r="K1092" i="24"/>
  <c r="O1092" i="24"/>
  <c r="S1092" i="24" l="1"/>
  <c r="T1092" i="24" s="1"/>
  <c r="AC1092" i="24" s="1"/>
  <c r="AB1092" i="24"/>
  <c r="AA1092" i="24"/>
  <c r="R1092" i="24" l="1"/>
  <c r="W1092" i="24" l="1"/>
  <c r="AD1092" i="24" s="1"/>
  <c r="X1092" i="24"/>
  <c r="AE1092" i="24" s="1"/>
  <c r="Y1092" i="24"/>
  <c r="AF1092" i="24" s="1"/>
  <c r="C1093" i="24" l="1"/>
  <c r="H1093" i="24"/>
  <c r="D1093" i="24"/>
  <c r="I1093" i="24"/>
  <c r="B1093" i="24"/>
  <c r="G1093" i="24"/>
  <c r="U1093" i="24" l="1"/>
  <c r="V1093" i="24"/>
  <c r="AG1092" i="24"/>
  <c r="J1093" i="24"/>
  <c r="E1093" i="24"/>
  <c r="F1093" i="24"/>
  <c r="O1093" i="24" l="1"/>
  <c r="L1093" i="24"/>
  <c r="M1093" i="24" s="1"/>
  <c r="P1093" i="24"/>
  <c r="Q1093" i="24" s="1"/>
  <c r="K1093" i="24"/>
  <c r="S1093" i="24" l="1"/>
  <c r="T1093" i="24" s="1"/>
  <c r="AB1093" i="24" s="1"/>
  <c r="AA1093" i="24"/>
  <c r="AC1093" i="24"/>
  <c r="R1093" i="24" l="1"/>
  <c r="X1093" i="24" l="1"/>
  <c r="AE1093" i="24" s="1"/>
  <c r="W1093" i="24"/>
  <c r="AD1093" i="24" s="1"/>
  <c r="Y1093" i="24"/>
  <c r="AF1093" i="24" s="1"/>
  <c r="B1094" i="24" l="1"/>
  <c r="G1094" i="24"/>
  <c r="D1094" i="24"/>
  <c r="I1094" i="24"/>
  <c r="H1094" i="24"/>
  <c r="C1094" i="24"/>
  <c r="U1094" i="24" l="1"/>
  <c r="V1094" i="24"/>
  <c r="AG1093" i="24"/>
  <c r="J1094" i="24"/>
  <c r="O1094" i="24" s="1"/>
  <c r="F1094" i="24"/>
  <c r="E1094" i="24"/>
  <c r="P1094" i="24" l="1"/>
  <c r="Q1094" i="24" s="1"/>
  <c r="K1094" i="24"/>
  <c r="L1094" i="24"/>
  <c r="M1094" i="24" s="1"/>
  <c r="S1094" i="24" l="1"/>
  <c r="T1094" i="24" s="1"/>
  <c r="AA1094" i="24" s="1"/>
  <c r="AC1094" i="24"/>
  <c r="R1094" i="24"/>
  <c r="Y1094" i="24" l="1"/>
  <c r="AF1094" i="24" s="1"/>
  <c r="X1094" i="24"/>
  <c r="W1094" i="24"/>
  <c r="AD1094" i="24" s="1"/>
  <c r="AB1094" i="24"/>
  <c r="B1095" i="24" l="1"/>
  <c r="G1095" i="24"/>
  <c r="AE1094" i="24"/>
  <c r="D1095" i="24"/>
  <c r="I1095" i="24"/>
  <c r="C1095" i="24" l="1"/>
  <c r="H1095" i="24"/>
  <c r="J1095" i="24" s="1"/>
  <c r="V1095" i="24"/>
  <c r="U1095" i="24"/>
  <c r="AG1094" i="24"/>
  <c r="E1095" i="24"/>
  <c r="L1095" i="24" l="1"/>
  <c r="M1095" i="24" s="1"/>
  <c r="K1095" i="24"/>
  <c r="P1095" i="24"/>
  <c r="Q1095" i="24" s="1"/>
  <c r="R1095" i="24" s="1"/>
  <c r="O1095" i="24"/>
  <c r="S1095" i="24" s="1"/>
  <c r="T1095" i="24" s="1"/>
  <c r="AB1095" i="24" s="1"/>
  <c r="F1095" i="24"/>
  <c r="X1095" i="24" l="1"/>
  <c r="AE1095" i="24" s="1"/>
  <c r="Y1095" i="24"/>
  <c r="W1095" i="24"/>
  <c r="AA1095" i="24"/>
  <c r="AC1095" i="24"/>
  <c r="AD1095" i="24" l="1"/>
  <c r="AF1095" i="24"/>
  <c r="H1096" i="24"/>
  <c r="C1096" i="24"/>
  <c r="I1096" i="24" l="1"/>
  <c r="D1096" i="24"/>
  <c r="B1096" i="24"/>
  <c r="E1096" i="24" s="1"/>
  <c r="G1096" i="24"/>
  <c r="F1096" i="24" l="1"/>
  <c r="J1096" i="24"/>
  <c r="O1096" i="24" s="1"/>
  <c r="AG1095" i="24"/>
  <c r="U1096" i="24"/>
  <c r="V1096" i="24"/>
  <c r="K1096" i="24" l="1"/>
  <c r="L1096" i="24"/>
  <c r="M1096" i="24" s="1"/>
  <c r="P1096" i="24"/>
  <c r="Q1096" i="24" s="1"/>
  <c r="R1096" i="24" l="1"/>
  <c r="S1096" i="24"/>
  <c r="T1096" i="24" s="1"/>
  <c r="AC1096" i="24" s="1"/>
  <c r="AB1096" i="24"/>
  <c r="AA1096" i="24"/>
  <c r="X1096" i="24" l="1"/>
  <c r="AE1096" i="24" s="1"/>
  <c r="W1096" i="24"/>
  <c r="AD1096" i="24" s="1"/>
  <c r="Y1096" i="24"/>
  <c r="AF1096" i="24" s="1"/>
  <c r="I1097" i="24" l="1"/>
  <c r="D1097" i="24"/>
  <c r="B1097" i="24"/>
  <c r="G1097" i="24"/>
  <c r="J1097" i="24" s="1"/>
  <c r="H1097" i="24"/>
  <c r="C1097" i="24"/>
  <c r="L1097" i="24" l="1"/>
  <c r="M1097" i="24" s="1"/>
  <c r="K1097" i="24"/>
  <c r="P1097" i="24"/>
  <c r="Q1097" i="24" s="1"/>
  <c r="U1097" i="24"/>
  <c r="V1097" i="24"/>
  <c r="O1097" i="24"/>
  <c r="AG1096" i="24"/>
  <c r="E1097" i="24"/>
  <c r="F1097" i="24"/>
  <c r="S1097" i="24" l="1"/>
  <c r="T1097" i="24" s="1"/>
  <c r="AA1097" i="24" s="1"/>
  <c r="AC1097" i="24"/>
  <c r="AB1097" i="24"/>
  <c r="R1097" i="24" l="1"/>
  <c r="X1097" i="24" l="1"/>
  <c r="AE1097" i="24" s="1"/>
  <c r="Y1097" i="24"/>
  <c r="AF1097" i="24" s="1"/>
  <c r="W1097" i="24"/>
  <c r="AD1097" i="24" s="1"/>
  <c r="I1098" i="24" l="1"/>
  <c r="D1098" i="24"/>
  <c r="G1098" i="24"/>
  <c r="B1098" i="24"/>
  <c r="E1098" i="24" s="1"/>
  <c r="H1098" i="24"/>
  <c r="C1098" i="24"/>
  <c r="J1098" i="24" l="1"/>
  <c r="V1098" i="24"/>
  <c r="U1098" i="24"/>
  <c r="O1098" i="24"/>
  <c r="AG1097" i="24"/>
  <c r="F1098" i="24"/>
  <c r="K1098" i="24" l="1"/>
  <c r="L1098" i="24"/>
  <c r="M1098" i="24" s="1"/>
  <c r="P1098" i="24"/>
  <c r="Q1098" i="24" s="1"/>
  <c r="S1098" i="24" l="1"/>
  <c r="T1098" i="24" s="1"/>
  <c r="AA1098" i="24" s="1"/>
  <c r="AC1098" i="24"/>
  <c r="AB1098" i="24"/>
  <c r="R1098" i="24"/>
  <c r="W1098" i="24" l="1"/>
  <c r="AD1098" i="24" s="1"/>
  <c r="X1098" i="24"/>
  <c r="AE1098" i="24" s="1"/>
  <c r="Y1098" i="24"/>
  <c r="AF1098" i="24" s="1"/>
  <c r="H1099" i="24" l="1"/>
  <c r="C1099" i="24"/>
  <c r="F1099" i="24" s="1"/>
  <c r="D1099" i="24"/>
  <c r="I1099" i="24"/>
  <c r="B1099" i="24"/>
  <c r="G1099" i="24"/>
  <c r="V1099" i="24" l="1"/>
  <c r="U1099" i="24"/>
  <c r="AG1098" i="24"/>
  <c r="J1099" i="24"/>
  <c r="E1099" i="24"/>
  <c r="O1099" i="24" l="1"/>
  <c r="P1099" i="24"/>
  <c r="Q1099" i="24" s="1"/>
  <c r="L1099" i="24"/>
  <c r="M1099" i="24" s="1"/>
  <c r="K1099" i="24"/>
  <c r="S1099" i="24" l="1"/>
  <c r="T1099" i="24" s="1"/>
  <c r="AC1099" i="24" s="1"/>
  <c r="AA1099" i="24"/>
  <c r="AB1099" i="24"/>
  <c r="R1099" i="24" l="1"/>
  <c r="Y1099" i="24" l="1"/>
  <c r="AF1099" i="24" s="1"/>
  <c r="X1099" i="24"/>
  <c r="AE1099" i="24" s="1"/>
  <c r="W1099" i="24"/>
  <c r="AD1099" i="24" s="1"/>
  <c r="C1100" i="24" l="1"/>
  <c r="H1100" i="24"/>
  <c r="B1100" i="24"/>
  <c r="G1100" i="24"/>
  <c r="J1100" i="24" s="1"/>
  <c r="I1100" i="24"/>
  <c r="D1100" i="24"/>
  <c r="O1100" i="24" l="1"/>
  <c r="K1100" i="24"/>
  <c r="P1100" i="24"/>
  <c r="Q1100" i="24" s="1"/>
  <c r="L1100" i="24"/>
  <c r="M1100" i="24" s="1"/>
  <c r="E1100" i="24"/>
  <c r="V1100" i="24"/>
  <c r="U1100" i="24"/>
  <c r="AG1099" i="24"/>
  <c r="F1100" i="24"/>
  <c r="S1100" i="24" l="1"/>
  <c r="T1100" i="24" s="1"/>
  <c r="AC1100" i="24"/>
  <c r="AA1100" i="24"/>
  <c r="AB1100" i="24"/>
  <c r="R1100" i="24"/>
  <c r="X1100" i="24" l="1"/>
  <c r="AE1100" i="24" s="1"/>
  <c r="Y1100" i="24"/>
  <c r="AF1100" i="24" s="1"/>
  <c r="W1100" i="24"/>
  <c r="AD1100" i="24" s="1"/>
  <c r="D1101" i="24" l="1"/>
  <c r="I1101" i="24"/>
  <c r="G1101" i="24"/>
  <c r="B1101" i="24"/>
  <c r="H1101" i="24"/>
  <c r="C1101" i="24"/>
  <c r="E1101" i="24" l="1"/>
  <c r="J1101" i="24"/>
  <c r="F1101" i="24"/>
  <c r="V1101" i="24"/>
  <c r="U1101" i="24"/>
  <c r="AG1100" i="24"/>
  <c r="L1101" i="24" l="1"/>
  <c r="M1101" i="24" s="1"/>
  <c r="K1101" i="24"/>
  <c r="P1101" i="24"/>
  <c r="Q1101" i="24" s="1"/>
  <c r="O1101" i="24"/>
  <c r="S1101" i="24" l="1"/>
  <c r="T1101" i="24" s="1"/>
  <c r="AA1101" i="24" s="1"/>
  <c r="AC1101" i="24"/>
  <c r="AB1101" i="24"/>
  <c r="R1101" i="24" l="1"/>
  <c r="X1101" i="24" l="1"/>
  <c r="AE1101" i="24" s="1"/>
  <c r="Y1101" i="24"/>
  <c r="AF1101" i="24" s="1"/>
  <c r="W1101" i="24"/>
  <c r="AD1101" i="24" s="1"/>
  <c r="D1102" i="24" l="1"/>
  <c r="I1102" i="24"/>
  <c r="G1102" i="24"/>
  <c r="B1102" i="24"/>
  <c r="E1102" i="24" s="1"/>
  <c r="H1102" i="24"/>
  <c r="C1102" i="24"/>
  <c r="J1102" i="24" l="1"/>
  <c r="F1102" i="24"/>
  <c r="V1102" i="24"/>
  <c r="U1102" i="24"/>
  <c r="O1102" i="24"/>
  <c r="AG1101" i="24"/>
  <c r="L1102" i="24" l="1"/>
  <c r="M1102" i="24" s="1"/>
  <c r="K1102" i="24"/>
  <c r="P1102" i="24"/>
  <c r="Q1102" i="24" s="1"/>
  <c r="R1102" i="24" l="1"/>
  <c r="S1102" i="24"/>
  <c r="T1102" i="24" s="1"/>
  <c r="AA1102" i="24" s="1"/>
  <c r="AB1102" i="24"/>
  <c r="AC1102" i="24"/>
  <c r="Y1102" i="24" l="1"/>
  <c r="AF1102" i="24" s="1"/>
  <c r="X1102" i="24"/>
  <c r="AE1102" i="24" s="1"/>
  <c r="W1102" i="24"/>
  <c r="AD1102" i="24" s="1"/>
  <c r="C1103" i="24" l="1"/>
  <c r="H1103" i="24"/>
  <c r="B1103" i="24"/>
  <c r="G1103" i="24"/>
  <c r="D1103" i="24"/>
  <c r="I1103" i="24"/>
  <c r="J1103" i="24" l="1"/>
  <c r="E1103" i="24"/>
  <c r="V1103" i="24"/>
  <c r="U1103" i="24"/>
  <c r="AG1102" i="24"/>
  <c r="F1103" i="24"/>
  <c r="O1103" i="24" l="1"/>
  <c r="P1103" i="24"/>
  <c r="Q1103" i="24" s="1"/>
  <c r="K1103" i="24"/>
  <c r="L1103" i="24"/>
  <c r="M1103" i="24" s="1"/>
  <c r="S1103" i="24" l="1"/>
  <c r="T1103" i="24" s="1"/>
  <c r="AB1103" i="24" s="1"/>
  <c r="AC1103" i="24" l="1"/>
  <c r="AA1103" i="24"/>
  <c r="R1103" i="24"/>
  <c r="W1103" i="24" l="1"/>
  <c r="AD1103" i="24" s="1"/>
  <c r="Y1103" i="24"/>
  <c r="AF1103" i="24" s="1"/>
  <c r="X1103" i="24"/>
  <c r="AE1103" i="24" s="1"/>
  <c r="C1104" i="24" l="1"/>
  <c r="H1104" i="24"/>
  <c r="I1104" i="24"/>
  <c r="D1104" i="24"/>
  <c r="B1104" i="24"/>
  <c r="G1104" i="24"/>
  <c r="U1104" i="24" l="1"/>
  <c r="V1104" i="24"/>
  <c r="O1104" i="24"/>
  <c r="AG1103" i="24"/>
  <c r="J1104" i="24"/>
  <c r="E1104" i="24"/>
  <c r="F1104" i="24"/>
  <c r="P1104" i="24" l="1"/>
  <c r="Q1104" i="24" s="1"/>
  <c r="K1104" i="24"/>
  <c r="L1104" i="24"/>
  <c r="M1104" i="24" s="1"/>
  <c r="S1104" i="24" l="1"/>
  <c r="T1104" i="24" s="1"/>
  <c r="AC1104" i="24" s="1"/>
  <c r="AB1104" i="24"/>
  <c r="AA1104" i="24"/>
  <c r="R1104" i="24"/>
  <c r="Y1104" i="24" l="1"/>
  <c r="AF1104" i="24" s="1"/>
  <c r="X1104" i="24"/>
  <c r="AE1104" i="24" s="1"/>
  <c r="W1104" i="24"/>
  <c r="AD1104" i="24" s="1"/>
  <c r="G1105" i="24" l="1"/>
  <c r="B1105" i="24"/>
  <c r="H1105" i="24"/>
  <c r="C1105" i="24"/>
  <c r="I1105" i="24"/>
  <c r="D1105" i="24"/>
  <c r="U1105" i="24" l="1"/>
  <c r="V1105" i="24"/>
  <c r="AG1104" i="24"/>
  <c r="E1105" i="24"/>
  <c r="F1105" i="24"/>
  <c r="J1105" i="24"/>
  <c r="O1105" i="24" l="1"/>
  <c r="L1105" i="24"/>
  <c r="M1105" i="24" s="1"/>
  <c r="K1105" i="24"/>
  <c r="P1105" i="24"/>
  <c r="Q1105" i="24" s="1"/>
  <c r="S1105" i="24" l="1"/>
  <c r="T1105" i="24" s="1"/>
  <c r="AA1105" i="24" s="1"/>
  <c r="AC1105" i="24" l="1"/>
  <c r="AB1105" i="24"/>
  <c r="R1105" i="24"/>
  <c r="X1105" i="24" l="1"/>
  <c r="AE1105" i="24" s="1"/>
  <c r="W1105" i="24"/>
  <c r="AD1105" i="24" s="1"/>
  <c r="Y1105" i="24"/>
  <c r="AF1105" i="24" s="1"/>
  <c r="G1106" i="24" l="1"/>
  <c r="B1106" i="24"/>
  <c r="I1106" i="24"/>
  <c r="D1106" i="24"/>
  <c r="H1106" i="24"/>
  <c r="C1106" i="24"/>
  <c r="V1106" i="24" l="1"/>
  <c r="U1106" i="24"/>
  <c r="O1106" i="24"/>
  <c r="AG1105" i="24"/>
  <c r="E1106" i="24"/>
  <c r="F1106" i="24"/>
  <c r="J1106" i="24"/>
  <c r="L1106" i="24" l="1"/>
  <c r="M1106" i="24" s="1"/>
  <c r="K1106" i="24"/>
  <c r="P1106" i="24"/>
  <c r="Q1106" i="24" s="1"/>
  <c r="S1106" i="24" l="1"/>
  <c r="T1106" i="24" s="1"/>
  <c r="AA1106" i="24" s="1"/>
  <c r="AC1106" i="24"/>
  <c r="AB1106" i="24" l="1"/>
  <c r="R1106" i="24"/>
  <c r="Y1106" i="24" l="1"/>
  <c r="AF1106" i="24" s="1"/>
  <c r="X1106" i="24"/>
  <c r="AE1106" i="24" s="1"/>
  <c r="W1106" i="24"/>
  <c r="AD1106" i="24" s="1"/>
  <c r="C1107" i="24" l="1"/>
  <c r="H1107" i="24"/>
  <c r="G1107" i="24"/>
  <c r="B1107" i="24"/>
  <c r="I1107" i="24"/>
  <c r="D1107" i="24"/>
  <c r="E1107" i="24" l="1"/>
  <c r="J1107" i="24"/>
  <c r="V1107" i="24"/>
  <c r="U1107" i="24"/>
  <c r="AG1106" i="24"/>
  <c r="F1107" i="24"/>
  <c r="O1107" i="24" l="1"/>
  <c r="K1107" i="24"/>
  <c r="P1107" i="24"/>
  <c r="Q1107" i="24" s="1"/>
  <c r="L1107" i="24"/>
  <c r="M1107" i="24" s="1"/>
  <c r="S1107" i="24" l="1"/>
  <c r="T1107" i="24" s="1"/>
  <c r="AC1107" i="24" s="1"/>
  <c r="AB1107" i="24" l="1"/>
  <c r="AA1107" i="24"/>
  <c r="R1107" i="24"/>
  <c r="W1107" i="24" l="1"/>
  <c r="AD1107" i="24" s="1"/>
  <c r="Y1107" i="24"/>
  <c r="AF1107" i="24" s="1"/>
  <c r="X1107" i="24"/>
  <c r="AE1107" i="24" s="1"/>
  <c r="I1108" i="24" l="1"/>
  <c r="D1108" i="24"/>
  <c r="C1108" i="24"/>
  <c r="H1108" i="24"/>
  <c r="G1108" i="24"/>
  <c r="B1108" i="24"/>
  <c r="F1108" i="24" l="1"/>
  <c r="V1108" i="24"/>
  <c r="U1108" i="24"/>
  <c r="AG1107" i="24"/>
  <c r="E1108" i="24"/>
  <c r="J1108" i="24"/>
  <c r="O1108" i="24" l="1"/>
  <c r="P1108" i="24"/>
  <c r="Q1108" i="24" s="1"/>
  <c r="K1108" i="24"/>
  <c r="L1108" i="24"/>
  <c r="M1108" i="24" s="1"/>
  <c r="S1108" i="24" l="1"/>
  <c r="T1108" i="24" s="1"/>
  <c r="AC1108" i="24" s="1"/>
  <c r="AB1108" i="24"/>
  <c r="AA1108" i="24" l="1"/>
  <c r="R1108" i="24"/>
  <c r="Y1108" i="24" l="1"/>
  <c r="AF1108" i="24" s="1"/>
  <c r="W1108" i="24"/>
  <c r="AD1108" i="24" s="1"/>
  <c r="X1108" i="24"/>
  <c r="AE1108" i="24" s="1"/>
  <c r="B1109" i="24" l="1"/>
  <c r="G1109" i="24"/>
  <c r="H1109" i="24"/>
  <c r="C1109" i="24"/>
  <c r="D1109" i="24"/>
  <c r="I1109" i="24"/>
  <c r="E1109" i="24" l="1"/>
  <c r="F1109" i="24"/>
  <c r="J1109" i="24"/>
  <c r="U1109" i="24"/>
  <c r="V1109" i="24"/>
  <c r="AG1108" i="24"/>
  <c r="O1109" i="24" l="1"/>
  <c r="L1109" i="24"/>
  <c r="M1109" i="24" s="1"/>
  <c r="K1109" i="24"/>
  <c r="P1109" i="24"/>
  <c r="Q1109" i="24" s="1"/>
  <c r="S1109" i="24" l="1"/>
  <c r="T1109" i="24" s="1"/>
  <c r="AC1109" i="24" s="1"/>
  <c r="AB1109" i="24" l="1"/>
  <c r="AA1109" i="24"/>
  <c r="R1109" i="24"/>
  <c r="Y1109" i="24" l="1"/>
  <c r="AF1109" i="24" s="1"/>
  <c r="X1109" i="24"/>
  <c r="AE1109" i="24" s="1"/>
  <c r="W1109" i="24"/>
  <c r="AD1109" i="24" s="1"/>
  <c r="H1110" i="24" l="1"/>
  <c r="C1110" i="24"/>
  <c r="G1110" i="24"/>
  <c r="B1110" i="24"/>
  <c r="I1110" i="24"/>
  <c r="D1110" i="24"/>
  <c r="J1110" i="24" l="1"/>
  <c r="F1110" i="24"/>
  <c r="E1110" i="24"/>
  <c r="V1110" i="24"/>
  <c r="U1110" i="24"/>
  <c r="O1110" i="24"/>
  <c r="AG1109" i="24"/>
  <c r="L1110" i="24" l="1"/>
  <c r="M1110" i="24" s="1"/>
  <c r="K1110" i="24"/>
  <c r="P1110" i="24"/>
  <c r="Q1110" i="24" s="1"/>
  <c r="S1110" i="24" l="1"/>
  <c r="T1110" i="24" s="1"/>
  <c r="AA1110" i="24" s="1"/>
  <c r="AB1110" i="24"/>
  <c r="AC1110" i="24" l="1"/>
  <c r="R1110" i="24"/>
  <c r="X1110" i="24" l="1"/>
  <c r="AE1110" i="24" s="1"/>
  <c r="W1110" i="24"/>
  <c r="AD1110" i="24" s="1"/>
  <c r="Y1110" i="24"/>
  <c r="AF1110" i="24" s="1"/>
  <c r="G1111" i="24" l="1"/>
  <c r="B1111" i="24"/>
  <c r="I1111" i="24"/>
  <c r="D1111" i="24"/>
  <c r="H1111" i="24"/>
  <c r="C1111" i="24"/>
  <c r="E1111" i="24" l="1"/>
  <c r="V1111" i="24"/>
  <c r="U1111" i="24"/>
  <c r="AG1110" i="24"/>
  <c r="F1111" i="24"/>
  <c r="J1111" i="24"/>
  <c r="O1111" i="24" l="1"/>
  <c r="K1111" i="24"/>
  <c r="L1111" i="24"/>
  <c r="M1111" i="24" s="1"/>
  <c r="P1111" i="24"/>
  <c r="Q1111" i="24" s="1"/>
  <c r="S1111" i="24" l="1"/>
  <c r="T1111" i="24" s="1"/>
  <c r="AA1111" i="24" s="1"/>
  <c r="AB1111" i="24" l="1"/>
  <c r="AC1111" i="24"/>
  <c r="R1111" i="24"/>
  <c r="W1111" i="24" l="1"/>
  <c r="AD1111" i="24" s="1"/>
  <c r="X1111" i="24"/>
  <c r="AE1111" i="24" s="1"/>
  <c r="Y1111" i="24"/>
  <c r="AF1111" i="24" s="1"/>
  <c r="D1112" i="24" l="1"/>
  <c r="I1112" i="24"/>
  <c r="C1112" i="24"/>
  <c r="H1112" i="24"/>
  <c r="G1112" i="24"/>
  <c r="B1112" i="24"/>
  <c r="F1112" i="24" l="1"/>
  <c r="E1112" i="24"/>
  <c r="J1112" i="24"/>
  <c r="V1112" i="24"/>
  <c r="U1112" i="24"/>
  <c r="AG1111" i="24"/>
  <c r="L1112" i="24" l="1"/>
  <c r="M1112" i="24" s="1"/>
  <c r="K1112" i="24"/>
  <c r="P1112" i="24"/>
  <c r="Q1112" i="24" s="1"/>
  <c r="O1112" i="24"/>
  <c r="S1112" i="24" l="1"/>
  <c r="T1112" i="24" s="1"/>
  <c r="AC1112" i="24" s="1"/>
  <c r="AB1112" i="24"/>
  <c r="AA1112" i="24" l="1"/>
  <c r="R1112" i="24"/>
  <c r="X1112" i="24" l="1"/>
  <c r="AE1112" i="24" s="1"/>
  <c r="Y1112" i="24"/>
  <c r="AF1112" i="24" s="1"/>
  <c r="W1112" i="24"/>
  <c r="AD1112" i="24" s="1"/>
  <c r="D1113" i="24" l="1"/>
  <c r="I1113" i="24"/>
  <c r="G1113" i="24"/>
  <c r="B1113" i="24"/>
  <c r="H1113" i="24"/>
  <c r="C1113" i="24"/>
  <c r="E1113" i="24" l="1"/>
  <c r="J1113" i="24"/>
  <c r="F1113" i="24"/>
  <c r="V1113" i="24"/>
  <c r="U1113" i="24"/>
  <c r="AG1112" i="24"/>
  <c r="O1113" i="24" l="1"/>
  <c r="P1113" i="24"/>
  <c r="Q1113" i="24" s="1"/>
  <c r="K1113" i="24"/>
  <c r="L1113" i="24"/>
  <c r="M1113" i="24" s="1"/>
  <c r="S1113" i="24" l="1"/>
  <c r="T1113" i="24" s="1"/>
  <c r="AA1113" i="24" s="1"/>
  <c r="AC1113" i="24" l="1"/>
  <c r="AB1113" i="24"/>
  <c r="R1113" i="24"/>
  <c r="X1113" i="24" l="1"/>
  <c r="AE1113" i="24" s="1"/>
  <c r="Y1113" i="24"/>
  <c r="AF1113" i="24" s="1"/>
  <c r="W1113" i="24"/>
  <c r="AD1113" i="24" s="1"/>
  <c r="I1114" i="24" l="1"/>
  <c r="D1114" i="24"/>
  <c r="B1114" i="24"/>
  <c r="G1114" i="24"/>
  <c r="J1114" i="24" s="1"/>
  <c r="C1114" i="24"/>
  <c r="H1114" i="24"/>
  <c r="P1114" i="24" l="1"/>
  <c r="Q1114" i="24" s="1"/>
  <c r="L1114" i="24"/>
  <c r="M1114" i="24" s="1"/>
  <c r="K1114" i="24"/>
  <c r="U1114" i="24"/>
  <c r="V1114" i="24"/>
  <c r="O1114" i="24"/>
  <c r="AG1113" i="24"/>
  <c r="E1114" i="24"/>
  <c r="F1114" i="24"/>
  <c r="S1114" i="24" l="1"/>
  <c r="T1114" i="24" s="1"/>
  <c r="AA1114" i="24" s="1"/>
  <c r="AC1114" i="24"/>
  <c r="AB1114" i="24"/>
  <c r="R1114" i="24"/>
  <c r="W1114" i="24" l="1"/>
  <c r="AD1114" i="24" s="1"/>
  <c r="Y1114" i="24"/>
  <c r="AF1114" i="24" s="1"/>
  <c r="X1114" i="24"/>
  <c r="AE1114" i="24" s="1"/>
  <c r="I1115" i="24" l="1"/>
  <c r="D1115" i="24"/>
  <c r="C1115" i="24"/>
  <c r="H1115" i="24"/>
  <c r="G1115" i="24"/>
  <c r="B1115" i="24"/>
  <c r="J1115" i="24" l="1"/>
  <c r="AG1114" i="24"/>
  <c r="U1115" i="24"/>
  <c r="V1115" i="24"/>
  <c r="O1115" i="24"/>
  <c r="F1115" i="24"/>
  <c r="E1115" i="24"/>
  <c r="L1115" i="24" l="1"/>
  <c r="M1115" i="24" s="1"/>
  <c r="K1115" i="24"/>
  <c r="P1115" i="24"/>
  <c r="Q1115" i="24" s="1"/>
  <c r="R1115" i="24" l="1"/>
  <c r="S1115" i="24"/>
  <c r="T1115" i="24" s="1"/>
  <c r="AB1115" i="24" s="1"/>
  <c r="AC1115" i="24"/>
  <c r="AA1115" i="24" l="1"/>
  <c r="Y1115" i="24"/>
  <c r="AF1115" i="24" s="1"/>
  <c r="W1115" i="24"/>
  <c r="AD1115" i="24" s="1"/>
  <c r="X1115" i="24"/>
  <c r="AE1115" i="24" s="1"/>
  <c r="B1116" i="24" l="1"/>
  <c r="G1116" i="24"/>
  <c r="C1116" i="24"/>
  <c r="F1116" i="24" s="1"/>
  <c r="H1116" i="24"/>
  <c r="D1116" i="24"/>
  <c r="I1116" i="24"/>
  <c r="J1116" i="24" l="1"/>
  <c r="U1116" i="24"/>
  <c r="V1116" i="24"/>
  <c r="O1116" i="24"/>
  <c r="AG1115" i="24"/>
  <c r="E1116" i="24"/>
  <c r="K1116" i="24" l="1"/>
  <c r="P1116" i="24"/>
  <c r="Q1116" i="24" s="1"/>
  <c r="L1116" i="24"/>
  <c r="M1116" i="24" s="1"/>
  <c r="R1116" i="24" l="1"/>
  <c r="S1116" i="24"/>
  <c r="T1116" i="24" s="1"/>
  <c r="AA1116" i="24" s="1"/>
  <c r="AB1116" i="24"/>
  <c r="AC1116" i="24" l="1"/>
  <c r="W1116" i="24"/>
  <c r="AD1116" i="24" s="1"/>
  <c r="X1116" i="24"/>
  <c r="AE1116" i="24" s="1"/>
  <c r="Y1116" i="24"/>
  <c r="AF1116" i="24" s="1"/>
  <c r="C1117" i="24" l="1"/>
  <c r="H1117" i="24"/>
  <c r="D1117" i="24"/>
  <c r="I1117" i="24"/>
  <c r="B1117" i="24"/>
  <c r="G1117" i="24"/>
  <c r="V1117" i="24" l="1"/>
  <c r="U1117" i="24"/>
  <c r="AG1116" i="24"/>
  <c r="J1117" i="24"/>
  <c r="E1117" i="24"/>
  <c r="F1117" i="24"/>
  <c r="O1117" i="24" l="1"/>
  <c r="K1117" i="24"/>
  <c r="P1117" i="24"/>
  <c r="Q1117" i="24" s="1"/>
  <c r="L1117" i="24"/>
  <c r="M1117" i="24" s="1"/>
  <c r="R1117" i="24" l="1"/>
  <c r="S1117" i="24"/>
  <c r="T1117" i="24" s="1"/>
  <c r="AA1117" i="24" s="1"/>
  <c r="AB1117" i="24"/>
  <c r="AC1117" i="24" l="1"/>
  <c r="X1117" i="24"/>
  <c r="AE1117" i="24" s="1"/>
  <c r="Y1117" i="24"/>
  <c r="AF1117" i="24" s="1"/>
  <c r="W1117" i="24"/>
  <c r="AD1117" i="24" s="1"/>
  <c r="G1118" i="24" l="1"/>
  <c r="B1118" i="24"/>
  <c r="E1118" i="24" s="1"/>
  <c r="D1118" i="24"/>
  <c r="I1118" i="24"/>
  <c r="C1118" i="24"/>
  <c r="H1118" i="24"/>
  <c r="U1118" i="24" l="1"/>
  <c r="V1118" i="24"/>
  <c r="AG1117" i="24"/>
  <c r="F1118" i="24"/>
  <c r="J1118" i="24"/>
  <c r="O1118" i="24" l="1"/>
  <c r="K1118" i="24"/>
  <c r="L1118" i="24"/>
  <c r="M1118" i="24" s="1"/>
  <c r="P1118" i="24"/>
  <c r="Q1118" i="24" s="1"/>
  <c r="S1118" i="24" l="1"/>
  <c r="T1118" i="24" s="1"/>
  <c r="AA1118" i="24" s="1"/>
  <c r="AC1118" i="24" l="1"/>
  <c r="AB1118" i="24"/>
  <c r="R1118" i="24"/>
  <c r="W1118" i="24" l="1"/>
  <c r="AD1118" i="24" s="1"/>
  <c r="Y1118" i="24"/>
  <c r="AF1118" i="24" s="1"/>
  <c r="X1118" i="24"/>
  <c r="AE1118" i="24" s="1"/>
  <c r="I1119" i="24" l="1"/>
  <c r="D1119" i="24"/>
  <c r="H1119" i="24"/>
  <c r="C1119" i="24"/>
  <c r="B1119" i="24"/>
  <c r="G1119" i="24"/>
  <c r="E1119" i="24" l="1"/>
  <c r="F1119" i="24"/>
  <c r="V1119" i="24"/>
  <c r="U1119" i="24"/>
  <c r="AG1118" i="24"/>
  <c r="J1119" i="24"/>
  <c r="O1119" i="24" s="1"/>
  <c r="L1119" i="24" l="1"/>
  <c r="M1119" i="24" s="1"/>
  <c r="K1119" i="24"/>
  <c r="P1119" i="24"/>
  <c r="Q1119" i="24" s="1"/>
  <c r="S1119" i="24" l="1"/>
  <c r="T1119" i="24" s="1"/>
  <c r="AB1119" i="24" s="1"/>
  <c r="AC1119" i="24"/>
  <c r="AA1119" i="24"/>
  <c r="R1119" i="24" l="1"/>
  <c r="W1119" i="24" l="1"/>
  <c r="AD1119" i="24" s="1"/>
  <c r="X1119" i="24"/>
  <c r="AE1119" i="24" s="1"/>
  <c r="Y1119" i="24"/>
  <c r="AF1119" i="24" s="1"/>
  <c r="H1120" i="24" l="1"/>
  <c r="C1120" i="24"/>
  <c r="F1120" i="24" s="1"/>
  <c r="I1120" i="24"/>
  <c r="D1120" i="24"/>
  <c r="B1120" i="24"/>
  <c r="G1120" i="24"/>
  <c r="V1120" i="24" l="1"/>
  <c r="U1120" i="24"/>
  <c r="AG1119" i="24"/>
  <c r="J1120" i="24"/>
  <c r="E1120" i="24"/>
  <c r="P1120" i="24" l="1"/>
  <c r="Q1120" i="24" s="1"/>
  <c r="K1120" i="24"/>
  <c r="L1120" i="24"/>
  <c r="M1120" i="24" s="1"/>
  <c r="O1120" i="24"/>
  <c r="S1120" i="24" l="1"/>
  <c r="T1120" i="24" s="1"/>
  <c r="AC1120" i="24" s="1"/>
  <c r="AB1120" i="24"/>
  <c r="AA1120" i="24"/>
  <c r="R1120" i="24"/>
  <c r="Y1120" i="24" l="1"/>
  <c r="AF1120" i="24" s="1"/>
  <c r="W1120" i="24"/>
  <c r="AD1120" i="24" s="1"/>
  <c r="X1120" i="24"/>
  <c r="AE1120" i="24" s="1"/>
  <c r="C1121" i="24" l="1"/>
  <c r="H1121" i="24"/>
  <c r="G1121" i="24"/>
  <c r="B1121" i="24"/>
  <c r="I1121" i="24"/>
  <c r="D1121" i="24"/>
  <c r="E1121" i="24" l="1"/>
  <c r="U1121" i="24"/>
  <c r="V1121" i="24"/>
  <c r="AG1120" i="24"/>
  <c r="J1121" i="24"/>
  <c r="O1121" i="24" s="1"/>
  <c r="F1121" i="24"/>
  <c r="L1121" i="24" l="1"/>
  <c r="M1121" i="24" s="1"/>
  <c r="P1121" i="24"/>
  <c r="Q1121" i="24" s="1"/>
  <c r="K1121" i="24"/>
  <c r="S1121" i="24" l="1"/>
  <c r="T1121" i="24" s="1"/>
  <c r="AA1121" i="24" s="1"/>
  <c r="AB1121" i="24"/>
  <c r="AC1121" i="24"/>
  <c r="R1121" i="24" l="1"/>
  <c r="X1121" i="24" l="1"/>
  <c r="AE1121" i="24" s="1"/>
  <c r="Y1121" i="24"/>
  <c r="AF1121" i="24" s="1"/>
  <c r="W1121" i="24"/>
  <c r="AD1121" i="24" s="1"/>
  <c r="D1122" i="24" l="1"/>
  <c r="I1122" i="24"/>
  <c r="G1122" i="24"/>
  <c r="J1122" i="24" s="1"/>
  <c r="B1122" i="24"/>
  <c r="C1122" i="24"/>
  <c r="H1122" i="24"/>
  <c r="E1122" i="24" l="1"/>
  <c r="P1122" i="24"/>
  <c r="Q1122" i="24" s="1"/>
  <c r="L1122" i="24"/>
  <c r="M1122" i="24" s="1"/>
  <c r="K1122" i="24"/>
  <c r="F1122" i="24"/>
  <c r="V1122" i="24"/>
  <c r="U1122" i="24"/>
  <c r="O1122" i="24"/>
  <c r="AG1121" i="24"/>
  <c r="S1122" i="24" l="1"/>
  <c r="T1122" i="24" s="1"/>
  <c r="AA1122" i="24" s="1"/>
  <c r="AB1122" i="24"/>
  <c r="AC1122" i="24"/>
  <c r="R1122" i="24" l="1"/>
  <c r="X1122" i="24"/>
  <c r="AE1122" i="24" s="1"/>
  <c r="Y1122" i="24"/>
  <c r="AF1122" i="24" s="1"/>
  <c r="W1122" i="24"/>
  <c r="AD1122" i="24" s="1"/>
  <c r="I1123" i="24" l="1"/>
  <c r="D1123" i="24"/>
  <c r="G1123" i="24"/>
  <c r="B1123" i="24"/>
  <c r="C1123" i="24"/>
  <c r="H1123" i="24"/>
  <c r="F1123" i="24" l="1"/>
  <c r="E1123" i="24"/>
  <c r="J1123" i="24"/>
  <c r="V1123" i="24"/>
  <c r="U1123" i="24"/>
  <c r="AG1122" i="24"/>
  <c r="P1123" i="24" l="1"/>
  <c r="Q1123" i="24" s="1"/>
  <c r="K1123" i="24"/>
  <c r="L1123" i="24"/>
  <c r="M1123" i="24" s="1"/>
  <c r="O1123" i="24"/>
  <c r="S1123" i="24" l="1"/>
  <c r="T1123" i="24" s="1"/>
  <c r="AB1123" i="24" s="1"/>
  <c r="AA1123" i="24"/>
  <c r="AC1123" i="24"/>
  <c r="R1123" i="24"/>
  <c r="X1123" i="24" l="1"/>
  <c r="AE1123" i="24" s="1"/>
  <c r="Y1123" i="24"/>
  <c r="AF1123" i="24" s="1"/>
  <c r="W1123" i="24"/>
  <c r="AD1123" i="24" s="1"/>
  <c r="B1124" i="24" l="1"/>
  <c r="G1124" i="24"/>
  <c r="D1124" i="24"/>
  <c r="I1124" i="24"/>
  <c r="C1124" i="24"/>
  <c r="H1124" i="24"/>
  <c r="U1124" i="24" l="1"/>
  <c r="V1124" i="24"/>
  <c r="O1124" i="24"/>
  <c r="AG1123" i="24"/>
  <c r="J1124" i="24"/>
  <c r="F1124" i="24"/>
  <c r="E1124" i="24"/>
  <c r="L1124" i="24" l="1"/>
  <c r="M1124" i="24" s="1"/>
  <c r="P1124" i="24"/>
  <c r="Q1124" i="24" s="1"/>
  <c r="K1124" i="24"/>
  <c r="S1124" i="24" l="1"/>
  <c r="T1124" i="24" s="1"/>
  <c r="AC1124" i="24" s="1"/>
  <c r="AA1124" i="24" l="1"/>
  <c r="AB1124" i="24"/>
  <c r="R1124" i="24"/>
  <c r="X1124" i="24" l="1"/>
  <c r="AE1124" i="24" s="1"/>
  <c r="Y1124" i="24"/>
  <c r="AF1124" i="24" s="1"/>
  <c r="W1124" i="24"/>
  <c r="AD1124" i="24" s="1"/>
  <c r="G1125" i="24" l="1"/>
  <c r="B1125" i="24"/>
  <c r="I1125" i="24"/>
  <c r="D1125" i="24"/>
  <c r="C1125" i="24"/>
  <c r="H1125" i="24"/>
  <c r="V1125" i="24" l="1"/>
  <c r="U1125" i="24"/>
  <c r="O1125" i="24"/>
  <c r="AG1124" i="24"/>
  <c r="E1125" i="24"/>
  <c r="F1125" i="24"/>
  <c r="J1125" i="24"/>
  <c r="K1125" i="24" l="1"/>
  <c r="L1125" i="24"/>
  <c r="M1125" i="24" s="1"/>
  <c r="P1125" i="24"/>
  <c r="Q1125" i="24" s="1"/>
  <c r="S1125" i="24" l="1"/>
  <c r="T1125" i="24" s="1"/>
  <c r="AA1125" i="24" s="1"/>
  <c r="AB1125" i="24"/>
  <c r="AC1125" i="24"/>
  <c r="R1125" i="24"/>
  <c r="X1125" i="24" l="1"/>
  <c r="AE1125" i="24" s="1"/>
  <c r="Y1125" i="24"/>
  <c r="AF1125" i="24" s="1"/>
  <c r="W1125" i="24"/>
  <c r="AD1125" i="24" s="1"/>
  <c r="I1126" i="24" l="1"/>
  <c r="D1126" i="24"/>
  <c r="B1126" i="24"/>
  <c r="G1126" i="24"/>
  <c r="C1126" i="24"/>
  <c r="H1126" i="24"/>
  <c r="J1126" i="24" l="1"/>
  <c r="E1126" i="24"/>
  <c r="U1126" i="24"/>
  <c r="V1126" i="24"/>
  <c r="O1126" i="24"/>
  <c r="AG1125" i="24"/>
  <c r="F1126" i="24"/>
  <c r="L1126" i="24" l="1"/>
  <c r="M1126" i="24" s="1"/>
  <c r="P1126" i="24"/>
  <c r="Q1126" i="24" s="1"/>
  <c r="K1126" i="24"/>
  <c r="S1126" i="24" l="1"/>
  <c r="T1126" i="24" s="1"/>
  <c r="AA1126" i="24" s="1"/>
  <c r="AC1126" i="24"/>
  <c r="AB1126" i="24"/>
  <c r="R1126" i="24" l="1"/>
  <c r="W1126" i="24" s="1"/>
  <c r="AD1126" i="24" s="1"/>
  <c r="Y1126" i="24" l="1"/>
  <c r="AF1126" i="24" s="1"/>
  <c r="X1126" i="24"/>
  <c r="AE1126" i="24" s="1"/>
  <c r="H1127" i="24" s="1"/>
  <c r="D1127" i="24"/>
  <c r="I1127" i="24"/>
  <c r="C1127" i="24"/>
  <c r="G1127" i="24"/>
  <c r="B1127" i="24"/>
  <c r="F1127" i="24" l="1"/>
  <c r="E1127" i="24"/>
  <c r="J1127" i="24"/>
  <c r="V1127" i="24"/>
  <c r="U1127" i="24"/>
  <c r="AG1126" i="24"/>
  <c r="L1127" i="24" l="1"/>
  <c r="M1127" i="24" s="1"/>
  <c r="P1127" i="24"/>
  <c r="Q1127" i="24" s="1"/>
  <c r="K1127" i="24"/>
  <c r="O1127" i="24"/>
  <c r="S1127" i="24" l="1"/>
  <c r="T1127" i="24" s="1"/>
  <c r="AB1127" i="24" s="1"/>
  <c r="AC1127" i="24" l="1"/>
  <c r="R1127" i="24"/>
  <c r="Y1127" i="24" s="1"/>
  <c r="AF1127" i="24" s="1"/>
  <c r="AA1127" i="24"/>
  <c r="W1127" i="24" l="1"/>
  <c r="AD1127" i="24" s="1"/>
  <c r="X1127" i="24"/>
  <c r="AE1127" i="24" s="1"/>
  <c r="I1128" i="24"/>
  <c r="D1128" i="24"/>
  <c r="B1128" i="24"/>
  <c r="G1128" i="24"/>
  <c r="C1128" i="24"/>
  <c r="H1128" i="24"/>
  <c r="E1128" i="24" l="1"/>
  <c r="J1128" i="24"/>
  <c r="V1128" i="24"/>
  <c r="U1128" i="24"/>
  <c r="AG1127" i="24"/>
  <c r="F1128" i="24"/>
  <c r="O1128" i="24" l="1"/>
  <c r="P1128" i="24"/>
  <c r="Q1128" i="24" s="1"/>
  <c r="L1128" i="24"/>
  <c r="M1128" i="24" s="1"/>
  <c r="K1128" i="24"/>
  <c r="S1128" i="24" l="1"/>
  <c r="T1128" i="24" s="1"/>
  <c r="AA1128" i="24" s="1"/>
  <c r="AC1128" i="24" l="1"/>
  <c r="AB1128" i="24"/>
  <c r="R1128" i="24"/>
  <c r="Y1128" i="24" l="1"/>
  <c r="AF1128" i="24" s="1"/>
  <c r="X1128" i="24"/>
  <c r="AE1128" i="24" s="1"/>
  <c r="W1128" i="24"/>
  <c r="AD1128" i="24" s="1"/>
  <c r="C1129" i="24" l="1"/>
  <c r="H1129" i="24"/>
  <c r="B1129" i="24"/>
  <c r="G1129" i="24"/>
  <c r="D1129" i="24"/>
  <c r="I1129" i="24"/>
  <c r="J1129" i="24" l="1"/>
  <c r="E1129" i="24"/>
  <c r="V1129" i="24"/>
  <c r="U1129" i="24"/>
  <c r="AG1128" i="24"/>
  <c r="F1129" i="24"/>
  <c r="O1129" i="24" l="1"/>
  <c r="K1129" i="24"/>
  <c r="L1129" i="24"/>
  <c r="M1129" i="24" s="1"/>
  <c r="P1129" i="24"/>
  <c r="Q1129" i="24" s="1"/>
  <c r="S1129" i="24" l="1"/>
  <c r="T1129" i="24" s="1"/>
  <c r="AA1129" i="24" s="1"/>
  <c r="AC1129" i="24" l="1"/>
  <c r="AB1129" i="24"/>
  <c r="R1129" i="24"/>
  <c r="W1129" i="24" s="1"/>
  <c r="AD1129" i="24" s="1"/>
  <c r="Y1129" i="24"/>
  <c r="X1129" i="24" l="1"/>
  <c r="AE1129" i="24" s="1"/>
  <c r="AF1129" i="24"/>
  <c r="B1130" i="24"/>
  <c r="G1130" i="24"/>
  <c r="C1130" i="24"/>
  <c r="H1130" i="24"/>
  <c r="D1130" i="24"/>
  <c r="I1130" i="24"/>
  <c r="F1130" i="24" l="1"/>
  <c r="J1130" i="24"/>
  <c r="O1130" i="24" s="1"/>
  <c r="U1130" i="24"/>
  <c r="V1130" i="24"/>
  <c r="AG1129" i="24"/>
  <c r="E1130" i="24"/>
  <c r="P1130" i="24" l="1"/>
  <c r="Q1130" i="24" s="1"/>
  <c r="L1130" i="24"/>
  <c r="M1130" i="24" s="1"/>
  <c r="K1130" i="24"/>
  <c r="S1130" i="24" l="1"/>
  <c r="T1130" i="24" s="1"/>
  <c r="AA1130" i="24" s="1"/>
  <c r="AC1130" i="24"/>
  <c r="R1130" i="24"/>
  <c r="AB1130" i="24" l="1"/>
  <c r="X1130" i="24"/>
  <c r="AE1130" i="24" s="1"/>
  <c r="W1130" i="24"/>
  <c r="AD1130" i="24" s="1"/>
  <c r="Y1130" i="24"/>
  <c r="AF1130" i="24" s="1"/>
  <c r="D1131" i="24" l="1"/>
  <c r="I1131" i="24"/>
  <c r="B1131" i="24"/>
  <c r="G1131" i="24"/>
  <c r="H1131" i="24"/>
  <c r="C1131" i="24"/>
  <c r="E1131" i="24" l="1"/>
  <c r="F1131" i="24"/>
  <c r="J1131" i="24"/>
  <c r="V1131" i="24"/>
  <c r="U1131" i="24"/>
  <c r="AG1130" i="24"/>
  <c r="O1131" i="24" l="1"/>
  <c r="L1131" i="24"/>
  <c r="M1131" i="24" s="1"/>
  <c r="K1131" i="24"/>
  <c r="P1131" i="24"/>
  <c r="Q1131" i="24" s="1"/>
  <c r="R1131" i="24" l="1"/>
  <c r="S1131" i="24"/>
  <c r="T1131" i="24" s="1"/>
  <c r="AB1131" i="24" s="1"/>
  <c r="AC1131" i="24"/>
  <c r="AA1131" i="24"/>
  <c r="X1131" i="24" l="1"/>
  <c r="AE1131" i="24" s="1"/>
  <c r="W1131" i="24"/>
  <c r="AD1131" i="24" s="1"/>
  <c r="Y1131" i="24"/>
  <c r="AF1131" i="24" s="1"/>
  <c r="B1132" i="24" l="1"/>
  <c r="G1132" i="24"/>
  <c r="I1132" i="24"/>
  <c r="D1132" i="24"/>
  <c r="H1132" i="24"/>
  <c r="C1132" i="24"/>
  <c r="V1132" i="24" l="1"/>
  <c r="U1132" i="24"/>
  <c r="AG1131" i="24"/>
  <c r="F1132" i="24"/>
  <c r="J1132" i="24"/>
  <c r="E1132" i="24"/>
  <c r="O1132" i="24" l="1"/>
  <c r="L1132" i="24"/>
  <c r="M1132" i="24" s="1"/>
  <c r="P1132" i="24"/>
  <c r="Q1132" i="24" s="1"/>
  <c r="K1132" i="24"/>
  <c r="S1132" i="24" l="1"/>
  <c r="T1132" i="24" s="1"/>
  <c r="AC1132" i="24"/>
  <c r="AA1132" i="24"/>
  <c r="AB1132" i="24"/>
  <c r="R1132" i="24"/>
  <c r="X1132" i="24" l="1"/>
  <c r="AE1132" i="24" s="1"/>
  <c r="W1132" i="24"/>
  <c r="AD1132" i="24" s="1"/>
  <c r="Y1132" i="24"/>
  <c r="AF1132" i="24" s="1"/>
  <c r="G1133" i="24" l="1"/>
  <c r="B1133" i="24"/>
  <c r="I1133" i="24"/>
  <c r="D1133" i="24"/>
  <c r="C1133" i="24"/>
  <c r="H1133" i="24"/>
  <c r="U1133" i="24" l="1"/>
  <c r="V1133" i="24"/>
  <c r="AG1132" i="24"/>
  <c r="E1133" i="24"/>
  <c r="F1133" i="24"/>
  <c r="J1133" i="24"/>
  <c r="O1133" i="24" l="1"/>
  <c r="K1133" i="24"/>
  <c r="L1133" i="24"/>
  <c r="M1133" i="24" s="1"/>
  <c r="P1133" i="24"/>
  <c r="Q1133" i="24" s="1"/>
  <c r="S1133" i="24" l="1"/>
  <c r="T1133" i="24" s="1"/>
  <c r="AA1133" i="24" s="1"/>
  <c r="AC1133" i="24" l="1"/>
  <c r="AB1133" i="24"/>
  <c r="R1133" i="24"/>
  <c r="W1133" i="24" l="1"/>
  <c r="AD1133" i="24" s="1"/>
  <c r="Y1133" i="24"/>
  <c r="AF1133" i="24" s="1"/>
  <c r="X1133" i="24"/>
  <c r="AE1133" i="24" s="1"/>
  <c r="D1134" i="24" l="1"/>
  <c r="I1134" i="24"/>
  <c r="H1134" i="24"/>
  <c r="C1134" i="24"/>
  <c r="G1134" i="24"/>
  <c r="B1134" i="24"/>
  <c r="F1134" i="24" l="1"/>
  <c r="E1134" i="24"/>
  <c r="J1134" i="24"/>
  <c r="O1134" i="24" s="1"/>
  <c r="V1134" i="24"/>
  <c r="U1134" i="24"/>
  <c r="AG1133" i="24"/>
  <c r="P1134" i="24" l="1"/>
  <c r="Q1134" i="24" s="1"/>
  <c r="K1134" i="24"/>
  <c r="L1134" i="24"/>
  <c r="M1134" i="24" s="1"/>
  <c r="S1134" i="24" l="1"/>
  <c r="T1134" i="24" s="1"/>
  <c r="AA1134" i="24" s="1"/>
  <c r="AC1134" i="24"/>
  <c r="AB1134" i="24"/>
  <c r="R1134" i="24"/>
  <c r="W1134" i="24" l="1"/>
  <c r="AD1134" i="24" s="1"/>
  <c r="X1134" i="24"/>
  <c r="AE1134" i="24" s="1"/>
  <c r="Y1134" i="24"/>
  <c r="AF1134" i="24" s="1"/>
  <c r="C1135" i="24" l="1"/>
  <c r="H1135" i="24"/>
  <c r="I1135" i="24"/>
  <c r="D1135" i="24"/>
  <c r="B1135" i="24"/>
  <c r="G1135" i="24"/>
  <c r="V1135" i="24" l="1"/>
  <c r="U1135" i="24"/>
  <c r="O1135" i="24"/>
  <c r="AG1134" i="24"/>
  <c r="J1135" i="24"/>
  <c r="E1135" i="24"/>
  <c r="F1135" i="24"/>
  <c r="L1135" i="24" l="1"/>
  <c r="M1135" i="24" s="1"/>
  <c r="K1135" i="24"/>
  <c r="P1135" i="24"/>
  <c r="Q1135" i="24" s="1"/>
  <c r="S1135" i="24" l="1"/>
  <c r="T1135" i="24" s="1"/>
  <c r="AB1135" i="24" s="1"/>
  <c r="AA1135" i="24"/>
  <c r="AC1135" i="24" l="1"/>
  <c r="R1135" i="24"/>
  <c r="Y1135" i="24" l="1"/>
  <c r="AF1135" i="24" s="1"/>
  <c r="W1135" i="24"/>
  <c r="AD1135" i="24" s="1"/>
  <c r="X1135" i="24"/>
  <c r="AE1135" i="24" s="1"/>
  <c r="G1136" i="24" l="1"/>
  <c r="B1136" i="24"/>
  <c r="C1136" i="24"/>
  <c r="H1136" i="24"/>
  <c r="I1136" i="24"/>
  <c r="D1136" i="24"/>
  <c r="F1136" i="24" l="1"/>
  <c r="E1136" i="24"/>
  <c r="U1136" i="24"/>
  <c r="V1136" i="24"/>
  <c r="AG1135" i="24"/>
  <c r="J1136" i="24"/>
  <c r="O1136" i="24" l="1"/>
  <c r="L1136" i="24"/>
  <c r="M1136" i="24" s="1"/>
  <c r="P1136" i="24"/>
  <c r="Q1136" i="24" s="1"/>
  <c r="K1136" i="24"/>
  <c r="S1136" i="24" l="1"/>
  <c r="T1136" i="24" s="1"/>
  <c r="AC1136" i="24" s="1"/>
  <c r="AB1136" i="24" l="1"/>
  <c r="AA1136" i="24"/>
  <c r="R1136" i="24"/>
  <c r="X1136" i="24" l="1"/>
  <c r="AE1136" i="24" s="1"/>
  <c r="W1136" i="24"/>
  <c r="AD1136" i="24" s="1"/>
  <c r="Y1136" i="24"/>
  <c r="AF1136" i="24" s="1"/>
  <c r="B1137" i="24" l="1"/>
  <c r="G1137" i="24"/>
  <c r="I1137" i="24"/>
  <c r="D1137" i="24"/>
  <c r="H1137" i="24"/>
  <c r="C1137" i="24"/>
  <c r="V1137" i="24" l="1"/>
  <c r="U1137" i="24"/>
  <c r="AG1136" i="24"/>
  <c r="J1137" i="24"/>
  <c r="F1137" i="24"/>
  <c r="E1137" i="24"/>
  <c r="O1137" i="24" l="1"/>
  <c r="L1137" i="24"/>
  <c r="M1137" i="24" s="1"/>
  <c r="P1137" i="24"/>
  <c r="Q1137" i="24" s="1"/>
  <c r="K1137" i="24"/>
  <c r="S1137" i="24" l="1"/>
  <c r="T1137" i="24" s="1"/>
  <c r="AA1137" i="24"/>
  <c r="AC1137" i="24"/>
  <c r="AB1137" i="24"/>
  <c r="R1137" i="24"/>
  <c r="X1137" i="24" l="1"/>
  <c r="AE1137" i="24" s="1"/>
  <c r="Y1137" i="24"/>
  <c r="AF1137" i="24" s="1"/>
  <c r="W1137" i="24"/>
  <c r="AD1137" i="24" s="1"/>
  <c r="I1138" i="24" l="1"/>
  <c r="D1138" i="24"/>
  <c r="B1138" i="24"/>
  <c r="G1138" i="24"/>
  <c r="C1138" i="24"/>
  <c r="H1138" i="24"/>
  <c r="J1138" i="24" l="1"/>
  <c r="E1138" i="24"/>
  <c r="V1138" i="24"/>
  <c r="U1138" i="24"/>
  <c r="O1138" i="24"/>
  <c r="AG1137" i="24"/>
  <c r="F1138" i="24"/>
  <c r="K1138" i="24" l="1"/>
  <c r="L1138" i="24"/>
  <c r="M1138" i="24" s="1"/>
  <c r="P1138" i="24"/>
  <c r="Q1138" i="24" s="1"/>
  <c r="S1138" i="24" l="1"/>
  <c r="T1138" i="24" s="1"/>
  <c r="AA1138" i="24" s="1"/>
  <c r="AC1138" i="24"/>
  <c r="R1138" i="24" l="1"/>
  <c r="X1138" i="24" s="1"/>
  <c r="AE1138" i="24" s="1"/>
  <c r="AB1138" i="24"/>
  <c r="W1138" i="24" l="1"/>
  <c r="AD1138" i="24" s="1"/>
  <c r="Y1138" i="24"/>
  <c r="AF1138" i="24" s="1"/>
  <c r="D1139" i="24" s="1"/>
  <c r="G1139" i="24"/>
  <c r="B1139" i="24"/>
  <c r="H1139" i="24"/>
  <c r="C1139" i="24"/>
  <c r="I1139" i="24" l="1"/>
  <c r="V1139" i="24"/>
  <c r="U1139" i="24"/>
  <c r="AG1138" i="24"/>
  <c r="F1139" i="24"/>
  <c r="E1139" i="24"/>
  <c r="J1139" i="24"/>
  <c r="O1139" i="24" s="1"/>
  <c r="L1139" i="24" l="1"/>
  <c r="M1139" i="24" s="1"/>
  <c r="K1139" i="24"/>
  <c r="P1139" i="24"/>
  <c r="Q1139" i="24" s="1"/>
  <c r="R1139" i="24" l="1"/>
  <c r="S1139" i="24"/>
  <c r="T1139" i="24" s="1"/>
  <c r="AB1139" i="24" s="1"/>
  <c r="AC1139" i="24"/>
  <c r="AA1139" i="24" l="1"/>
  <c r="Y1139" i="24"/>
  <c r="AF1139" i="24" s="1"/>
  <c r="X1139" i="24"/>
  <c r="AE1139" i="24" s="1"/>
  <c r="W1139" i="24"/>
  <c r="AD1139" i="24" s="1"/>
  <c r="G1140" i="24" l="1"/>
  <c r="B1140" i="24"/>
  <c r="C1140" i="24"/>
  <c r="H1140" i="24"/>
  <c r="I1140" i="24"/>
  <c r="D1140" i="24"/>
  <c r="F1140" i="24" l="1"/>
  <c r="E1140" i="24"/>
  <c r="U1140" i="24"/>
  <c r="V1140" i="24"/>
  <c r="AG1139" i="24"/>
  <c r="J1140" i="24"/>
  <c r="O1140" i="24" l="1"/>
  <c r="P1140" i="24"/>
  <c r="Q1140" i="24" s="1"/>
  <c r="K1140" i="24"/>
  <c r="L1140" i="24"/>
  <c r="M1140" i="24" s="1"/>
  <c r="S1140" i="24" l="1"/>
  <c r="T1140" i="24" s="1"/>
  <c r="AA1140" i="24" s="1"/>
  <c r="AC1140" i="24"/>
  <c r="AB1140" i="24" l="1"/>
  <c r="R1140" i="24"/>
  <c r="Y1140" i="24" l="1"/>
  <c r="AF1140" i="24" s="1"/>
  <c r="X1140" i="24"/>
  <c r="AE1140" i="24" s="1"/>
  <c r="W1140" i="24"/>
  <c r="AD1140" i="24" s="1"/>
  <c r="G1141" i="24" l="1"/>
  <c r="B1141" i="24"/>
  <c r="H1141" i="24"/>
  <c r="C1141" i="24"/>
  <c r="I1141" i="24"/>
  <c r="D1141" i="24"/>
  <c r="F1141" i="24" l="1"/>
  <c r="E1141" i="24"/>
  <c r="V1141" i="24"/>
  <c r="U1141" i="24"/>
  <c r="AG1140" i="24"/>
  <c r="J1141" i="24"/>
  <c r="O1141" i="24" s="1"/>
  <c r="L1141" i="24" l="1"/>
  <c r="M1141" i="24" s="1"/>
  <c r="K1141" i="24"/>
  <c r="P1141" i="24"/>
  <c r="Q1141" i="24" s="1"/>
  <c r="R1141" i="24" l="1"/>
  <c r="S1141" i="24"/>
  <c r="T1141" i="24" s="1"/>
  <c r="AA1141" i="24" s="1"/>
  <c r="AC1141" i="24"/>
  <c r="AB1141" i="24" l="1"/>
  <c r="Y1141" i="24"/>
  <c r="AF1141" i="24" s="1"/>
  <c r="W1141" i="24"/>
  <c r="AD1141" i="24" s="1"/>
  <c r="X1141" i="24"/>
  <c r="AE1141" i="24" s="1"/>
  <c r="C1142" i="24" l="1"/>
  <c r="H1142" i="24"/>
  <c r="G1142" i="24"/>
  <c r="B1142" i="24"/>
  <c r="I1142" i="24"/>
  <c r="D1142" i="24"/>
  <c r="E1142" i="24" l="1"/>
  <c r="J1142" i="24"/>
  <c r="U1142" i="24"/>
  <c r="V1142" i="24"/>
  <c r="AG1141" i="24"/>
  <c r="F1142" i="24"/>
  <c r="P1142" i="24" l="1"/>
  <c r="Q1142" i="24" s="1"/>
  <c r="K1142" i="24"/>
  <c r="L1142" i="24"/>
  <c r="M1142" i="24" s="1"/>
  <c r="O1142" i="24"/>
  <c r="S1142" i="24" l="1"/>
  <c r="T1142" i="24" s="1"/>
  <c r="AA1142" i="24" s="1"/>
  <c r="AB1142" i="24"/>
  <c r="AC1142" i="24"/>
  <c r="R1142" i="24"/>
  <c r="Y1142" i="24" l="1"/>
  <c r="AF1142" i="24" s="1"/>
  <c r="X1142" i="24"/>
  <c r="AE1142" i="24" s="1"/>
  <c r="W1142" i="24"/>
  <c r="AD1142" i="24" s="1"/>
  <c r="G1143" i="24" l="1"/>
  <c r="B1143" i="24"/>
  <c r="H1143" i="24"/>
  <c r="C1143" i="24"/>
  <c r="D1143" i="24"/>
  <c r="I1143" i="24"/>
  <c r="F1143" i="24" l="1"/>
  <c r="E1143" i="24"/>
  <c r="J1143" i="24"/>
  <c r="U1143" i="24"/>
  <c r="V1143" i="24"/>
  <c r="AG1142" i="24"/>
  <c r="O1143" i="24" l="1"/>
  <c r="L1143" i="24"/>
  <c r="M1143" i="24" s="1"/>
  <c r="P1143" i="24"/>
  <c r="Q1143" i="24" s="1"/>
  <c r="K1143" i="24"/>
  <c r="S1143" i="24" l="1"/>
  <c r="T1143" i="24" s="1"/>
  <c r="AA1143" i="24" s="1"/>
  <c r="R1143" i="24"/>
  <c r="AB1143" i="24" l="1"/>
  <c r="AC1143" i="24"/>
  <c r="W1143" i="24"/>
  <c r="AD1143" i="24" s="1"/>
  <c r="X1143" i="24"/>
  <c r="AE1143" i="24" s="1"/>
  <c r="Y1143" i="24"/>
  <c r="H1144" i="24" l="1"/>
  <c r="C1144" i="24"/>
  <c r="G1144" i="24"/>
  <c r="B1144" i="24"/>
  <c r="AF1143" i="24"/>
  <c r="E1144" i="24" l="1"/>
  <c r="F1144" i="24"/>
  <c r="D1144" i="24"/>
  <c r="I1144" i="24"/>
  <c r="J1144" i="24" l="1"/>
  <c r="U1144" i="24"/>
  <c r="V1144" i="24"/>
  <c r="AG1143" i="24"/>
  <c r="O1144" i="24" l="1"/>
  <c r="P1144" i="24"/>
  <c r="Q1144" i="24" s="1"/>
  <c r="K1144" i="24"/>
  <c r="L1144" i="24"/>
  <c r="M1144" i="24" s="1"/>
  <c r="S1144" i="24" l="1"/>
  <c r="T1144" i="24" s="1"/>
  <c r="AA1144" i="24" s="1"/>
  <c r="AC1144" i="24"/>
  <c r="R1144" i="24" l="1"/>
  <c r="Y1144" i="24" s="1"/>
  <c r="AF1144" i="24" s="1"/>
  <c r="AB1144" i="24"/>
  <c r="X1144" i="24"/>
  <c r="AE1144" i="24" s="1"/>
  <c r="W1144" i="24"/>
  <c r="AD1144" i="24" s="1"/>
  <c r="B1145" i="24" l="1"/>
  <c r="G1145" i="24"/>
  <c r="H1145" i="24"/>
  <c r="C1145" i="24"/>
  <c r="I1145" i="24"/>
  <c r="D1145" i="24"/>
  <c r="F1145" i="24" l="1"/>
  <c r="J1145" i="24"/>
  <c r="V1145" i="24"/>
  <c r="U1145" i="24"/>
  <c r="AG1144" i="24"/>
  <c r="E1145" i="24"/>
  <c r="O1145" i="24" l="1"/>
  <c r="L1145" i="24"/>
  <c r="M1145" i="24" s="1"/>
  <c r="P1145" i="24"/>
  <c r="Q1145" i="24" s="1"/>
  <c r="K1145" i="24"/>
  <c r="R1145" i="24" l="1"/>
  <c r="S1145" i="24"/>
  <c r="T1145" i="24" s="1"/>
  <c r="AA1145" i="24" s="1"/>
  <c r="AB1145" i="24" l="1"/>
  <c r="AC1145" i="24"/>
  <c r="W1145" i="24"/>
  <c r="AD1145" i="24" s="1"/>
  <c r="Y1145" i="24"/>
  <c r="AF1145" i="24" s="1"/>
  <c r="X1145" i="24"/>
  <c r="AE1145" i="24" s="1"/>
  <c r="D1146" i="24" l="1"/>
  <c r="I1146" i="24"/>
  <c r="H1146" i="24"/>
  <c r="C1146" i="24"/>
  <c r="B1146" i="24"/>
  <c r="G1146" i="24"/>
  <c r="F1146" i="24" l="1"/>
  <c r="J1146" i="24"/>
  <c r="E1146" i="24"/>
  <c r="V1146" i="24"/>
  <c r="U1146" i="24"/>
  <c r="AG1145" i="24"/>
  <c r="O1146" i="24" l="1"/>
  <c r="L1146" i="24"/>
  <c r="M1146" i="24" s="1"/>
  <c r="P1146" i="24"/>
  <c r="Q1146" i="24" s="1"/>
  <c r="K1146" i="24"/>
  <c r="S1146" i="24" l="1"/>
  <c r="T1146" i="24" s="1"/>
  <c r="AA1146" i="24" s="1"/>
  <c r="AC1146" i="24" l="1"/>
  <c r="AB1146" i="24"/>
  <c r="R1146" i="24"/>
  <c r="Y1146" i="24" l="1"/>
  <c r="AF1146" i="24" s="1"/>
  <c r="X1146" i="24"/>
  <c r="AE1146" i="24" s="1"/>
  <c r="W1146" i="24"/>
  <c r="AD1146" i="24" s="1"/>
  <c r="G1147" i="24" l="1"/>
  <c r="B1147" i="24"/>
  <c r="C1147" i="24"/>
  <c r="H1147" i="24"/>
  <c r="I1147" i="24"/>
  <c r="D1147" i="24"/>
  <c r="U1147" i="24" l="1"/>
  <c r="V1147" i="24"/>
  <c r="AG1146" i="24"/>
  <c r="E1147" i="24"/>
  <c r="F1147" i="24"/>
  <c r="J1147" i="24"/>
  <c r="O1147" i="24" l="1"/>
  <c r="L1147" i="24"/>
  <c r="M1147" i="24" s="1"/>
  <c r="P1147" i="24"/>
  <c r="Q1147" i="24" s="1"/>
  <c r="K1147" i="24"/>
  <c r="S1147" i="24" l="1"/>
  <c r="T1147" i="24" s="1"/>
  <c r="AB1147" i="24" s="1"/>
  <c r="AA1147" i="24" l="1"/>
  <c r="AC1147" i="24"/>
  <c r="R1147" i="24"/>
  <c r="W1147" i="24" l="1"/>
  <c r="AD1147" i="24" s="1"/>
  <c r="X1147" i="24"/>
  <c r="AE1147" i="24" s="1"/>
  <c r="Y1147" i="24"/>
  <c r="AF1147" i="24" s="1"/>
  <c r="H1148" i="24" l="1"/>
  <c r="C1148" i="24"/>
  <c r="I1148" i="24"/>
  <c r="D1148" i="24"/>
  <c r="G1148" i="24"/>
  <c r="B1148" i="24"/>
  <c r="U1148" i="24" l="1"/>
  <c r="V1148" i="24"/>
  <c r="AG1147" i="24"/>
  <c r="F1148" i="24"/>
  <c r="E1148" i="24"/>
  <c r="J1148" i="24"/>
  <c r="O1148" i="24" l="1"/>
  <c r="P1148" i="24"/>
  <c r="Q1148" i="24" s="1"/>
  <c r="L1148" i="24"/>
  <c r="M1148" i="24" s="1"/>
  <c r="K1148" i="24"/>
  <c r="S1148" i="24" l="1"/>
  <c r="T1148" i="24" s="1"/>
  <c r="AB1148" i="24" s="1"/>
  <c r="AC1148" i="24"/>
  <c r="AA1148" i="24"/>
  <c r="R1148" i="24" l="1"/>
  <c r="X1148" i="24" l="1"/>
  <c r="AE1148" i="24" s="1"/>
  <c r="Y1148" i="24"/>
  <c r="AF1148" i="24" s="1"/>
  <c r="W1148" i="24"/>
  <c r="AD1148" i="24" s="1"/>
  <c r="D1149" i="24" l="1"/>
  <c r="I1149" i="24"/>
  <c r="B1149" i="24"/>
  <c r="G1149" i="24"/>
  <c r="H1149" i="24"/>
  <c r="C1149" i="24"/>
  <c r="J1149" i="24" l="1"/>
  <c r="E1149" i="24"/>
  <c r="F1149" i="24"/>
  <c r="U1149" i="24"/>
  <c r="V1149" i="24"/>
  <c r="AG1148" i="24"/>
  <c r="O1149" i="24" l="1"/>
  <c r="K1149" i="24"/>
  <c r="L1149" i="24"/>
  <c r="M1149" i="24" s="1"/>
  <c r="P1149" i="24"/>
  <c r="Q1149" i="24" s="1"/>
  <c r="S1149" i="24" l="1"/>
  <c r="T1149" i="24" s="1"/>
  <c r="AC1149" i="24" s="1"/>
  <c r="AB1149" i="24"/>
  <c r="AA1149" i="24" l="1"/>
  <c r="R1149" i="24"/>
  <c r="X1149" i="24" l="1"/>
  <c r="AE1149" i="24" s="1"/>
  <c r="W1149" i="24"/>
  <c r="AD1149" i="24" s="1"/>
  <c r="Y1149" i="24"/>
  <c r="AF1149" i="24" s="1"/>
  <c r="G1150" i="24" l="1"/>
  <c r="B1150" i="24"/>
  <c r="I1150" i="24"/>
  <c r="D1150" i="24"/>
  <c r="C1150" i="24"/>
  <c r="H1150" i="24"/>
  <c r="U1150" i="24" l="1"/>
  <c r="V1150" i="24"/>
  <c r="AG1149" i="24"/>
  <c r="E1150" i="24"/>
  <c r="F1150" i="24"/>
  <c r="J1150" i="24"/>
  <c r="O1150" i="24" l="1"/>
  <c r="K1150" i="24"/>
  <c r="P1150" i="24"/>
  <c r="Q1150" i="24" s="1"/>
  <c r="L1150" i="24"/>
  <c r="M1150" i="24" s="1"/>
  <c r="S1150" i="24" l="1"/>
  <c r="T1150" i="24" s="1"/>
  <c r="AA1150" i="24" s="1"/>
  <c r="R1150" i="24"/>
  <c r="X1150" i="24" l="1"/>
  <c r="Y1150" i="24"/>
  <c r="W1150" i="24"/>
  <c r="AD1150" i="24" s="1"/>
  <c r="AC1150" i="24"/>
  <c r="AB1150" i="24"/>
  <c r="B1151" i="24" l="1"/>
  <c r="G1151" i="24"/>
  <c r="AF1150" i="24"/>
  <c r="AE1150" i="24"/>
  <c r="H1151" i="24" l="1"/>
  <c r="C1151" i="24"/>
  <c r="E1151" i="24" s="1"/>
  <c r="I1151" i="24"/>
  <c r="J1151" i="24" s="1"/>
  <c r="D1151" i="24"/>
  <c r="K1151" i="24" l="1"/>
  <c r="L1151" i="24"/>
  <c r="M1151" i="24" s="1"/>
  <c r="P1151" i="24"/>
  <c r="Q1151" i="24" s="1"/>
  <c r="V1151" i="24"/>
  <c r="U1151" i="24"/>
  <c r="O1151" i="24"/>
  <c r="AG1150" i="24"/>
  <c r="F1151" i="24"/>
  <c r="R1151" i="24" l="1"/>
  <c r="S1151" i="24"/>
  <c r="T1151" i="24" s="1"/>
  <c r="AB1151" i="24" s="1"/>
  <c r="AC1151" i="24"/>
  <c r="AA1151" i="24" l="1"/>
  <c r="Y1151" i="24"/>
  <c r="AF1151" i="24" s="1"/>
  <c r="X1151" i="24"/>
  <c r="AE1151" i="24" s="1"/>
  <c r="W1151" i="24"/>
  <c r="AD1151" i="24" s="1"/>
  <c r="D1152" i="24" l="1"/>
  <c r="I1152" i="24"/>
  <c r="G1152" i="24"/>
  <c r="B1152" i="24"/>
  <c r="H1152" i="24"/>
  <c r="C1152" i="24"/>
  <c r="J1152" i="24" l="1"/>
  <c r="F1152" i="24"/>
  <c r="E1152" i="24"/>
  <c r="U1152" i="24"/>
  <c r="V1152" i="24"/>
  <c r="AG1151" i="24"/>
  <c r="O1152" i="24" l="1"/>
  <c r="L1152" i="24"/>
  <c r="M1152" i="24" s="1"/>
  <c r="P1152" i="24"/>
  <c r="Q1152" i="24" s="1"/>
  <c r="K1152" i="24"/>
  <c r="S1152" i="24" l="1"/>
  <c r="T1152" i="24" s="1"/>
  <c r="AC1152" i="24" s="1"/>
  <c r="R1152" i="24"/>
  <c r="AB1152" i="24" l="1"/>
  <c r="X1152" i="24"/>
  <c r="AE1152" i="24" s="1"/>
  <c r="W1152" i="24"/>
  <c r="Y1152" i="24"/>
  <c r="AF1152" i="24" s="1"/>
  <c r="AA1152" i="24"/>
  <c r="AD1152" i="24" l="1"/>
  <c r="I1153" i="24"/>
  <c r="D1153" i="24"/>
  <c r="H1153" i="24"/>
  <c r="C1153" i="24"/>
  <c r="G1153" i="24"/>
  <c r="B1153" i="24"/>
  <c r="F1153" i="24" l="1"/>
  <c r="V1153" i="24"/>
  <c r="U1153" i="24"/>
  <c r="AG1152" i="24"/>
  <c r="E1153" i="24"/>
  <c r="J1153" i="24"/>
  <c r="K1153" i="24" l="1"/>
  <c r="P1153" i="24"/>
  <c r="Q1153" i="24" s="1"/>
  <c r="L1153" i="24"/>
  <c r="M1153" i="24" s="1"/>
  <c r="O1153" i="24"/>
  <c r="S1153" i="24" l="1"/>
  <c r="T1153" i="24" s="1"/>
  <c r="AA1153" i="24" s="1"/>
  <c r="AB1153" i="24"/>
  <c r="AC1153" i="24"/>
  <c r="R1153" i="24"/>
  <c r="Y1153" i="24" l="1"/>
  <c r="AF1153" i="24" s="1"/>
  <c r="X1153" i="24"/>
  <c r="AE1153" i="24" s="1"/>
  <c r="W1153" i="24"/>
  <c r="AD1153" i="24" s="1"/>
  <c r="G1154" i="24" l="1"/>
  <c r="B1154" i="24"/>
  <c r="H1154" i="24"/>
  <c r="C1154" i="24"/>
  <c r="I1154" i="24"/>
  <c r="D1154" i="24"/>
  <c r="F1154" i="24" l="1"/>
  <c r="E1154" i="24"/>
  <c r="U1154" i="24"/>
  <c r="V1154" i="24"/>
  <c r="AG1153" i="24"/>
  <c r="J1154" i="24"/>
  <c r="O1154" i="24" l="1"/>
  <c r="L1154" i="24"/>
  <c r="M1154" i="24" s="1"/>
  <c r="P1154" i="24"/>
  <c r="Q1154" i="24" s="1"/>
  <c r="K1154" i="24"/>
  <c r="R1154" i="24" l="1"/>
  <c r="S1154" i="24"/>
  <c r="T1154" i="24" s="1"/>
  <c r="AA1154" i="24" s="1"/>
  <c r="AB1154" i="24"/>
  <c r="AC1154" i="24"/>
  <c r="Y1154" i="24" l="1"/>
  <c r="AF1154" i="24" s="1"/>
  <c r="W1154" i="24"/>
  <c r="AD1154" i="24" s="1"/>
  <c r="X1154" i="24"/>
  <c r="AE1154" i="24" s="1"/>
  <c r="C1155" i="24" l="1"/>
  <c r="H1155" i="24"/>
  <c r="B1155" i="24"/>
  <c r="G1155" i="24"/>
  <c r="D1155" i="24"/>
  <c r="I1155" i="24"/>
  <c r="E1155" i="24" l="1"/>
  <c r="J1155" i="24"/>
  <c r="V1155" i="24"/>
  <c r="U1155" i="24"/>
  <c r="AG1154" i="24"/>
  <c r="F1155" i="24"/>
  <c r="K1155" i="24" l="1"/>
  <c r="P1155" i="24"/>
  <c r="Q1155" i="24" s="1"/>
  <c r="L1155" i="24"/>
  <c r="M1155" i="24" s="1"/>
  <c r="O1155" i="24"/>
  <c r="S1155" i="24" l="1"/>
  <c r="T1155" i="24" s="1"/>
  <c r="AB1155" i="24" s="1"/>
  <c r="AC1155" i="24"/>
  <c r="AA1155" i="24"/>
  <c r="R1155" i="24"/>
  <c r="Y1155" i="24" l="1"/>
  <c r="AF1155" i="24" s="1"/>
  <c r="X1155" i="24"/>
  <c r="AE1155" i="24" s="1"/>
  <c r="W1155" i="24"/>
  <c r="AD1155" i="24" s="1"/>
  <c r="B1156" i="24" l="1"/>
  <c r="G1156" i="24"/>
  <c r="H1156" i="24"/>
  <c r="C1156" i="24"/>
  <c r="I1156" i="24"/>
  <c r="D1156" i="24"/>
  <c r="F1156" i="24" l="1"/>
  <c r="J1156" i="24"/>
  <c r="U1156" i="24"/>
  <c r="V1156" i="24"/>
  <c r="AG1155" i="24"/>
  <c r="E1156" i="24"/>
  <c r="O1156" i="24" l="1"/>
  <c r="K1156" i="24"/>
  <c r="P1156" i="24"/>
  <c r="Q1156" i="24" s="1"/>
  <c r="L1156" i="24"/>
  <c r="M1156" i="24" s="1"/>
  <c r="S1156" i="24" l="1"/>
  <c r="T1156" i="24" s="1"/>
  <c r="AC1156" i="24" s="1"/>
  <c r="AA1156" i="24"/>
  <c r="AB1156" i="24"/>
  <c r="R1156" i="24"/>
  <c r="X1156" i="24" l="1"/>
  <c r="AE1156" i="24" s="1"/>
  <c r="W1156" i="24"/>
  <c r="AD1156" i="24" s="1"/>
  <c r="Y1156" i="24"/>
  <c r="AF1156" i="24" s="1"/>
  <c r="I1157" i="24" l="1"/>
  <c r="D1157" i="24"/>
  <c r="G1157" i="24"/>
  <c r="J1157" i="24" s="1"/>
  <c r="B1157" i="24"/>
  <c r="H1157" i="24"/>
  <c r="C1157" i="24"/>
  <c r="O1157" i="24" l="1"/>
  <c r="L1157" i="24"/>
  <c r="M1157" i="24" s="1"/>
  <c r="P1157" i="24"/>
  <c r="Q1157" i="24" s="1"/>
  <c r="K1157" i="24"/>
  <c r="F1157" i="24"/>
  <c r="AG1156" i="24"/>
  <c r="U1157" i="24"/>
  <c r="V1157" i="24"/>
  <c r="E1157" i="24"/>
  <c r="S1157" i="24" l="1"/>
  <c r="T1157" i="24" s="1"/>
  <c r="AA1157" i="24" s="1"/>
  <c r="AB1157" i="24" l="1"/>
  <c r="AC1157" i="24"/>
  <c r="R1157" i="24"/>
  <c r="X1157" i="24" l="1"/>
  <c r="AE1157" i="24" s="1"/>
  <c r="Y1157" i="24"/>
  <c r="AF1157" i="24" s="1"/>
  <c r="W1157" i="24"/>
  <c r="AD1157" i="24" s="1"/>
  <c r="D1158" i="24" l="1"/>
  <c r="I1158" i="24"/>
  <c r="G1158" i="24"/>
  <c r="B1158" i="24"/>
  <c r="E1158" i="24" s="1"/>
  <c r="H1158" i="24"/>
  <c r="C1158" i="24"/>
  <c r="J1158" i="24" l="1"/>
  <c r="F1158" i="24"/>
  <c r="U1158" i="24"/>
  <c r="V1158" i="24"/>
  <c r="AG1158" i="24"/>
  <c r="O1158" i="24"/>
  <c r="AG1157" i="24"/>
  <c r="P1158" i="24" l="1"/>
  <c r="Q1158" i="24" s="1"/>
  <c r="L1158" i="24"/>
  <c r="M1158" i="24" s="1"/>
  <c r="K1158" i="24"/>
  <c r="S1158" i="24" l="1"/>
  <c r="T1158" i="24" s="1"/>
  <c r="AA1158" i="24" s="1"/>
  <c r="AB1158" i="24"/>
  <c r="AC1158" i="24"/>
  <c r="R1158" i="24"/>
  <c r="Y1158" i="24" l="1"/>
  <c r="AF1158" i="24" s="1"/>
  <c r="X1158" i="24"/>
  <c r="AE1158" i="24" s="1"/>
  <c r="W1158" i="24"/>
  <c r="AD1158"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a-nathan</author>
    <author>Alan M. Nathan</author>
    <author>Alan's 2-in-1</author>
  </authors>
  <commentList>
    <comment ref="B2" authorId="0" shapeId="0" xr:uid="{D9F21A9C-B33D-47AB-A08F-45EE481D1A85}">
      <text>
        <r>
          <rPr>
            <b/>
            <sz val="8"/>
            <color indexed="81"/>
            <rFont val="Tahoma"/>
            <family val="2"/>
          </rPr>
          <t>a-nathan:</t>
        </r>
        <r>
          <rPr>
            <sz val="8"/>
            <color indexed="81"/>
            <rFont val="Tahoma"/>
            <family val="2"/>
          </rPr>
          <t xml:space="preserve">
mass of ball
golfl:  1.62 oz
</t>
        </r>
      </text>
    </comment>
    <comment ref="B3" authorId="0" shapeId="0" xr:uid="{B40C79D8-223E-4E45-B707-A44693E09426}">
      <text>
        <r>
          <rPr>
            <b/>
            <sz val="8"/>
            <color indexed="81"/>
            <rFont val="Tahoma"/>
            <family val="2"/>
          </rPr>
          <t>a-nathan:</t>
        </r>
        <r>
          <rPr>
            <sz val="8"/>
            <color indexed="81"/>
            <rFont val="Tahoma"/>
            <family val="2"/>
          </rPr>
          <t xml:space="preserve">
circumference:
5.277" for golf ball
</t>
        </r>
      </text>
    </comment>
    <comment ref="D3" authorId="1" shapeId="0" xr:uid="{44A25245-7E5E-4480-9FB7-BB78AD54F741}">
      <text>
        <r>
          <rPr>
            <b/>
            <sz val="9"/>
            <color indexed="81"/>
            <rFont val="Tahoma"/>
            <family val="2"/>
          </rPr>
          <t>Alan M. Nathan:</t>
        </r>
        <r>
          <rPr>
            <sz val="9"/>
            <color indexed="81"/>
            <rFont val="Tahoma"/>
            <family val="2"/>
          </rPr>
          <t xml:space="preserve">
air density in kg/m^3, taking into account temperature, elevation, pressure, and relative humidity.  Note that the factor 0.3783 was inserted on Jully 5, 2012 to correctly take into account the mass of the water molecule.  See CRC, 54th Ed, p. F-9.</t>
        </r>
      </text>
    </comment>
    <comment ref="D4" authorId="1" shapeId="0" xr:uid="{C18655CA-E6EC-4A53-B78A-71A75DBC07AE}">
      <text>
        <r>
          <rPr>
            <b/>
            <sz val="9"/>
            <color indexed="81"/>
            <rFont val="Tahoma"/>
            <family val="2"/>
          </rPr>
          <t>Alan M. Nathan:</t>
        </r>
        <r>
          <rPr>
            <sz val="9"/>
            <color indexed="81"/>
            <rFont val="Tahoma"/>
            <family val="2"/>
          </rPr>
          <t xml:space="preserve">
0.5*rho*A/m in 1/ft</t>
        </r>
      </text>
    </comment>
    <comment ref="D5" authorId="1" shapeId="0" xr:uid="{9A53CAEB-B1F7-494D-ABD3-C7929DDA38A3}">
      <text>
        <r>
          <rPr>
            <b/>
            <sz val="9"/>
            <color indexed="81"/>
            <rFont val="Tahoma"/>
            <family val="2"/>
          </rPr>
          <t>Alan M. Nathan:</t>
        </r>
        <r>
          <rPr>
            <sz val="9"/>
            <color indexed="81"/>
            <rFont val="Tahoma"/>
            <family val="2"/>
          </rPr>
          <t xml:space="preserve">
units are 1/ft
c0=0.5*rho*A/m for rho=1.225 kg/m^3 (0.0767 lb/ft^3), a value appropriate for elev=0 and T=288.16K
(15C or 59F)
c0=0.5*rho*A/m 
This value assumes a baseball with circumference of 9-1/8 inches and mass 5-1/8 oz.</t>
        </r>
      </text>
    </comment>
    <comment ref="D6" authorId="1" shapeId="0" xr:uid="{D7E0AEB4-8AF8-4261-BC4D-A144675F7AB8}">
      <text>
        <r>
          <rPr>
            <b/>
            <sz val="9"/>
            <color indexed="81"/>
            <rFont val="Tahoma"/>
            <family val="2"/>
          </rPr>
          <t>Alan M. Nathan:</t>
        </r>
        <r>
          <rPr>
            <sz val="9"/>
            <color indexed="81"/>
            <rFont val="Tahoma"/>
            <family val="2"/>
          </rPr>
          <t xml:space="preserve">
actual pressure = (corrected barometric pressure)*exp(-elev*beta).  Beta has unitls /1m.
</t>
        </r>
      </text>
    </comment>
    <comment ref="G11" authorId="2" shapeId="0" xr:uid="{06B38926-0819-45F6-9553-B36EC6D3663E}">
      <text>
        <r>
          <rPr>
            <b/>
            <sz val="9"/>
            <color indexed="81"/>
            <rFont val="Tahoma"/>
            <family val="2"/>
          </rPr>
          <t>Alan's 2-in-1:</t>
        </r>
        <r>
          <rPr>
            <sz val="9"/>
            <color indexed="81"/>
            <rFont val="Tahoma"/>
            <family val="2"/>
          </rPr>
          <t xml:space="preserve">
Flag=0 means full spin is used for both spin-dependent drag and S
Flag=1 means only the transverse spin is used for both spin-dependent drag and S</t>
        </r>
      </text>
    </comment>
    <comment ref="B12" authorId="2" shapeId="0" xr:uid="{20C8A80D-E12A-4493-88D0-1A8D4B201F0A}">
      <text>
        <r>
          <rPr>
            <b/>
            <sz val="9"/>
            <color indexed="81"/>
            <rFont val="Tahoma"/>
            <family val="2"/>
          </rPr>
          <t>Alan's 2-in-1:</t>
        </r>
        <r>
          <rPr>
            <sz val="9"/>
            <color indexed="81"/>
            <rFont val="Tahoma"/>
            <family val="2"/>
          </rPr>
          <t xml:space="preserve">
positive for hook
negative for slice</t>
        </r>
      </text>
    </comment>
    <comment ref="B13" authorId="2" shapeId="0" xr:uid="{4AC6C194-E248-43BA-93F4-AE4EC98BD41B}">
      <text>
        <r>
          <rPr>
            <b/>
            <sz val="9"/>
            <color indexed="81"/>
            <rFont val="Tahoma"/>
            <family val="2"/>
          </rPr>
          <t>Alan's 2-in-1:</t>
        </r>
        <r>
          <rPr>
            <sz val="9"/>
            <color indexed="81"/>
            <rFont val="Tahoma"/>
            <family val="2"/>
          </rPr>
          <t xml:space="preserve">
Integration step size in seconds.</t>
        </r>
      </text>
    </comment>
    <comment ref="D14" authorId="1" shapeId="0" xr:uid="{A06EE950-22B3-42DD-8C21-ADB8BDEDF83B}">
      <text>
        <r>
          <rPr>
            <b/>
            <sz val="9"/>
            <color indexed="81"/>
            <rFont val="Tahoma"/>
            <family val="2"/>
          </rPr>
          <t>Alan M. Nathan:</t>
        </r>
        <r>
          <rPr>
            <sz val="9"/>
            <color indexed="81"/>
            <rFont val="Tahoma"/>
            <family val="2"/>
          </rPr>
          <t xml:space="preserve">
initial spin in rad/s</t>
        </r>
      </text>
    </comment>
    <comment ref="D15" authorId="1" shapeId="0" xr:uid="{5221DD6C-68E5-4BE4-9B67-A34C56192636}">
      <text>
        <r>
          <rPr>
            <b/>
            <sz val="9"/>
            <color indexed="81"/>
            <rFont val="Tahoma"/>
            <family val="2"/>
          </rPr>
          <t>Alan M. Nathan:</t>
        </r>
        <r>
          <rPr>
            <sz val="9"/>
            <color indexed="81"/>
            <rFont val="Tahoma"/>
            <family val="2"/>
          </rPr>
          <t xml:space="preserve">
assumes ball radius = circ/(2*pi)
romega units ft/s</t>
        </r>
      </text>
    </comment>
    <comment ref="B18" authorId="1" shapeId="0" xr:uid="{5C1D1617-9D2F-49D5-92AB-2C374ADF451B}">
      <text>
        <r>
          <rPr>
            <b/>
            <sz val="9"/>
            <color indexed="81"/>
            <rFont val="Tahoma"/>
            <family val="2"/>
          </rPr>
          <t>Alan M. Nathan:</t>
        </r>
        <r>
          <rPr>
            <sz val="9"/>
            <color indexed="81"/>
            <rFont val="Tahoma"/>
            <family val="2"/>
          </rPr>
          <t xml:space="preserve">
angle of wind wrt the y axis (runs from -180 to +180)
0 =&gt; out to CF
45 =&gt; out to RF pole
-45 =&gt; out to LF pole
180 =&gt; in from CF</t>
        </r>
      </text>
    </comment>
    <comment ref="B20" authorId="1" shapeId="0" xr:uid="{2C3FB342-9CAF-452A-8DB5-8C79EEFB3127}">
      <text>
        <r>
          <rPr>
            <b/>
            <sz val="9"/>
            <color indexed="81"/>
            <rFont val="Tahoma"/>
            <family val="2"/>
          </rPr>
          <t>Alan M. Nathan:</t>
        </r>
        <r>
          <rPr>
            <sz val="9"/>
            <color indexed="81"/>
            <rFont val="Tahoma"/>
            <family val="2"/>
          </rPr>
          <t xml:space="preserve">
relative humidity in percent</t>
        </r>
      </text>
    </comment>
    <comment ref="B21" authorId="1" shapeId="0" xr:uid="{E239A760-6350-416C-BAF4-BB3B7053B51F}">
      <text>
        <r>
          <rPr>
            <b/>
            <sz val="9"/>
            <color indexed="81"/>
            <rFont val="Tahoma"/>
            <family val="2"/>
          </rPr>
          <t>Alan M. Nathan:</t>
        </r>
        <r>
          <rPr>
            <sz val="9"/>
            <color indexed="81"/>
            <rFont val="Tahoma"/>
            <family val="2"/>
          </rPr>
          <t xml:space="preserve">
Barometric Pressure in inches of  Hg.  Note:  this is the "corrected" value (i.e., referred to sea level)</t>
        </r>
      </text>
    </comment>
    <comment ref="D21" authorId="1" shapeId="0" xr:uid="{1E223DF0-E91F-4C5A-9E1A-0600C13BFBF5}">
      <text>
        <r>
          <rPr>
            <b/>
            <sz val="9"/>
            <color indexed="81"/>
            <rFont val="Tahoma"/>
            <family val="2"/>
          </rPr>
          <t>Alan M. Nathan:</t>
        </r>
        <r>
          <rPr>
            <sz val="9"/>
            <color indexed="81"/>
            <rFont val="Tahoma"/>
            <family val="2"/>
          </rPr>
          <t xml:space="preserve">
Saturation Vapor Pressure, in mm Hg</t>
        </r>
      </text>
    </comment>
    <comment ref="D23" authorId="1" shapeId="0" xr:uid="{E2BD403C-F918-4113-903D-0782C44665FE}">
      <text>
        <r>
          <rPr>
            <b/>
            <sz val="9"/>
            <color indexed="81"/>
            <rFont val="Tahoma"/>
            <family val="2"/>
          </rPr>
          <t>Alan M. Nathan:</t>
        </r>
        <r>
          <rPr>
            <sz val="9"/>
            <color indexed="81"/>
            <rFont val="Tahoma"/>
            <family val="2"/>
          </rPr>
          <t xml:space="preserve">
Reynolds number for v=100 mph</t>
        </r>
      </text>
    </comment>
    <comment ref="B31" authorId="1" shapeId="0" xr:uid="{7B943D39-DA28-4D47-A56E-8E5EC334A33D}">
      <text>
        <r>
          <rPr>
            <b/>
            <sz val="9"/>
            <color indexed="81"/>
            <rFont val="Tahoma"/>
            <family val="2"/>
          </rPr>
          <t>Alan M. Nathan:</t>
        </r>
        <r>
          <rPr>
            <sz val="9"/>
            <color indexed="81"/>
            <rFont val="Tahoma"/>
            <family val="2"/>
          </rPr>
          <t xml:space="preserve">
ft</t>
        </r>
      </text>
    </comment>
    <comment ref="E31" authorId="0" shapeId="0" xr:uid="{FB7A88CA-7C4A-4AB6-8924-D447C940B314}">
      <text>
        <r>
          <rPr>
            <b/>
            <sz val="8"/>
            <color indexed="81"/>
            <rFont val="Tahoma"/>
            <family val="2"/>
          </rPr>
          <t>a-nathan:</t>
        </r>
        <r>
          <rPr>
            <sz val="8"/>
            <color indexed="81"/>
            <rFont val="Tahoma"/>
            <family val="2"/>
          </rPr>
          <t xml:space="preserve">
horizontal distance</t>
        </r>
      </text>
    </comment>
    <comment ref="G31" authorId="1" shapeId="0" xr:uid="{3911BD59-8FB5-422B-8EBF-E1838BFDBCAE}">
      <text>
        <r>
          <rPr>
            <b/>
            <sz val="9"/>
            <color indexed="81"/>
            <rFont val="Tahoma"/>
            <family val="2"/>
          </rPr>
          <t>Alan M. Nathan:</t>
        </r>
        <r>
          <rPr>
            <sz val="9"/>
            <color indexed="81"/>
            <rFont val="Tahoma"/>
            <family val="2"/>
          </rPr>
          <t xml:space="preserve">
ft/s</t>
        </r>
      </text>
    </comment>
  </commentList>
</comments>
</file>

<file path=xl/sharedStrings.xml><?xml version="1.0" encoding="utf-8"?>
<sst xmlns="http://schemas.openxmlformats.org/spreadsheetml/2006/main" count="125" uniqueCount="119">
  <si>
    <t>z0 (ft)</t>
  </si>
  <si>
    <t>dt (sec)</t>
  </si>
  <si>
    <t>v0z</t>
  </si>
  <si>
    <t>wx</t>
  </si>
  <si>
    <t>wy</t>
  </si>
  <si>
    <t>wz</t>
  </si>
  <si>
    <t>z</t>
  </si>
  <si>
    <t>vz</t>
  </si>
  <si>
    <t>az</t>
  </si>
  <si>
    <t>v</t>
  </si>
  <si>
    <t>romega</t>
  </si>
  <si>
    <t>Cd</t>
  </si>
  <si>
    <t>Cl</t>
  </si>
  <si>
    <t>S</t>
  </si>
  <si>
    <t>adragx</t>
  </si>
  <si>
    <t>adragy</t>
  </si>
  <si>
    <t>adragz</t>
  </si>
  <si>
    <t>vw</t>
  </si>
  <si>
    <t>vyw (ft/s)</t>
  </si>
  <si>
    <t>mass (oz)</t>
  </si>
  <si>
    <t>circumference (inches)</t>
  </si>
  <si>
    <t>v0</t>
  </si>
  <si>
    <t>relative humidity (%)</t>
  </si>
  <si>
    <t>SVP (mm Hg)</t>
  </si>
  <si>
    <t>T (deg C)</t>
  </si>
  <si>
    <t>Re-100</t>
  </si>
  <si>
    <t>t</t>
  </si>
  <si>
    <t>x</t>
  </si>
  <si>
    <t>v0x</t>
  </si>
  <si>
    <t>v0y</t>
  </si>
  <si>
    <t>y</t>
  </si>
  <si>
    <t>vx</t>
  </si>
  <si>
    <t>vy</t>
  </si>
  <si>
    <t>const</t>
  </si>
  <si>
    <t>ax</t>
  </si>
  <si>
    <t>ay</t>
  </si>
  <si>
    <t>omega</t>
  </si>
  <si>
    <t>x0 (ft)</t>
  </si>
  <si>
    <t>y0 (ft)</t>
  </si>
  <si>
    <t>aMagx</t>
  </si>
  <si>
    <t>aMagy</t>
  </si>
  <si>
    <t>aMagz</t>
  </si>
  <si>
    <t>xf</t>
  </si>
  <si>
    <t>yf</t>
  </si>
  <si>
    <t>zf</t>
  </si>
  <si>
    <t>T (deg F)</t>
  </si>
  <si>
    <t>elev (ft)</t>
  </si>
  <si>
    <t>c0</t>
  </si>
  <si>
    <t>elev (m)</t>
  </si>
  <si>
    <t>beta</t>
  </si>
  <si>
    <t>phiwind (deg)</t>
  </si>
  <si>
    <t>vwind (mph)</t>
  </si>
  <si>
    <t>vxw (ft/s)</t>
  </si>
  <si>
    <t>rho (kg/m^3)</t>
  </si>
  <si>
    <t>rho (lb/ft^3)</t>
  </si>
  <si>
    <t>barometeric pressure (mm Hg)</t>
  </si>
  <si>
    <t>barometric pressure (in Hg)</t>
  </si>
  <si>
    <t>*</t>
  </si>
  <si>
    <t>flag</t>
  </si>
  <si>
    <t>phi</t>
  </si>
  <si>
    <t>hwind (ft)</t>
  </si>
  <si>
    <t>vxw</t>
  </si>
  <si>
    <t>vyw</t>
  </si>
  <si>
    <t>vmph</t>
  </si>
  <si>
    <t>Hang Time</t>
  </si>
  <si>
    <t>exit speed (mph)</t>
  </si>
  <si>
    <t>launch angle (deg)</t>
  </si>
  <si>
    <t>direction (deg)</t>
  </si>
  <si>
    <t>backspin (rpm)</t>
  </si>
  <si>
    <t>sidespin (rpm)</t>
  </si>
  <si>
    <t>Bearing</t>
  </si>
  <si>
    <t>w-perp</t>
  </si>
  <si>
    <t>w_perp/w</t>
  </si>
  <si>
    <t>Re</t>
  </si>
  <si>
    <t>rw</t>
  </si>
  <si>
    <t>tau</t>
  </si>
  <si>
    <t>vwmph</t>
  </si>
  <si>
    <t>Distance (yards)</t>
  </si>
  <si>
    <t>r (yd)</t>
  </si>
  <si>
    <t>extrapolated landing point (yd)</t>
  </si>
  <si>
    <t>Re x e-5</t>
  </si>
  <si>
    <t>CdS</t>
  </si>
  <si>
    <t>CdL</t>
  </si>
  <si>
    <t>CdH</t>
  </si>
  <si>
    <t>v (mph)</t>
  </si>
  <si>
    <t>atomospheric conditions</t>
  </si>
  <si>
    <t>Ball Parameters</t>
  </si>
  <si>
    <t>Launch Parameters</t>
  </si>
  <si>
    <t>Items</t>
  </si>
  <si>
    <t>Values</t>
  </si>
  <si>
    <t>Angle/Spin</t>
  </si>
  <si>
    <t>Angle</t>
  </si>
  <si>
    <t>Spin</t>
  </si>
  <si>
    <t>D</t>
  </si>
  <si>
    <t>speed</t>
  </si>
  <si>
    <t>Distance</t>
  </si>
  <si>
    <t>Speed</t>
  </si>
  <si>
    <t>spin</t>
  </si>
  <si>
    <t>angle</t>
  </si>
  <si>
    <t>Dcalc</t>
  </si>
  <si>
    <t>Delta^2</t>
  </si>
  <si>
    <t>ReLow</t>
  </si>
  <si>
    <t>ReHigh</t>
  </si>
  <si>
    <t>ClAmp</t>
  </si>
  <si>
    <t>Delta</t>
  </si>
  <si>
    <t>Club</t>
  </si>
  <si>
    <t>Driver</t>
  </si>
  <si>
    <t>3-wood</t>
  </si>
  <si>
    <t>5-wood</t>
  </si>
  <si>
    <t>Hybrid</t>
  </si>
  <si>
    <t>3 Iron</t>
  </si>
  <si>
    <t>5 Iron</t>
  </si>
  <si>
    <t>6 Iron</t>
  </si>
  <si>
    <t>7 Iron</t>
  </si>
  <si>
    <t>8 Iron</t>
  </si>
  <si>
    <t>9 Iron</t>
  </si>
  <si>
    <t>PW</t>
  </si>
  <si>
    <t xml:space="preserve"> column for 1D</t>
  </si>
  <si>
    <t>4 iron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</si>
</sst>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00E+00"/>
  </numFmts>
  <fonts count="27" x14ac:knownFonts="1">
    <font>
      <sz val="10"/>
      <name val="Arial"/>
    </font>
    <font>
      <sz val="10"/>
      <name val="Arial"/>
      <family val="2"/>
    </font>
    <font>
      <b/>
      <sz val="10"/>
      <name val="Arial"/>
      <family val="2"/>
    </font>
    <font>
      <sz val="9"/>
      <color indexed="81"/>
      <name val="Tahoma"/>
      <family val="2"/>
    </font>
    <font>
      <b/>
      <sz val="9"/>
      <color indexed="81"/>
      <name val="Tahoma"/>
      <family val="2"/>
    </font>
    <font>
      <sz val="10"/>
      <name val="Arial"/>
      <family val="2"/>
    </font>
    <font>
      <sz val="8"/>
      <color indexed="81"/>
      <name val="Tahoma"/>
      <family val="2"/>
    </font>
    <font>
      <b/>
      <sz val="8"/>
      <color indexed="81"/>
      <name val="Tahom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Arial"/>
      <family val="2"/>
    </font>
    <font>
      <b/>
      <sz val="11"/>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31"/>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5" tint="0.79998168889431442"/>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9">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0" fillId="3" borderId="0" applyNumberFormat="0" applyBorder="0" applyAlignment="0" applyProtection="0"/>
    <xf numFmtId="0" fontId="11" fillId="20" borderId="1" applyNumberFormat="0" applyAlignment="0" applyProtection="0"/>
    <xf numFmtId="0" fontId="12" fillId="21" borderId="2" applyNumberFormat="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19" fillId="0" borderId="6" applyNumberFormat="0" applyFill="0" applyAlignment="0" applyProtection="0"/>
    <xf numFmtId="0" fontId="20" fillId="2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23" borderId="7" applyNumberFormat="0" applyFont="0" applyAlignment="0" applyProtection="0"/>
    <xf numFmtId="0" fontId="21" fillId="20" borderId="8" applyNumberFormat="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cellStyleXfs>
  <cellXfs count="99">
    <xf numFmtId="0" fontId="0" fillId="0" borderId="0" xfId="0"/>
    <xf numFmtId="0" fontId="2" fillId="0" borderId="0" xfId="0" applyFont="1" applyAlignment="1">
      <alignment horizontal="center"/>
    </xf>
    <xf numFmtId="164" fontId="0" fillId="0" borderId="0" xfId="0" applyNumberFormat="1"/>
    <xf numFmtId="2" fontId="0" fillId="0" borderId="0" xfId="0" applyNumberFormat="1"/>
    <xf numFmtId="166" fontId="0" fillId="0" borderId="0" xfId="0" applyNumberFormat="1"/>
    <xf numFmtId="165" fontId="0" fillId="0" borderId="0" xfId="0" applyNumberFormat="1"/>
    <xf numFmtId="0" fontId="2" fillId="0" borderId="11" xfId="0" applyFont="1" applyBorder="1" applyAlignment="1">
      <alignment horizontal="center"/>
    </xf>
    <xf numFmtId="0" fontId="5" fillId="0" borderId="0" xfId="0" applyFont="1"/>
    <xf numFmtId="0" fontId="0" fillId="24" borderId="14" xfId="0" applyFill="1" applyBorder="1"/>
    <xf numFmtId="0" fontId="2" fillId="24" borderId="12" xfId="0" applyFont="1" applyFill="1" applyBorder="1"/>
    <xf numFmtId="0" fontId="2" fillId="0" borderId="19" xfId="0" applyFont="1" applyBorder="1" applyAlignment="1">
      <alignment horizontal="center"/>
    </xf>
    <xf numFmtId="0" fontId="2" fillId="0" borderId="20" xfId="0" applyFont="1" applyBorder="1" applyAlignment="1">
      <alignment horizontal="center"/>
    </xf>
    <xf numFmtId="164" fontId="2" fillId="0" borderId="20" xfId="0" applyNumberFormat="1" applyFont="1" applyBorder="1" applyAlignment="1">
      <alignment horizontal="center"/>
    </xf>
    <xf numFmtId="164" fontId="2" fillId="27" borderId="0" xfId="0" applyNumberFormat="1" applyFont="1" applyFill="1"/>
    <xf numFmtId="0" fontId="2" fillId="25" borderId="10" xfId="0" applyFont="1" applyFill="1" applyBorder="1"/>
    <xf numFmtId="0" fontId="1" fillId="0" borderId="0" xfId="0" applyFont="1"/>
    <xf numFmtId="164" fontId="2" fillId="25" borderId="0" xfId="0" applyNumberFormat="1" applyFont="1" applyFill="1"/>
    <xf numFmtId="0" fontId="2" fillId="25" borderId="0" xfId="0" applyFont="1" applyFill="1"/>
    <xf numFmtId="166" fontId="0" fillId="29" borderId="16" xfId="0" applyNumberFormat="1" applyFill="1" applyBorder="1"/>
    <xf numFmtId="0" fontId="0" fillId="29" borderId="0" xfId="0" applyFill="1"/>
    <xf numFmtId="165" fontId="0" fillId="29" borderId="0" xfId="0" applyNumberFormat="1" applyFill="1"/>
    <xf numFmtId="167" fontId="0" fillId="29" borderId="0" xfId="0" applyNumberFormat="1" applyFill="1"/>
    <xf numFmtId="164" fontId="0" fillId="29" borderId="0" xfId="0" applyNumberFormat="1" applyFill="1"/>
    <xf numFmtId="164" fontId="0" fillId="29" borderId="18" xfId="0" applyNumberFormat="1" applyFill="1" applyBorder="1"/>
    <xf numFmtId="0" fontId="2" fillId="27" borderId="15" xfId="0" applyFont="1" applyFill="1" applyBorder="1"/>
    <xf numFmtId="164" fontId="2" fillId="27" borderId="16" xfId="0" applyNumberFormat="1" applyFont="1" applyFill="1" applyBorder="1"/>
    <xf numFmtId="0" fontId="2" fillId="27" borderId="10" xfId="0" applyFont="1" applyFill="1" applyBorder="1"/>
    <xf numFmtId="165" fontId="2" fillId="27" borderId="0" xfId="0" applyNumberFormat="1" applyFont="1" applyFill="1"/>
    <xf numFmtId="0" fontId="2" fillId="27" borderId="12" xfId="0" applyFont="1" applyFill="1" applyBorder="1"/>
    <xf numFmtId="164" fontId="2" fillId="27" borderId="14" xfId="0" applyNumberFormat="1" applyFont="1" applyFill="1" applyBorder="1"/>
    <xf numFmtId="0" fontId="2" fillId="29" borderId="10" xfId="0" applyFont="1" applyFill="1" applyBorder="1"/>
    <xf numFmtId="0" fontId="0" fillId="29" borderId="15" xfId="0" applyFill="1" applyBorder="1"/>
    <xf numFmtId="0" fontId="0" fillId="29" borderId="10" xfId="0" applyFill="1" applyBorder="1"/>
    <xf numFmtId="164" fontId="1" fillId="29" borderId="10" xfId="0" applyNumberFormat="1" applyFont="1" applyFill="1" applyBorder="1"/>
    <xf numFmtId="0" fontId="0" fillId="29" borderId="12" xfId="0" applyFill="1" applyBorder="1"/>
    <xf numFmtId="167" fontId="0" fillId="29" borderId="14" xfId="0" applyNumberFormat="1" applyFill="1" applyBorder="1"/>
    <xf numFmtId="164" fontId="0" fillId="29" borderId="13" xfId="0" applyNumberFormat="1" applyFill="1" applyBorder="1"/>
    <xf numFmtId="0" fontId="0" fillId="29" borderId="16" xfId="0" applyFill="1" applyBorder="1"/>
    <xf numFmtId="0" fontId="2" fillId="26" borderId="0" xfId="0" applyFont="1" applyFill="1"/>
    <xf numFmtId="1" fontId="2" fillId="26" borderId="0" xfId="0" applyNumberFormat="1" applyFont="1" applyFill="1"/>
    <xf numFmtId="1" fontId="2" fillId="25" borderId="0" xfId="0" applyNumberFormat="1" applyFont="1" applyFill="1"/>
    <xf numFmtId="0" fontId="2" fillId="28" borderId="10" xfId="0" applyFont="1" applyFill="1" applyBorder="1"/>
    <xf numFmtId="0" fontId="0" fillId="28" borderId="0" xfId="0" applyFill="1"/>
    <xf numFmtId="0" fontId="1" fillId="28" borderId="0" xfId="0" applyFont="1" applyFill="1"/>
    <xf numFmtId="0" fontId="2" fillId="28" borderId="12" xfId="0" applyFont="1" applyFill="1" applyBorder="1"/>
    <xf numFmtId="0" fontId="0" fillId="28" borderId="14" xfId="0" applyFill="1" applyBorder="1"/>
    <xf numFmtId="165" fontId="5" fillId="29" borderId="10" xfId="0" applyNumberFormat="1" applyFont="1" applyFill="1" applyBorder="1"/>
    <xf numFmtId="165" fontId="5" fillId="29" borderId="0" xfId="0" applyNumberFormat="1" applyFont="1" applyFill="1"/>
    <xf numFmtId="165" fontId="5" fillId="29" borderId="12" xfId="0" applyNumberFormat="1" applyFont="1" applyFill="1" applyBorder="1"/>
    <xf numFmtId="165" fontId="5" fillId="29" borderId="14" xfId="0" applyNumberFormat="1" applyFont="1" applyFill="1" applyBorder="1"/>
    <xf numFmtId="0" fontId="2" fillId="28" borderId="15" xfId="0" applyFont="1" applyFill="1" applyBorder="1"/>
    <xf numFmtId="0" fontId="2" fillId="28" borderId="16" xfId="0" applyFont="1" applyFill="1" applyBorder="1"/>
    <xf numFmtId="0" fontId="2" fillId="28" borderId="0" xfId="0" applyFont="1" applyFill="1"/>
    <xf numFmtId="0" fontId="1" fillId="29" borderId="10" xfId="0" applyFont="1" applyFill="1" applyBorder="1"/>
    <xf numFmtId="164" fontId="2" fillId="26" borderId="0" xfId="0" applyNumberFormat="1" applyFont="1" applyFill="1"/>
    <xf numFmtId="165" fontId="2" fillId="26" borderId="0" xfId="0" applyNumberFormat="1" applyFont="1" applyFill="1"/>
    <xf numFmtId="164" fontId="0" fillId="29" borderId="16" xfId="0" applyNumberFormat="1" applyFill="1" applyBorder="1"/>
    <xf numFmtId="164" fontId="0" fillId="29" borderId="17" xfId="0" applyNumberFormat="1" applyFill="1" applyBorder="1"/>
    <xf numFmtId="164" fontId="5" fillId="29" borderId="18" xfId="0" applyNumberFormat="1" applyFont="1" applyFill="1" applyBorder="1"/>
    <xf numFmtId="165" fontId="2" fillId="0" borderId="20" xfId="0" applyNumberFormat="1" applyFont="1" applyBorder="1" applyAlignment="1">
      <alignment horizontal="center"/>
    </xf>
    <xf numFmtId="0" fontId="0" fillId="0" borderId="13" xfId="0" applyBorder="1"/>
    <xf numFmtId="0" fontId="0" fillId="26" borderId="0" xfId="0" applyFill="1"/>
    <xf numFmtId="1" fontId="0" fillId="0" borderId="0" xfId="0" applyNumberFormat="1"/>
    <xf numFmtId="1" fontId="0" fillId="25" borderId="0" xfId="0" applyNumberFormat="1" applyFill="1"/>
    <xf numFmtId="2" fontId="0" fillId="27" borderId="0" xfId="0" applyNumberFormat="1" applyFill="1"/>
    <xf numFmtId="0" fontId="1" fillId="25" borderId="0" xfId="0" applyFont="1" applyFill="1"/>
    <xf numFmtId="0" fontId="0" fillId="25" borderId="0" xfId="0" applyFill="1"/>
    <xf numFmtId="1" fontId="0" fillId="26" borderId="15" xfId="0" applyNumberFormat="1" applyFill="1" applyBorder="1"/>
    <xf numFmtId="1" fontId="0" fillId="0" borderId="16" xfId="0" applyNumberFormat="1" applyBorder="1"/>
    <xf numFmtId="1" fontId="0" fillId="0" borderId="17" xfId="0" applyNumberFormat="1" applyBorder="1"/>
    <xf numFmtId="1" fontId="0" fillId="0" borderId="10" xfId="0" applyNumberFormat="1" applyBorder="1"/>
    <xf numFmtId="1" fontId="0" fillId="26" borderId="0" xfId="0" applyNumberFormat="1" applyFill="1"/>
    <xf numFmtId="1" fontId="0" fillId="0" borderId="18" xfId="0" applyNumberFormat="1" applyBorder="1"/>
    <xf numFmtId="1" fontId="0" fillId="0" borderId="12" xfId="0" applyNumberFormat="1" applyBorder="1"/>
    <xf numFmtId="1" fontId="0" fillId="0" borderId="14" xfId="0" applyNumberFormat="1" applyBorder="1"/>
    <xf numFmtId="1" fontId="0" fillId="26" borderId="13" xfId="0" applyNumberFormat="1" applyFill="1" applyBorder="1"/>
    <xf numFmtId="0" fontId="0" fillId="0" borderId="21" xfId="0" applyBorder="1"/>
    <xf numFmtId="0" fontId="0" fillId="0" borderId="22" xfId="0" applyBorder="1"/>
    <xf numFmtId="0" fontId="0" fillId="0" borderId="23" xfId="0" applyBorder="1"/>
    <xf numFmtId="0" fontId="0" fillId="0" borderId="15" xfId="0" applyBorder="1"/>
    <xf numFmtId="0" fontId="0" fillId="0" borderId="16" xfId="0" applyBorder="1"/>
    <xf numFmtId="0" fontId="0" fillId="0" borderId="17" xfId="0" applyBorder="1"/>
    <xf numFmtId="0" fontId="0" fillId="0" borderId="10" xfId="0" applyBorder="1"/>
    <xf numFmtId="0" fontId="0" fillId="0" borderId="18" xfId="0" applyBorder="1"/>
    <xf numFmtId="0" fontId="0" fillId="0" borderId="12" xfId="0" applyBorder="1"/>
    <xf numFmtId="0" fontId="0" fillId="0" borderId="14" xfId="0" applyBorder="1"/>
    <xf numFmtId="1" fontId="0" fillId="0" borderId="13" xfId="0" applyNumberFormat="1" applyBorder="1"/>
    <xf numFmtId="0" fontId="25" fillId="25" borderId="0" xfId="0" applyFont="1" applyFill="1"/>
    <xf numFmtId="0" fontId="26" fillId="27" borderId="0" xfId="0" applyFont="1" applyFill="1"/>
    <xf numFmtId="0" fontId="26" fillId="0" borderId="0" xfId="0" applyFont="1"/>
    <xf numFmtId="1" fontId="0" fillId="28" borderId="0" xfId="0" applyNumberFormat="1" applyFill="1"/>
    <xf numFmtId="164" fontId="0" fillId="28" borderId="0" xfId="0" applyNumberFormat="1" applyFill="1"/>
    <xf numFmtId="0" fontId="2" fillId="28" borderId="14" xfId="0" applyFont="1" applyFill="1" applyBorder="1" applyAlignment="1">
      <alignment horizontal="center"/>
    </xf>
    <xf numFmtId="0" fontId="2" fillId="25" borderId="12" xfId="0" applyFont="1" applyFill="1" applyBorder="1" applyAlignment="1">
      <alignment horizontal="center"/>
    </xf>
    <xf numFmtId="0" fontId="0" fillId="0" borderId="13" xfId="0" applyBorder="1" applyAlignment="1">
      <alignment horizontal="center"/>
    </xf>
    <xf numFmtId="0" fontId="2" fillId="28" borderId="12" xfId="0" applyFont="1" applyFill="1" applyBorder="1" applyAlignment="1">
      <alignment horizontal="center"/>
    </xf>
    <xf numFmtId="0" fontId="0" fillId="0" borderId="13" xfId="0" applyBorder="1"/>
    <xf numFmtId="0" fontId="2" fillId="27" borderId="19" xfId="0" applyFont="1" applyFill="1" applyBorder="1" applyAlignment="1">
      <alignment horizontal="center"/>
    </xf>
    <xf numFmtId="0" fontId="2" fillId="27" borderId="20" xfId="0" applyFont="1" applyFill="1" applyBorder="1" applyAlignment="1">
      <alignment horizontal="center"/>
    </xf>
  </cellXfs>
  <cellStyles count="4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rmal 3" xfId="38" xr:uid="{00000000-0005-0000-0000-000026000000}"/>
    <cellStyle name="Normal 4" xfId="39" xr:uid="{00000000-0005-0000-0000-000027000000}"/>
    <cellStyle name="Normal 5" xfId="40" xr:uid="{00000000-0005-0000-0000-000028000000}"/>
    <cellStyle name="Normal 6" xfId="41" xr:uid="{00000000-0005-0000-0000-000029000000}"/>
    <cellStyle name="Normal 7" xfId="42" xr:uid="{00000000-0005-0000-0000-00002A000000}"/>
    <cellStyle name="Normal 8" xfId="43" xr:uid="{00000000-0005-0000-0000-00002B000000}"/>
    <cellStyle name="Note" xfId="44" builtinId="10" customBuiltin="1"/>
    <cellStyle name="Output" xfId="45" builtinId="21" customBuiltin="1"/>
    <cellStyle name="Title" xfId="46" builtinId="15" customBuiltin="1"/>
    <cellStyle name="Total" xfId="47" builtinId="25" customBuiltin="1"/>
    <cellStyle name="Warning Text" xfId="48" builtinId="11" customBuiltin="1"/>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635894517084644E-2"/>
          <c:y val="3.2097238626541465E-2"/>
          <c:w val="0.90508407712598371"/>
          <c:h val="0.81705500674800213"/>
        </c:manualLayout>
      </c:layout>
      <c:scatterChart>
        <c:scatterStyle val="smoothMarker"/>
        <c:varyColors val="0"/>
        <c:ser>
          <c:idx val="0"/>
          <c:order val="0"/>
          <c:spPr>
            <a:ln w="28575" cap="rnd">
              <a:solidFill>
                <a:schemeClr val="accent1"/>
              </a:solidFill>
              <a:round/>
            </a:ln>
            <a:effectLst/>
          </c:spPr>
          <c:marker>
            <c:symbol val="none"/>
          </c:marker>
          <c:xVal>
            <c:numRef>
              <c:f>'Ball Trajectory'!$E$32:$E$1158</c:f>
              <c:numCache>
                <c:formatCode>0.0</c:formatCode>
                <c:ptCount val="1127"/>
                <c:pt idx="0">
                  <c:v>0</c:v>
                </c:pt>
                <c:pt idx="1">
                  <c:v>0.76715782667525778</c:v>
                </c:pt>
                <c:pt idx="2">
                  <c:v>1.5325848856185027</c:v>
                </c:pt>
                <c:pt idx="3">
                  <c:v>2.2962887462466455</c:v>
                </c:pt>
                <c:pt idx="4">
                  <c:v>3.0582769346661962</c:v>
                </c:pt>
                <c:pt idx="5">
                  <c:v>3.8185569339943086</c:v>
                </c:pt>
                <c:pt idx="6">
                  <c:v>4.5771361846768137</c:v>
                </c:pt>
                <c:pt idx="7">
                  <c:v>5.3340220848032649</c:v>
                </c:pt>
                <c:pt idx="8">
                  <c:v>6.0892219904190403</c:v>
                </c:pt>
                <c:pt idx="9">
                  <c:v>6.8427432158345312</c:v>
                </c:pt>
                <c:pt idx="10">
                  <c:v>7.5945930339314431</c:v>
                </c:pt>
                <c:pt idx="11">
                  <c:v>8.3447786764662535</c:v>
                </c:pt>
                <c:pt idx="12">
                  <c:v>9.0933073343708468</c:v>
                </c:pt>
                <c:pt idx="13">
                  <c:v>9.8401861580503631</c:v>
                </c:pt>
                <c:pt idx="14">
                  <c:v>10.585422257678303</c:v>
                </c:pt>
                <c:pt idx="15">
                  <c:v>11.329022703488887</c:v>
                </c:pt>
                <c:pt idx="16">
                  <c:v>12.070994526066739</c:v>
                </c:pt>
                <c:pt idx="17">
                  <c:v>12.811344716633903</c:v>
                </c:pt>
                <c:pt idx="18">
                  <c:v>13.550080227334211</c:v>
                </c:pt>
                <c:pt idx="19">
                  <c:v>14.287207971515066</c:v>
                </c:pt>
                <c:pt idx="20">
                  <c:v>15.022734824006628</c:v>
                </c:pt>
                <c:pt idx="21">
                  <c:v>15.756667621398465</c:v>
                </c:pt>
                <c:pt idx="22">
                  <c:v>16.489013162313686</c:v>
                </c:pt>
                <c:pt idx="23">
                  <c:v>17.219778207680555</c:v>
                </c:pt>
                <c:pt idx="24">
                  <c:v>17.948969481001686</c:v>
                </c:pt>
                <c:pt idx="25">
                  <c:v>18.676593668620757</c:v>
                </c:pt>
                <c:pt idx="26">
                  <c:v>19.402657419986816</c:v>
                </c:pt>
                <c:pt idx="27">
                  <c:v>20.127167347916238</c:v>
                </c:pt>
                <c:pt idx="28">
                  <c:v>20.850130028852281</c:v>
                </c:pt>
                <c:pt idx="29">
                  <c:v>21.571552003122324</c:v>
                </c:pt>
                <c:pt idx="30">
                  <c:v>22.291439775192799</c:v>
                </c:pt>
                <c:pt idx="31">
                  <c:v>23.009799813921841</c:v>
                </c:pt>
                <c:pt idx="32">
                  <c:v>23.72663855280965</c:v>
                </c:pt>
                <c:pt idx="33">
                  <c:v>24.441962390246687</c:v>
                </c:pt>
                <c:pt idx="34">
                  <c:v>25.15577768975956</c:v>
                </c:pt>
                <c:pt idx="35">
                  <c:v>25.868090780254818</c:v>
                </c:pt>
                <c:pt idx="36">
                  <c:v>26.578907956260519</c:v>
                </c:pt>
                <c:pt idx="37">
                  <c:v>27.288235478165678</c:v>
                </c:pt>
                <c:pt idx="38">
                  <c:v>27.996079572457621</c:v>
                </c:pt>
                <c:pt idx="39">
                  <c:v>28.702446431957195</c:v>
                </c:pt>
                <c:pt idx="40">
                  <c:v>29.407342216051926</c:v>
                </c:pt>
                <c:pt idx="41">
                  <c:v>30.110773050927165</c:v>
                </c:pt>
                <c:pt idx="42">
                  <c:v>30.812745029795138</c:v>
                </c:pt>
                <c:pt idx="43">
                  <c:v>31.513264213122039</c:v>
                </c:pt>
                <c:pt idx="44">
                  <c:v>32.212336628853109</c:v>
                </c:pt>
                <c:pt idx="45">
                  <c:v>32.909968272635773</c:v>
                </c:pt>
                <c:pt idx="46">
                  <c:v>33.606165108040813</c:v>
                </c:pt>
                <c:pt idx="47">
                  <c:v>34.30093306678161</c:v>
                </c:pt>
                <c:pt idx="48">
                  <c:v>34.994278048931527</c:v>
                </c:pt>
                <c:pt idx="49">
                  <c:v>35.686205923139333</c:v>
                </c:pt>
                <c:pt idx="50">
                  <c:v>36.376722526842855</c:v>
                </c:pt>
                <c:pt idx="51">
                  <c:v>37.065833666480692</c:v>
                </c:pt>
                <c:pt idx="52">
                  <c:v>37.753545117702181</c:v>
                </c:pt>
                <c:pt idx="53">
                  <c:v>38.439862625575493</c:v>
                </c:pt>
                <c:pt idx="54">
                  <c:v>39.124791904794016</c:v>
                </c:pt>
                <c:pt idx="55">
                  <c:v>39.808338639880851</c:v>
                </c:pt>
                <c:pt idx="56">
                  <c:v>40.490508485391722</c:v>
                </c:pt>
                <c:pt idx="57">
                  <c:v>41.171307066115979</c:v>
                </c:pt>
                <c:pt idx="58">
                  <c:v>41.850739977276028</c:v>
                </c:pt>
                <c:pt idx="59">
                  <c:v>42.528812784724956</c:v>
                </c:pt>
                <c:pt idx="60">
                  <c:v>43.205531025142569</c:v>
                </c:pt>
                <c:pt idx="61">
                  <c:v>43.880900206229704</c:v>
                </c:pt>
                <c:pt idx="62">
                  <c:v>44.554925806900876</c:v>
                </c:pt>
                <c:pt idx="63">
                  <c:v>45.22761327747542</c:v>
                </c:pt>
                <c:pt idx="64">
                  <c:v>45.898968039866851</c:v>
                </c:pt>
                <c:pt idx="65">
                  <c:v>46.568995487770785</c:v>
                </c:pt>
                <c:pt idx="66">
                  <c:v>47.237700986851138</c:v>
                </c:pt>
                <c:pt idx="67">
                  <c:v>47.90508987492489</c:v>
                </c:pt>
                <c:pt idx="68">
                  <c:v>48.571167462145212</c:v>
                </c:pt>
                <c:pt idx="69">
                  <c:v>49.235939031183129</c:v>
                </c:pt>
                <c:pt idx="70">
                  <c:v>49.899409837407596</c:v>
                </c:pt>
                <c:pt idx="71">
                  <c:v>50.561585109064104</c:v>
                </c:pt>
                <c:pt idx="72">
                  <c:v>51.222470047451857</c:v>
                </c:pt>
                <c:pt idx="73">
                  <c:v>51.882069827099393</c:v>
                </c:pt>
                <c:pt idx="74">
                  <c:v>52.540389595938741</c:v>
                </c:pt>
                <c:pt idx="75">
                  <c:v>53.197434475478275</c:v>
                </c:pt>
                <c:pt idx="76">
                  <c:v>53.853209560973966</c:v>
                </c:pt>
                <c:pt idx="77">
                  <c:v>54.507719921599325</c:v>
                </c:pt>
                <c:pt idx="78">
                  <c:v>55.160970600613958</c:v>
                </c:pt>
                <c:pt idx="79">
                  <c:v>55.812966615530627</c:v>
                </c:pt>
                <c:pt idx="80">
                  <c:v>56.463712958281093</c:v>
                </c:pt>
                <c:pt idx="81">
                  <c:v>57.113214595380462</c:v>
                </c:pt>
                <c:pt idx="82">
                  <c:v>57.761476468090308</c:v>
                </c:pt>
                <c:pt idx="83">
                  <c:v>58.408503492580344</c:v>
                </c:pt>
                <c:pt idx="84">
                  <c:v>59.054300560088912</c:v>
                </c:pt>
                <c:pt idx="85">
                  <c:v>59.698872537082032</c:v>
                </c:pt>
                <c:pt idx="86">
                  <c:v>60.342224265411261</c:v>
                </c:pt>
                <c:pt idx="87">
                  <c:v>60.984360562470236</c:v>
                </c:pt>
                <c:pt idx="88">
                  <c:v>61.625286221349917</c:v>
                </c:pt>
                <c:pt idx="89">
                  <c:v>62.265006010992671</c:v>
                </c:pt>
                <c:pt idx="90">
                  <c:v>62.903524676345008</c:v>
                </c:pt>
                <c:pt idx="91">
                  <c:v>63.540846938509169</c:v>
                </c:pt>
                <c:pt idx="92">
                  <c:v>64.176977494893436</c:v>
                </c:pt>
                <c:pt idx="93">
                  <c:v>64.811921019361293</c:v>
                </c:pt>
                <c:pt idx="94">
                  <c:v>65.445682162379356</c:v>
                </c:pt>
                <c:pt idx="95">
                  <c:v>66.078265551164108</c:v>
                </c:pt>
                <c:pt idx="96">
                  <c:v>66.709675789827557</c:v>
                </c:pt>
                <c:pt idx="97">
                  <c:v>67.339917459521558</c:v>
                </c:pt>
                <c:pt idx="98">
                  <c:v>67.968995118581219</c:v>
                </c:pt>
                <c:pt idx="99">
                  <c:v>68.596913302666948</c:v>
                </c:pt>
                <c:pt idx="100">
                  <c:v>69.223676524905528</c:v>
                </c:pt>
                <c:pt idx="101">
                  <c:v>69.849289276030035</c:v>
                </c:pt>
                <c:pt idx="102">
                  <c:v>70.473756024518551</c:v>
                </c:pt>
                <c:pt idx="103">
                  <c:v>71.097081216732036</c:v>
                </c:pt>
                <c:pt idx="104">
                  <c:v>71.71926927705077</c:v>
                </c:pt>
                <c:pt idx="105">
                  <c:v>72.34032460801005</c:v>
                </c:pt>
                <c:pt idx="106">
                  <c:v>72.960251590434623</c:v>
                </c:pt>
                <c:pt idx="107">
                  <c:v>73.57905458357213</c:v>
                </c:pt>
                <c:pt idx="108">
                  <c:v>74.19673792522552</c:v>
                </c:pt>
                <c:pt idx="109">
                  <c:v>74.813305931884429</c:v>
                </c:pt>
                <c:pt idx="110">
                  <c:v>75.428762898855481</c:v>
                </c:pt>
                <c:pt idx="111">
                  <c:v>76.043113100391665</c:v>
                </c:pt>
                <c:pt idx="112">
                  <c:v>76.656360789820695</c:v>
                </c:pt>
                <c:pt idx="113">
                  <c:v>77.268510199672249</c:v>
                </c:pt>
                <c:pt idx="114">
                  <c:v>77.879565541804411</c:v>
                </c:pt>
                <c:pt idx="115">
                  <c:v>78.489531007529052</c:v>
                </c:pt>
                <c:pt idx="116">
                  <c:v>79.098410767736183</c:v>
                </c:pt>
                <c:pt idx="117">
                  <c:v>79.706208973017468</c:v>
                </c:pt>
                <c:pt idx="118">
                  <c:v>80.312929753788751</c:v>
                </c:pt>
                <c:pt idx="119">
                  <c:v>80.918577220411578</c:v>
                </c:pt>
                <c:pt idx="120">
                  <c:v>81.52315546331387</c:v>
                </c:pt>
                <c:pt idx="121">
                  <c:v>82.126668553109681</c:v>
                </c:pt>
                <c:pt idx="122">
                  <c:v>82.729120540717943</c:v>
                </c:pt>
                <c:pt idx="123">
                  <c:v>83.330515457480459</c:v>
                </c:pt>
                <c:pt idx="124">
                  <c:v>83.930857315278828</c:v>
                </c:pt>
                <c:pt idx="125">
                  <c:v>84.530150106650666</c:v>
                </c:pt>
                <c:pt idx="126">
                  <c:v>85.128397804904793</c:v>
                </c:pt>
                <c:pt idx="127">
                  <c:v>85.725604364235664</c:v>
                </c:pt>
                <c:pt idx="128">
                  <c:v>86.321773719836827</c:v>
                </c:pt>
                <c:pt idx="129">
                  <c:v>86.916909788013683</c:v>
                </c:pt>
                <c:pt idx="130">
                  <c:v>87.511016466295175</c:v>
                </c:pt>
                <c:pt idx="131">
                  <c:v>88.104097633544882</c:v>
                </c:pt>
                <c:pt idx="132">
                  <c:v>88.696157150071159</c:v>
                </c:pt>
                <c:pt idx="133">
                  <c:v>89.287198857736414</c:v>
                </c:pt>
                <c:pt idx="134">
                  <c:v>89.87722658006561</c:v>
                </c:pt>
                <c:pt idx="135">
                  <c:v>90.466244122354112</c:v>
                </c:pt>
                <c:pt idx="136">
                  <c:v>91.054255271774423</c:v>
                </c:pt>
                <c:pt idx="137">
                  <c:v>91.641263797482353</c:v>
                </c:pt>
                <c:pt idx="138">
                  <c:v>92.227273450722421</c:v>
                </c:pt>
                <c:pt idx="139">
                  <c:v>92.812287964932295</c:v>
                </c:pt>
                <c:pt idx="140">
                  <c:v>93.396311055846638</c:v>
                </c:pt>
                <c:pt idx="141">
                  <c:v>93.979346421600141</c:v>
                </c:pt>
                <c:pt idx="142">
                  <c:v>94.561397742829698</c:v>
                </c:pt>
                <c:pt idx="143">
                  <c:v>95.142468682776027</c:v>
                </c:pt>
                <c:pt idx="144">
                  <c:v>95.722562887384299</c:v>
                </c:pt>
                <c:pt idx="145">
                  <c:v>96.301683985404296</c:v>
                </c:pt>
                <c:pt idx="146">
                  <c:v>96.879835588489627</c:v>
                </c:pt>
                <c:pt idx="147">
                  <c:v>97.457021291296357</c:v>
                </c:pt>
                <c:pt idx="148">
                  <c:v>98.033244671580803</c:v>
                </c:pt>
                <c:pt idx="149">
                  <c:v>98.608509290296752</c:v>
                </c:pt>
                <c:pt idx="150">
                  <c:v>99.182818691691864</c:v>
                </c:pt>
                <c:pt idx="151">
                  <c:v>99.756176403403416</c:v>
                </c:pt>
                <c:pt idx="152">
                  <c:v>100.3285859365534</c:v>
                </c:pt>
                <c:pt idx="153">
                  <c:v>100.90005078584279</c:v>
                </c:pt>
                <c:pt idx="154">
                  <c:v>101.47057442964542</c:v>
                </c:pt>
                <c:pt idx="155">
                  <c:v>102.04016033010087</c:v>
                </c:pt>
                <c:pt idx="156">
                  <c:v>102.60881193320677</c:v>
                </c:pt>
                <c:pt idx="157">
                  <c:v>103.17653266891064</c:v>
                </c:pt>
                <c:pt idx="158">
                  <c:v>103.74332595120087</c:v>
                </c:pt>
                <c:pt idx="159">
                  <c:v>104.30919517819706</c:v>
                </c:pt>
                <c:pt idx="160">
                  <c:v>104.87414373223983</c:v>
                </c:pt>
                <c:pt idx="161">
                  <c:v>105.43817497997992</c:v>
                </c:pt>
                <c:pt idx="162">
                  <c:v>106.00129227246663</c:v>
                </c:pt>
                <c:pt idx="163">
                  <c:v>106.56349894523576</c:v>
                </c:pt>
                <c:pt idx="164">
                  <c:v>107.12479831839671</c:v>
                </c:pt>
                <c:pt idx="165">
                  <c:v>107.68519369671928</c:v>
                </c:pt>
                <c:pt idx="166">
                  <c:v>108.24468836971947</c:v>
                </c:pt>
                <c:pt idx="167">
                  <c:v>108.80328561174504</c:v>
                </c:pt>
                <c:pt idx="168">
                  <c:v>109.3609886820603</c:v>
                </c:pt>
                <c:pt idx="169">
                  <c:v>109.91780082493024</c:v>
                </c:pt>
                <c:pt idx="170">
                  <c:v>110.47372526970423</c:v>
                </c:pt>
                <c:pt idx="171">
                  <c:v>111.02876523089907</c:v>
                </c:pt>
                <c:pt idx="172">
                  <c:v>111.58292390828139</c:v>
                </c:pt>
                <c:pt idx="173">
                  <c:v>112.13620448694962</c:v>
                </c:pt>
                <c:pt idx="174">
                  <c:v>112.68861013741525</c:v>
                </c:pt>
                <c:pt idx="175">
                  <c:v>113.24014401568365</c:v>
                </c:pt>
                <c:pt idx="176">
                  <c:v>113.79080926333422</c:v>
                </c:pt>
                <c:pt idx="177">
                  <c:v>114.34060900760015</c:v>
                </c:pt>
                <c:pt idx="178">
                  <c:v>114.88954636144733</c:v>
                </c:pt>
                <c:pt idx="179">
                  <c:v>115.43762442365312</c:v>
                </c:pt>
                <c:pt idx="180">
                  <c:v>115.98484627888428</c:v>
                </c:pt>
                <c:pt idx="181">
                  <c:v>116.53121499777444</c:v>
                </c:pt>
                <c:pt idx="182">
                  <c:v>117.07673363700114</c:v>
                </c:pt>
                <c:pt idx="183">
                  <c:v>117.62140523936218</c:v>
                </c:pt>
                <c:pt idx="184">
                  <c:v>118.16523283385162</c:v>
                </c:pt>
                <c:pt idx="185">
                  <c:v>118.7082194357351</c:v>
                </c:pt>
                <c:pt idx="186">
                  <c:v>119.25036804662481</c:v>
                </c:pt>
                <c:pt idx="187">
                  <c:v>119.79168165455384</c:v>
                </c:pt>
                <c:pt idx="188">
                  <c:v>120.33216323405009</c:v>
                </c:pt>
                <c:pt idx="189">
                  <c:v>120.87181574620956</c:v>
                </c:pt>
                <c:pt idx="190">
                  <c:v>121.41064213876945</c:v>
                </c:pt>
                <c:pt idx="191">
                  <c:v>121.94864534618034</c:v>
                </c:pt>
                <c:pt idx="192">
                  <c:v>122.48582828967824</c:v>
                </c:pt>
                <c:pt idx="193">
                  <c:v>123.02219387735602</c:v>
                </c:pt>
                <c:pt idx="194">
                  <c:v>123.55774500423435</c:v>
                </c:pt>
                <c:pt idx="195">
                  <c:v>124.09248455233221</c:v>
                </c:pt>
                <c:pt idx="196">
                  <c:v>124.62641539073684</c:v>
                </c:pt>
                <c:pt idx="197">
                  <c:v>125.15954037567344</c:v>
                </c:pt>
                <c:pt idx="198">
                  <c:v>125.6918623505742</c:v>
                </c:pt>
                <c:pt idx="199">
                  <c:v>126.22338414614687</c:v>
                </c:pt>
                <c:pt idx="200">
                  <c:v>126.75410858044306</c:v>
                </c:pt>
                <c:pt idx="201">
                  <c:v>127.28403845892593</c:v>
                </c:pt>
                <c:pt idx="202">
                  <c:v>127.81317657453752</c:v>
                </c:pt>
                <c:pt idx="203">
                  <c:v>128.34152570776558</c:v>
                </c:pt>
                <c:pt idx="204">
                  <c:v>128.86908862671001</c:v>
                </c:pt>
                <c:pt idx="205">
                  <c:v>129.39586808714884</c:v>
                </c:pt>
                <c:pt idx="206">
                  <c:v>129.9218668326038</c:v>
                </c:pt>
                <c:pt idx="207">
                  <c:v>130.44708759440536</c:v>
                </c:pt>
                <c:pt idx="208">
                  <c:v>130.97153309175761</c:v>
                </c:pt>
                <c:pt idx="209">
                  <c:v>131.49520603180244</c:v>
                </c:pt>
                <c:pt idx="210">
                  <c:v>132.01810910968342</c:v>
                </c:pt>
                <c:pt idx="211">
                  <c:v>132.54024500860928</c:v>
                </c:pt>
                <c:pt idx="212">
                  <c:v>133.06161639991697</c:v>
                </c:pt>
                <c:pt idx="213">
                  <c:v>133.58222594313432</c:v>
                </c:pt>
                <c:pt idx="214">
                  <c:v>134.10207628604229</c:v>
                </c:pt>
                <c:pt idx="215">
                  <c:v>134.62117006473679</c:v>
                </c:pt>
                <c:pt idx="216">
                  <c:v>135.13950990369011</c:v>
                </c:pt>
                <c:pt idx="217">
                  <c:v>135.65709841581216</c:v>
                </c:pt>
                <c:pt idx="218">
                  <c:v>136.17393820251095</c:v>
                </c:pt>
                <c:pt idx="219">
                  <c:v>136.69003185375297</c:v>
                </c:pt>
                <c:pt idx="220">
                  <c:v>137.20538194812303</c:v>
                </c:pt>
                <c:pt idx="221">
                  <c:v>137.71999105288398</c:v>
                </c:pt>
                <c:pt idx="222">
                  <c:v>138.23386172403565</c:v>
                </c:pt>
                <c:pt idx="223">
                  <c:v>138.74699650637379</c:v>
                </c:pt>
                <c:pt idx="224">
                  <c:v>139.25939793354834</c:v>
                </c:pt>
                <c:pt idx="225">
                  <c:v>139.77106852812167</c:v>
                </c:pt>
                <c:pt idx="226">
                  <c:v>140.28201080162617</c:v>
                </c:pt>
                <c:pt idx="227">
                  <c:v>140.79222725462151</c:v>
                </c:pt>
                <c:pt idx="228">
                  <c:v>141.30172037675172</c:v>
                </c:pt>
                <c:pt idx="229">
                  <c:v>141.8104926468018</c:v>
                </c:pt>
                <c:pt idx="230">
                  <c:v>142.318546532754</c:v>
                </c:pt>
                <c:pt idx="231">
                  <c:v>142.8258844918436</c:v>
                </c:pt>
                <c:pt idx="232">
                  <c:v>143.33250897061461</c:v>
                </c:pt>
                <c:pt idx="233">
                  <c:v>143.83842240497512</c:v>
                </c:pt>
                <c:pt idx="234">
                  <c:v>144.34362722025193</c:v>
                </c:pt>
                <c:pt idx="235">
                  <c:v>144.84812583124526</c:v>
                </c:pt>
                <c:pt idx="236">
                  <c:v>145.35192064228295</c:v>
                </c:pt>
                <c:pt idx="237">
                  <c:v>145.85501404727441</c:v>
                </c:pt>
                <c:pt idx="238">
                  <c:v>146.35740842976409</c:v>
                </c:pt>
                <c:pt idx="239">
                  <c:v>146.85910616298474</c:v>
                </c:pt>
                <c:pt idx="240">
                  <c:v>147.36010960991041</c:v>
                </c:pt>
                <c:pt idx="241">
                  <c:v>147.86042112330892</c:v>
                </c:pt>
                <c:pt idx="242">
                  <c:v>148.36004304579424</c:v>
                </c:pt>
                <c:pt idx="243">
                  <c:v>148.85897770987836</c:v>
                </c:pt>
                <c:pt idx="244">
                  <c:v>149.3572274380231</c:v>
                </c:pt>
                <c:pt idx="245">
                  <c:v>149.8547945426912</c:v>
                </c:pt>
                <c:pt idx="246">
                  <c:v>150.35168132639762</c:v>
                </c:pt>
                <c:pt idx="247">
                  <c:v>150.84789008176011</c:v>
                </c:pt>
                <c:pt idx="248">
                  <c:v>151.34342309154965</c:v>
                </c:pt>
                <c:pt idx="249">
                  <c:v>151.83828262874064</c:v>
                </c:pt>
                <c:pt idx="250">
                  <c:v>152.33247095656066</c:v>
                </c:pt>
                <c:pt idx="251">
                  <c:v>152.82599032854003</c:v>
                </c:pt>
                <c:pt idx="252">
                  <c:v>153.31884298856104</c:v>
                </c:pt>
                <c:pt idx="253">
                  <c:v>153.81103117090697</c:v>
                </c:pt>
                <c:pt idx="254">
                  <c:v>154.30255710031062</c:v>
                </c:pt>
                <c:pt idx="255">
                  <c:v>154.79342299200277</c:v>
                </c:pt>
                <c:pt idx="256">
                  <c:v>155.28363105176032</c:v>
                </c:pt>
                <c:pt idx="257">
                  <c:v>155.773183475954</c:v>
                </c:pt>
                <c:pt idx="258">
                  <c:v>156.26208245159594</c:v>
                </c:pt>
                <c:pt idx="259">
                  <c:v>156.75033015638698</c:v>
                </c:pt>
                <c:pt idx="260">
                  <c:v>157.2379287587635</c:v>
                </c:pt>
                <c:pt idx="261">
                  <c:v>157.72488041794435</c:v>
                </c:pt>
                <c:pt idx="262">
                  <c:v>158.21118728397707</c:v>
                </c:pt>
                <c:pt idx="263">
                  <c:v>158.69685149778428</c:v>
                </c:pt>
                <c:pt idx="264">
                  <c:v>159.18187519120934</c:v>
                </c:pt>
                <c:pt idx="265">
                  <c:v>159.66626048706217</c:v>
                </c:pt>
                <c:pt idx="266">
                  <c:v>160.15000949916461</c:v>
                </c:pt>
                <c:pt idx="267">
                  <c:v>160.63312433239548</c:v>
                </c:pt>
                <c:pt idx="268">
                  <c:v>161.11560708273547</c:v>
                </c:pt>
                <c:pt idx="269">
                  <c:v>161.5974598373117</c:v>
                </c:pt>
                <c:pt idx="270">
                  <c:v>162.0786846744422</c:v>
                </c:pt>
                <c:pt idx="271">
                  <c:v>162.55928366367991</c:v>
                </c:pt>
                <c:pt idx="272">
                  <c:v>163.03925886585648</c:v>
                </c:pt>
                <c:pt idx="273">
                  <c:v>163.51861233312604</c:v>
                </c:pt>
                <c:pt idx="274">
                  <c:v>163.99734610900845</c:v>
                </c:pt>
                <c:pt idx="275">
                  <c:v>164.47546222843238</c:v>
                </c:pt>
                <c:pt idx="276">
                  <c:v>164.95296271777826</c:v>
                </c:pt>
                <c:pt idx="277">
                  <c:v>165.42984959492094</c:v>
                </c:pt>
                <c:pt idx="278">
                  <c:v>165.90612486927193</c:v>
                </c:pt>
                <c:pt idx="279">
                  <c:v>166.38179054182177</c:v>
                </c:pt>
                <c:pt idx="280">
                  <c:v>166.85684860518177</c:v>
                </c:pt>
                <c:pt idx="281">
                  <c:v>167.33130104362581</c:v>
                </c:pt>
                <c:pt idx="282">
                  <c:v>167.80514983313182</c:v>
                </c:pt>
                <c:pt idx="283">
                  <c:v>168.27839694142281</c:v>
                </c:pt>
                <c:pt idx="284">
                  <c:v>168.75104432800819</c:v>
                </c:pt>
                <c:pt idx="285">
                  <c:v>169.22309394422425</c:v>
                </c:pt>
                <c:pt idx="286">
                  <c:v>169.69454773327499</c:v>
                </c:pt>
                <c:pt idx="287">
                  <c:v>170.1654076302722</c:v>
                </c:pt>
                <c:pt idx="288">
                  <c:v>170.63567556227574</c:v>
                </c:pt>
                <c:pt idx="289">
                  <c:v>171.10535344833332</c:v>
                </c:pt>
                <c:pt idx="290">
                  <c:v>171.57444319952035</c:v>
                </c:pt>
                <c:pt idx="291">
                  <c:v>172.04294671897912</c:v>
                </c:pt>
                <c:pt idx="292">
                  <c:v>172.5108659019584</c:v>
                </c:pt>
                <c:pt idx="293">
                  <c:v>172.97820263585217</c:v>
                </c:pt>
                <c:pt idx="294">
                  <c:v>173.44495880023854</c:v>
                </c:pt>
                <c:pt idx="295">
                  <c:v>173.91113626691853</c:v>
                </c:pt>
                <c:pt idx="296">
                  <c:v>174.37673689995415</c:v>
                </c:pt>
                <c:pt idx="297">
                  <c:v>174.84176255570696</c:v>
                </c:pt>
                <c:pt idx="298">
                  <c:v>175.30621508287575</c:v>
                </c:pt>
                <c:pt idx="299">
                  <c:v>175.77009632253461</c:v>
                </c:pt>
                <c:pt idx="300">
                  <c:v>176.23340810817027</c:v>
                </c:pt>
                <c:pt idx="301">
                  <c:v>176.69615226571975</c:v>
                </c:pt>
                <c:pt idx="302">
                  <c:v>177.15833061360729</c:v>
                </c:pt>
                <c:pt idx="303">
                  <c:v>177.61994496278155</c:v>
                </c:pt>
                <c:pt idx="304">
                  <c:v>178.08099711675229</c:v>
                </c:pt>
                <c:pt idx="305">
                  <c:v>178.54148887162714</c:v>
                </c:pt>
                <c:pt idx="306">
                  <c:v>179.00142201614776</c:v>
                </c:pt>
                <c:pt idx="307">
                  <c:v>179.46079833172632</c:v>
                </c:pt>
                <c:pt idx="308">
                  <c:v>179.91961959248138</c:v>
                </c:pt>
                <c:pt idx="309">
                  <c:v>180.3778875652738</c:v>
                </c:pt>
                <c:pt idx="310">
                  <c:v>180.8356040097423</c:v>
                </c:pt>
                <c:pt idx="311">
                  <c:v>181.29277067833911</c:v>
                </c:pt>
                <c:pt idx="312">
                  <c:v>181.7493893163651</c:v>
                </c:pt>
                <c:pt idx="313">
                  <c:v>182.20546166200498</c:v>
                </c:pt>
                <c:pt idx="314">
                  <c:v>182.66098944636215</c:v>
                </c:pt>
                <c:pt idx="315">
                  <c:v>183.1159743934935</c:v>
                </c:pt>
                <c:pt idx="316">
                  <c:v>183.570418220444</c:v>
                </c:pt>
                <c:pt idx="317">
                  <c:v>184.02432263728087</c:v>
                </c:pt>
                <c:pt idx="318">
                  <c:v>184.47768934712818</c:v>
                </c:pt>
                <c:pt idx="319">
                  <c:v>184.93052004620051</c:v>
                </c:pt>
                <c:pt idx="320">
                  <c:v>185.38281642383706</c:v>
                </c:pt>
                <c:pt idx="321">
                  <c:v>185.8345801625351</c:v>
                </c:pt>
                <c:pt idx="322">
                  <c:v>186.28581293798379</c:v>
                </c:pt>
                <c:pt idx="323">
                  <c:v>186.73651641909726</c:v>
                </c:pt>
                <c:pt idx="324">
                  <c:v>187.18669226804786</c:v>
                </c:pt>
                <c:pt idx="325">
                  <c:v>187.63634214029921</c:v>
                </c:pt>
                <c:pt idx="326">
                  <c:v>188.08546768463904</c:v>
                </c:pt>
                <c:pt idx="327">
                  <c:v>188.53407054321178</c:v>
                </c:pt>
                <c:pt idx="328">
                  <c:v>188.98215235155115</c:v>
                </c:pt>
                <c:pt idx="329">
                  <c:v>189.42971473861257</c:v>
                </c:pt>
                <c:pt idx="330">
                  <c:v>189.87675932680509</c:v>
                </c:pt>
                <c:pt idx="331">
                  <c:v>190.32328773202366</c:v>
                </c:pt>
                <c:pt idx="332">
                  <c:v>190.76930156368087</c:v>
                </c:pt>
                <c:pt idx="333">
                  <c:v>191.21480242473874</c:v>
                </c:pt>
                <c:pt idx="334">
                  <c:v>191.65979191174006</c:v>
                </c:pt>
                <c:pt idx="335">
                  <c:v>192.10427161484009</c:v>
                </c:pt>
                <c:pt idx="336">
                  <c:v>192.54824311783753</c:v>
                </c:pt>
                <c:pt idx="337">
                  <c:v>192.99170799820573</c:v>
                </c:pt>
                <c:pt idx="338">
                  <c:v>193.43466782712346</c:v>
                </c:pt>
                <c:pt idx="339">
                  <c:v>193.87712416950581</c:v>
                </c:pt>
                <c:pt idx="340">
                  <c:v>194.31907858403486</c:v>
                </c:pt>
                <c:pt idx="341">
                  <c:v>194.76053262318996</c:v>
                </c:pt>
                <c:pt idx="342">
                  <c:v>195.20148783327815</c:v>
                </c:pt>
                <c:pt idx="343">
                  <c:v>195.64194575446433</c:v>
                </c:pt>
                <c:pt idx="344">
                  <c:v>196.08190792080129</c:v>
                </c:pt>
                <c:pt idx="345">
                  <c:v>196.52137586025947</c:v>
                </c:pt>
                <c:pt idx="346">
                  <c:v>196.96035109475679</c:v>
                </c:pt>
                <c:pt idx="347">
                  <c:v>197.39883514018823</c:v>
                </c:pt>
                <c:pt idx="348">
                  <c:v>197.83682950645513</c:v>
                </c:pt>
                <c:pt idx="349">
                  <c:v>198.27433569749471</c:v>
                </c:pt>
                <c:pt idx="350">
                  <c:v>198.71135521130893</c:v>
                </c:pt>
                <c:pt idx="351">
                  <c:v>199.1478895399938</c:v>
                </c:pt>
                <c:pt idx="352">
                  <c:v>199.58394016976797</c:v>
                </c:pt>
                <c:pt idx="353">
                  <c:v>200.01950858100167</c:v>
                </c:pt>
                <c:pt idx="354">
                  <c:v>200.45459624824514</c:v>
                </c:pt>
                <c:pt idx="355">
                  <c:v>200.88920464025708</c:v>
                </c:pt>
                <c:pt idx="356">
                  <c:v>201.32333522003319</c:v>
                </c:pt>
                <c:pt idx="357">
                  <c:v>201.75698944483398</c:v>
                </c:pt>
                <c:pt idx="358">
                  <c:v>202.19016876621313</c:v>
                </c:pt>
                <c:pt idx="359">
                  <c:v>202.62287463004517</c:v>
                </c:pt>
                <c:pt idx="360">
                  <c:v>203.0551084765533</c:v>
                </c:pt>
                <c:pt idx="361">
                  <c:v>203.48687174033716</c:v>
                </c:pt>
                <c:pt idx="362">
                  <c:v>203.91816585040021</c:v>
                </c:pt>
                <c:pt idx="363">
                  <c:v>204.34899223017706</c:v>
                </c:pt>
                <c:pt idx="364">
                  <c:v>204.77935229756085</c:v>
                </c:pt>
                <c:pt idx="365">
                  <c:v>205.20924746493017</c:v>
                </c:pt>
                <c:pt idx="366">
                  <c:v>205.63867913917625</c:v>
                </c:pt>
                <c:pt idx="367">
                  <c:v>206.06764872172963</c:v>
                </c:pt>
                <c:pt idx="368">
                  <c:v>206.49615760858705</c:v>
                </c:pt>
                <c:pt idx="369">
                  <c:v>206.92420719033785</c:v>
                </c:pt>
                <c:pt idx="370">
                  <c:v>207.35179885219063</c:v>
                </c:pt>
                <c:pt idx="371">
                  <c:v>207.77893397399944</c:v>
                </c:pt>
                <c:pt idx="372">
                  <c:v>208.20561393029013</c:v>
                </c:pt>
                <c:pt idx="373">
                  <c:v>208.63184009028632</c:v>
                </c:pt>
                <c:pt idx="374">
                  <c:v>209.05761381793548</c:v>
                </c:pt>
                <c:pt idx="375">
                  <c:v>209.48293647193475</c:v>
                </c:pt>
                <c:pt idx="376">
                  <c:v>209.90780940575655</c:v>
                </c:pt>
                <c:pt idx="377">
                  <c:v>210.33223396767437</c:v>
                </c:pt>
                <c:pt idx="378">
                  <c:v>210.75621150078811</c:v>
                </c:pt>
                <c:pt idx="379">
                  <c:v>211.17974334304949</c:v>
                </c:pt>
                <c:pt idx="380">
                  <c:v>211.60283082728736</c:v>
                </c:pt>
                <c:pt idx="381">
                  <c:v>212.0254752812327</c:v>
                </c:pt>
                <c:pt idx="382">
                  <c:v>212.44767802754362</c:v>
                </c:pt>
                <c:pt idx="383">
                  <c:v>212.86944038383047</c:v>
                </c:pt>
                <c:pt idx="384">
                  <c:v>213.29076366268029</c:v>
                </c:pt>
                <c:pt idx="385">
                  <c:v>213.71164917168173</c:v>
                </c:pt>
                <c:pt idx="386">
                  <c:v>214.13209821344944</c:v>
                </c:pt>
                <c:pt idx="387">
                  <c:v>214.55211208564859</c:v>
                </c:pt>
                <c:pt idx="388">
                  <c:v>214.97169208101903</c:v>
                </c:pt>
                <c:pt idx="389">
                  <c:v>215.39083948739969</c:v>
                </c:pt>
                <c:pt idx="390">
                  <c:v>215.80955558775247</c:v>
                </c:pt>
                <c:pt idx="391">
                  <c:v>216.2278416601863</c:v>
                </c:pt>
                <c:pt idx="392">
                  <c:v>216.64569897798103</c:v>
                </c:pt>
                <c:pt idx="393">
                  <c:v>217.06312880961102</c:v>
                </c:pt>
                <c:pt idx="394">
                  <c:v>217.48013241876893</c:v>
                </c:pt>
                <c:pt idx="395">
                  <c:v>217.89671106438928</c:v>
                </c:pt>
                <c:pt idx="396">
                  <c:v>218.31286600067165</c:v>
                </c:pt>
                <c:pt idx="397">
                  <c:v>218.72859847710413</c:v>
                </c:pt>
                <c:pt idx="398">
                  <c:v>219.14390973848651</c:v>
                </c:pt>
                <c:pt idx="399">
                  <c:v>219.55880102495334</c:v>
                </c:pt>
                <c:pt idx="400">
                  <c:v>219.97327357199686</c:v>
                </c:pt>
                <c:pt idx="401">
                  <c:v>220.38732861048996</c:v>
                </c:pt>
                <c:pt idx="402">
                  <c:v>220.80096736670887</c:v>
                </c:pt>
                <c:pt idx="403">
                  <c:v>221.21419106235587</c:v>
                </c:pt>
                <c:pt idx="404">
                  <c:v>221.62700091458171</c:v>
                </c:pt>
                <c:pt idx="405">
                  <c:v>222.03939813600837</c:v>
                </c:pt>
                <c:pt idx="406">
                  <c:v>222.45138393475096</c:v>
                </c:pt>
                <c:pt idx="407">
                  <c:v>222.86295951444018</c:v>
                </c:pt>
                <c:pt idx="408">
                  <c:v>223.27412607424466</c:v>
                </c:pt>
                <c:pt idx="409">
                  <c:v>223.68488480889252</c:v>
                </c:pt>
                <c:pt idx="410">
                  <c:v>224.09523690869369</c:v>
                </c:pt>
                <c:pt idx="411">
                  <c:v>224.50518355956163</c:v>
                </c:pt>
                <c:pt idx="412">
                  <c:v>224.91472594303482</c:v>
                </c:pt>
                <c:pt idx="413">
                  <c:v>225.32386523629876</c:v>
                </c:pt>
                <c:pt idx="414">
                  <c:v>225.7326026122071</c:v>
                </c:pt>
                <c:pt idx="415">
                  <c:v>226.14093923930344</c:v>
                </c:pt>
                <c:pt idx="416">
                  <c:v>226.54887628184227</c:v>
                </c:pt>
                <c:pt idx="417">
                  <c:v>226.95641489981048</c:v>
                </c:pt>
                <c:pt idx="418">
                  <c:v>227.36355624894827</c:v>
                </c:pt>
                <c:pt idx="419">
                  <c:v>227.77030148077029</c:v>
                </c:pt>
                <c:pt idx="420">
                  <c:v>228.17665174258653</c:v>
                </c:pt>
                <c:pt idx="421">
                  <c:v>228.58260817752316</c:v>
                </c:pt>
                <c:pt idx="422">
                  <c:v>228.98817192454308</c:v>
                </c:pt>
                <c:pt idx="423">
                  <c:v>229.39334411846687</c:v>
                </c:pt>
                <c:pt idx="424">
                  <c:v>229.79812588999292</c:v>
                </c:pt>
                <c:pt idx="425">
                  <c:v>230.20251836571825</c:v>
                </c:pt>
                <c:pt idx="426">
                  <c:v>230.60652266815859</c:v>
                </c:pt>
                <c:pt idx="427">
                  <c:v>231.01013991576863</c:v>
                </c:pt>
                <c:pt idx="428">
                  <c:v>231.41337122296235</c:v>
                </c:pt>
                <c:pt idx="429">
                  <c:v>231.8162177001328</c:v>
                </c:pt>
                <c:pt idx="430">
                  <c:v>232.21868045367228</c:v>
                </c:pt>
                <c:pt idx="431">
                  <c:v>232.62076058599203</c:v>
                </c:pt>
                <c:pt idx="432">
                  <c:v>233.02245919554221</c:v>
                </c:pt>
                <c:pt idx="433">
                  <c:v>233.42377737683128</c:v>
                </c:pt>
                <c:pt idx="434">
                  <c:v>233.82471622044582</c:v>
                </c:pt>
                <c:pt idx="435">
                  <c:v>234.22527681306985</c:v>
                </c:pt>
                <c:pt idx="436">
                  <c:v>234.6254602375044</c:v>
                </c:pt>
                <c:pt idx="437">
                  <c:v>235.02526757268663</c:v>
                </c:pt>
                <c:pt idx="438">
                  <c:v>235.42469989370909</c:v>
                </c:pt>
                <c:pt idx="439">
                  <c:v>235.82375827183895</c:v>
                </c:pt>
                <c:pt idx="440">
                  <c:v>236.22244377453691</c:v>
                </c:pt>
                <c:pt idx="441">
                  <c:v>236.62075746547609</c:v>
                </c:pt>
                <c:pt idx="442">
                  <c:v>237.01870040456095</c:v>
                </c:pt>
                <c:pt idx="443">
                  <c:v>237.41627364794616</c:v>
                </c:pt>
                <c:pt idx="444">
                  <c:v>237.81347824805505</c:v>
                </c:pt>
                <c:pt idx="445">
                  <c:v>238.21031525359828</c:v>
                </c:pt>
                <c:pt idx="446">
                  <c:v>238.60678570959229</c:v>
                </c:pt>
                <c:pt idx="447">
                  <c:v>239.00289065737783</c:v>
                </c:pt>
                <c:pt idx="448">
                  <c:v>239.39863113463809</c:v>
                </c:pt>
                <c:pt idx="449">
                  <c:v>239.79400817541705</c:v>
                </c:pt>
                <c:pt idx="450">
                  <c:v>240.18902281013752</c:v>
                </c:pt>
                <c:pt idx="451">
                  <c:v>240.58367606561922</c:v>
                </c:pt>
                <c:pt idx="452">
                  <c:v>240.97796896509678</c:v>
                </c:pt>
                <c:pt idx="453">
                  <c:v>241.37190252823754</c:v>
                </c:pt>
                <c:pt idx="454">
                  <c:v>241.76547777115942</c:v>
                </c:pt>
                <c:pt idx="455">
                  <c:v>242.15869570644853</c:v>
                </c:pt>
                <c:pt idx="456">
                  <c:v>242.55155734317682</c:v>
                </c:pt>
                <c:pt idx="457">
                  <c:v>242.94406368691966</c:v>
                </c:pt>
                <c:pt idx="458">
                  <c:v>243.33621573977314</c:v>
                </c:pt>
                <c:pt idx="459">
                  <c:v>243.72801450037159</c:v>
                </c:pt>
                <c:pt idx="460">
                  <c:v>244.11946096390469</c:v>
                </c:pt>
                <c:pt idx="461">
                  <c:v>244.51055612213486</c:v>
                </c:pt>
                <c:pt idx="462">
                  <c:v>244.90130096341412</c:v>
                </c:pt>
                <c:pt idx="463">
                  <c:v>245.29169647270137</c:v>
                </c:pt>
                <c:pt idx="464">
                  <c:v>245.68174363157905</c:v>
                </c:pt>
                <c:pt idx="465">
                  <c:v>246.07144341827021</c:v>
                </c:pt>
                <c:pt idx="466">
                  <c:v>246.46079680765516</c:v>
                </c:pt>
                <c:pt idx="467">
                  <c:v>246.84980477128821</c:v>
                </c:pt>
                <c:pt idx="468">
                  <c:v>247.23846827741423</c:v>
                </c:pt>
                <c:pt idx="469">
                  <c:v>247.62678829098527</c:v>
                </c:pt>
                <c:pt idx="470">
                  <c:v>248.01476577367683</c:v>
                </c:pt>
                <c:pt idx="471">
                  <c:v>248.40240168390437</c:v>
                </c:pt>
                <c:pt idx="472">
                  <c:v>248.78969697683945</c:v>
                </c:pt>
                <c:pt idx="473">
                  <c:v>249.17665260442615</c:v>
                </c:pt>
                <c:pt idx="474">
                  <c:v>249.56326951539685</c:v>
                </c:pt>
                <c:pt idx="475">
                  <c:v>249.9495486552886</c:v>
                </c:pt>
                <c:pt idx="476">
                  <c:v>250.33549096645882</c:v>
                </c:pt>
                <c:pt idx="477">
                  <c:v>250.7210973881013</c:v>
                </c:pt>
                <c:pt idx="478">
                  <c:v>251.10636885626198</c:v>
                </c:pt>
                <c:pt idx="479">
                  <c:v>251.4913063038546</c:v>
                </c:pt>
                <c:pt idx="480">
                  <c:v>251.8759106606764</c:v>
                </c:pt>
                <c:pt idx="481">
                  <c:v>252.26018285342363</c:v>
                </c:pt>
                <c:pt idx="482">
                  <c:v>252.6441238057071</c:v>
                </c:pt>
                <c:pt idx="483">
                  <c:v>253.02773443806748</c:v>
                </c:pt>
                <c:pt idx="484">
                  <c:v>253.41101566799068</c:v>
                </c:pt>
                <c:pt idx="485">
                  <c:v>253.79396840992305</c:v>
                </c:pt>
                <c:pt idx="486">
                  <c:v>254.17659357528655</c:v>
                </c:pt>
                <c:pt idx="487">
                  <c:v>254.55889207249388</c:v>
                </c:pt>
                <c:pt idx="488">
                  <c:v>254.94086480696339</c:v>
                </c:pt>
                <c:pt idx="489">
                  <c:v>255.32251268113416</c:v>
                </c:pt>
                <c:pt idx="490">
                  <c:v>255.70383659448066</c:v>
                </c:pt>
                <c:pt idx="491">
                  <c:v>256.0848374435277</c:v>
                </c:pt>
                <c:pt idx="492">
                  <c:v>256.46551612186505</c:v>
                </c:pt>
                <c:pt idx="493">
                  <c:v>256.84587352016212</c:v>
                </c:pt>
                <c:pt idx="494">
                  <c:v>257.2259105261823</c:v>
                </c:pt>
                <c:pt idx="495">
                  <c:v>257.6056280247978</c:v>
                </c:pt>
                <c:pt idx="496">
                  <c:v>257.98502689800364</c:v>
                </c:pt>
                <c:pt idx="497">
                  <c:v>258.36410802493231</c:v>
                </c:pt>
                <c:pt idx="498">
                  <c:v>258.74287228186785</c:v>
                </c:pt>
                <c:pt idx="499">
                  <c:v>259.12132054225998</c:v>
                </c:pt>
                <c:pt idx="500">
                  <c:v>259.49945367673831</c:v>
                </c:pt>
                <c:pt idx="501">
                  <c:v>259.87727255312637</c:v>
                </c:pt>
                <c:pt idx="502">
                  <c:v>260.25477803645532</c:v>
                </c:pt>
                <c:pt idx="503">
                  <c:v>260.63197098897831</c:v>
                </c:pt>
                <c:pt idx="504">
                  <c:v>261.0088522701837</c:v>
                </c:pt>
                <c:pt idx="505">
                  <c:v>261.38542273680918</c:v>
                </c:pt>
                <c:pt idx="506">
                  <c:v>261.76168324285533</c:v>
                </c:pt>
                <c:pt idx="507">
                  <c:v>262.13763463959913</c:v>
                </c:pt>
                <c:pt idx="508">
                  <c:v>262.51327777560761</c:v>
                </c:pt>
                <c:pt idx="509">
                  <c:v>262.88861349675102</c:v>
                </c:pt>
                <c:pt idx="510">
                  <c:v>263.26364264621662</c:v>
                </c:pt>
                <c:pt idx="511">
                  <c:v>263.63836606452156</c:v>
                </c:pt>
                <c:pt idx="512">
                  <c:v>264.01278458952629</c:v>
                </c:pt>
                <c:pt idx="513">
                  <c:v>264.3868990564477</c:v>
                </c:pt>
                <c:pt idx="514">
                  <c:v>264.76071029787221</c:v>
                </c:pt>
                <c:pt idx="515">
                  <c:v>265.13421914376863</c:v>
                </c:pt>
                <c:pt idx="516">
                  <c:v>265.50742642150141</c:v>
                </c:pt>
                <c:pt idx="517">
                  <c:v>265.88033295584324</c:v>
                </c:pt>
                <c:pt idx="518">
                  <c:v>266.25293956898787</c:v>
                </c:pt>
                <c:pt idx="519">
                  <c:v>266.62524708056281</c:v>
                </c:pt>
                <c:pt idx="520">
                  <c:v>266.99725630764226</c:v>
                </c:pt>
                <c:pt idx="521">
                  <c:v>267.36896806475931</c:v>
                </c:pt>
                <c:pt idx="522">
                  <c:v>267.74038316391869</c:v>
                </c:pt>
                <c:pt idx="523">
                  <c:v>268.11150241460928</c:v>
                </c:pt>
                <c:pt idx="524">
                  <c:v>268.48232662381616</c:v>
                </c:pt>
                <c:pt idx="525">
                  <c:v>268.85285659603323</c:v>
                </c:pt>
                <c:pt idx="526">
                  <c:v>269.22309313327543</c:v>
                </c:pt>
                <c:pt idx="527">
                  <c:v>269.59303703509073</c:v>
                </c:pt>
                <c:pt idx="528">
                  <c:v>269.96268909857241</c:v>
                </c:pt>
                <c:pt idx="529">
                  <c:v>270.33205011837089</c:v>
                </c:pt>
                <c:pt idx="530">
                  <c:v>270.70112088670589</c:v>
                </c:pt>
                <c:pt idx="531">
                  <c:v>271.06990219337837</c:v>
                </c:pt>
                <c:pt idx="532">
                  <c:v>271.43839482578215</c:v>
                </c:pt>
                <c:pt idx="533">
                  <c:v>271.80659956891583</c:v>
                </c:pt>
                <c:pt idx="534">
                  <c:v>272.17451720539447</c:v>
                </c:pt>
                <c:pt idx="535">
                  <c:v>272.54214851546101</c:v>
                </c:pt>
                <c:pt idx="536">
                  <c:v>272.90949427699832</c:v>
                </c:pt>
                <c:pt idx="537">
                  <c:v>273.27655526554025</c:v>
                </c:pt>
                <c:pt idx="538">
                  <c:v>273.64333225428328</c:v>
                </c:pt>
                <c:pt idx="539">
                  <c:v>274.00982601409765</c:v>
                </c:pt>
                <c:pt idx="540">
                  <c:v>274.37603731353914</c:v>
                </c:pt>
                <c:pt idx="541">
                  <c:v>274.74196691885976</c:v>
                </c:pt>
                <c:pt idx="542">
                  <c:v>275.10761559401936</c:v>
                </c:pt>
                <c:pt idx="543">
                  <c:v>275.47298410069641</c:v>
                </c:pt>
                <c:pt idx="544">
                  <c:v>275.83807319829924</c:v>
                </c:pt>
                <c:pt idx="545">
                  <c:v>276.20288364397703</c:v>
                </c:pt>
                <c:pt idx="546">
                  <c:v>276.56741619263056</c:v>
                </c:pt>
                <c:pt idx="547">
                  <c:v>276.9316715969232</c:v>
                </c:pt>
                <c:pt idx="548">
                  <c:v>277.29565060729169</c:v>
                </c:pt>
                <c:pt idx="549">
                  <c:v>277.65935397195693</c:v>
                </c:pt>
                <c:pt idx="550">
                  <c:v>278.02278243693428</c:v>
                </c:pt>
                <c:pt idx="551">
                  <c:v>278.38593674604476</c:v>
                </c:pt>
                <c:pt idx="552">
                  <c:v>278.74881764092498</c:v>
                </c:pt>
                <c:pt idx="553">
                  <c:v>279.11142586103807</c:v>
                </c:pt>
                <c:pt idx="554">
                  <c:v>279.47376214368381</c:v>
                </c:pt>
                <c:pt idx="555">
                  <c:v>279.83582722400905</c:v>
                </c:pt>
                <c:pt idx="556">
                  <c:v>280.1976218350182</c:v>
                </c:pt>
                <c:pt idx="557">
                  <c:v>280.55914670758301</c:v>
                </c:pt>
                <c:pt idx="558">
                  <c:v>280.92040257045329</c:v>
                </c:pt>
                <c:pt idx="559">
                  <c:v>281.28139015026647</c:v>
                </c:pt>
                <c:pt idx="560">
                  <c:v>281.6421101715581</c:v>
                </c:pt>
                <c:pt idx="561">
                  <c:v>282.00256335677153</c:v>
                </c:pt>
                <c:pt idx="562">
                  <c:v>282.36275042626795</c:v>
                </c:pt>
                <c:pt idx="563">
                  <c:v>282.72267209833626</c:v>
                </c:pt>
                <c:pt idx="564">
                  <c:v>283.0823290892028</c:v>
                </c:pt>
                <c:pt idx="565">
                  <c:v>283.44172211304112</c:v>
                </c:pt>
                <c:pt idx="566">
                  <c:v>283.80085188198171</c:v>
                </c:pt>
                <c:pt idx="567">
                  <c:v>284.15971910612166</c:v>
                </c:pt>
                <c:pt idx="568">
                  <c:v>284.51832449353401</c:v>
                </c:pt>
                <c:pt idx="569">
                  <c:v>284.87666875027747</c:v>
                </c:pt>
                <c:pt idx="570">
                  <c:v>285.23475258040577</c:v>
                </c:pt>
                <c:pt idx="571">
                  <c:v>285.59257668597712</c:v>
                </c:pt>
                <c:pt idx="572">
                  <c:v>285.95014176706343</c:v>
                </c:pt>
                <c:pt idx="573">
                  <c:v>286.30744852175962</c:v>
                </c:pt>
                <c:pt idx="574">
                  <c:v>286.66449764619284</c:v>
                </c:pt>
                <c:pt idx="575">
                  <c:v>287.02128983453179</c:v>
                </c:pt>
                <c:pt idx="576">
                  <c:v>287.37782577899543</c:v>
                </c:pt>
                <c:pt idx="577">
                  <c:v>287.73410616986246</c:v>
                </c:pt>
                <c:pt idx="578">
                  <c:v>288.0901316954799</c:v>
                </c:pt>
                <c:pt idx="579">
                  <c:v>288.44590304227245</c:v>
                </c:pt>
                <c:pt idx="580">
                  <c:v>288.80142089475095</c:v>
                </c:pt>
                <c:pt idx="581">
                  <c:v>289.15668593552141</c:v>
                </c:pt>
                <c:pt idx="582">
                  <c:v>289.51169884529378</c:v>
                </c:pt>
                <c:pt idx="583">
                  <c:v>289.86646030289052</c:v>
                </c:pt>
                <c:pt idx="584">
                  <c:v>290.22097098525552</c:v>
                </c:pt>
                <c:pt idx="585">
                  <c:v>290.57523156746225</c:v>
                </c:pt>
                <c:pt idx="586">
                  <c:v>290.92924272272279</c:v>
                </c:pt>
                <c:pt idx="587">
                  <c:v>291.28300512239593</c:v>
                </c:pt>
                <c:pt idx="588">
                  <c:v>291.63651943599587</c:v>
                </c:pt>
                <c:pt idx="589">
                  <c:v>291.98978633120038</c:v>
                </c:pt>
                <c:pt idx="590">
                  <c:v>292.34280647385918</c:v>
                </c:pt>
                <c:pt idx="591">
                  <c:v>292.69558052800249</c:v>
                </c:pt>
                <c:pt idx="592">
                  <c:v>293.04810915584864</c:v>
                </c:pt>
                <c:pt idx="593">
                  <c:v>293.40039301781286</c:v>
                </c:pt>
                <c:pt idx="594">
                  <c:v>293.75243277251508</c:v>
                </c:pt>
                <c:pt idx="595">
                  <c:v>294.10422907678782</c:v>
                </c:pt>
                <c:pt idx="596">
                  <c:v>294.45578258568463</c:v>
                </c:pt>
                <c:pt idx="597">
                  <c:v>294.80709395248772</c:v>
                </c:pt>
                <c:pt idx="598">
                  <c:v>295.15816382871583</c:v>
                </c:pt>
                <c:pt idx="599">
                  <c:v>295.50899286413238</c:v>
                </c:pt>
                <c:pt idx="600">
                  <c:v>295.85958170675286</c:v>
                </c:pt>
                <c:pt idx="601">
                  <c:v>296.20993100285295</c:v>
                </c:pt>
                <c:pt idx="602">
                  <c:v>296.56004139697592</c:v>
                </c:pt>
                <c:pt idx="603">
                  <c:v>296.9099135319405</c:v>
                </c:pt>
                <c:pt idx="604">
                  <c:v>297.25954804884827</c:v>
                </c:pt>
                <c:pt idx="605">
                  <c:v>297.60894558709134</c:v>
                </c:pt>
                <c:pt idx="606">
                  <c:v>297.9581067843597</c:v>
                </c:pt>
                <c:pt idx="607">
                  <c:v>298.30703227664884</c:v>
                </c:pt>
                <c:pt idx="608">
                  <c:v>298.65572269826697</c:v>
                </c:pt>
                <c:pt idx="609">
                  <c:v>299.00417868184246</c:v>
                </c:pt>
                <c:pt idx="610">
                  <c:v>299.35240085833124</c:v>
                </c:pt>
                <c:pt idx="611">
                  <c:v>299.70038985702359</c:v>
                </c:pt>
                <c:pt idx="612">
                  <c:v>300.04814630555188</c:v>
                </c:pt>
                <c:pt idx="613">
                  <c:v>300.39567082989748</c:v>
                </c:pt>
                <c:pt idx="614">
                  <c:v>300.74296405439765</c:v>
                </c:pt>
                <c:pt idx="615">
                  <c:v>301.09002660175304</c:v>
                </c:pt>
                <c:pt idx="616">
                  <c:v>301.43685909303423</c:v>
                </c:pt>
                <c:pt idx="617">
                  <c:v>301.78346214768902</c:v>
                </c:pt>
                <c:pt idx="618">
                  <c:v>302.12983638354916</c:v>
                </c:pt>
                <c:pt idx="619">
                  <c:v>302.47598241683716</c:v>
                </c:pt>
                <c:pt idx="620">
                  <c:v>302.82190086217332</c:v>
                </c:pt>
                <c:pt idx="621">
                  <c:v>303.16759233258222</c:v>
                </c:pt>
                <c:pt idx="622">
                  <c:v>303.51305743949973</c:v>
                </c:pt>
                <c:pt idx="623">
                  <c:v>303.85829679277941</c:v>
                </c:pt>
                <c:pt idx="624">
                  <c:v>304.20331100069927</c:v>
                </c:pt>
                <c:pt idx="625">
                  <c:v>304.54810066996833</c:v>
                </c:pt>
                <c:pt idx="626">
                  <c:v>304.89266640573311</c:v>
                </c:pt>
                <c:pt idx="627">
                  <c:v>305.23700881158419</c:v>
                </c:pt>
                <c:pt idx="628">
                  <c:v>305.58112848956256</c:v>
                </c:pt>
                <c:pt idx="629">
                  <c:v>305.92502604016619</c:v>
                </c:pt>
                <c:pt idx="630">
                  <c:v>306.26870206235617</c:v>
                </c:pt>
                <c:pt idx="631">
                  <c:v>306.61215715356309</c:v>
                </c:pt>
                <c:pt idx="632">
                  <c:v>306.95539190969339</c:v>
                </c:pt>
                <c:pt idx="633">
                  <c:v>307.29840692513545</c:v>
                </c:pt>
                <c:pt idx="634">
                  <c:v>307.64120279276585</c:v>
                </c:pt>
                <c:pt idx="635">
                  <c:v>307.9837801039555</c:v>
                </c:pt>
                <c:pt idx="636">
                  <c:v>308.3261394485757</c:v>
                </c:pt>
                <c:pt idx="637">
                  <c:v>308.66828141500429</c:v>
                </c:pt>
                <c:pt idx="638">
                  <c:v>309.0102065901313</c:v>
                </c:pt>
                <c:pt idx="639">
                  <c:v>309.35191555936541</c:v>
                </c:pt>
                <c:pt idx="640">
                  <c:v>309.69340890663949</c:v>
                </c:pt>
                <c:pt idx="641">
                  <c:v>310.03468721441681</c:v>
                </c:pt>
                <c:pt idx="642">
                  <c:v>310.37575106369644</c:v>
                </c:pt>
                <c:pt idx="643">
                  <c:v>310.71660103401939</c:v>
                </c:pt>
                <c:pt idx="644">
                  <c:v>311.0572377034743</c:v>
                </c:pt>
                <c:pt idx="645">
                  <c:v>311.39766164870304</c:v>
                </c:pt>
                <c:pt idx="646">
                  <c:v>311.73787344490648</c:v>
                </c:pt>
                <c:pt idx="647">
                  <c:v>312.07787366585006</c:v>
                </c:pt>
                <c:pt idx="648">
                  <c:v>312.41766288386935</c:v>
                </c:pt>
                <c:pt idx="649">
                  <c:v>312.75724166987578</c:v>
                </c:pt>
                <c:pt idx="650">
                  <c:v>313.0966105933619</c:v>
                </c:pt>
                <c:pt idx="651">
                  <c:v>313.43577022240703</c:v>
                </c:pt>
                <c:pt idx="652">
                  <c:v>313.77472112368258</c:v>
                </c:pt>
                <c:pt idx="653">
                  <c:v>314.11346386245754</c:v>
                </c:pt>
                <c:pt idx="654">
                  <c:v>314.45199900260371</c:v>
                </c:pt>
                <c:pt idx="655">
                  <c:v>314.79032710660118</c:v>
                </c:pt>
                <c:pt idx="656">
                  <c:v>315.12844873554343</c:v>
                </c:pt>
                <c:pt idx="657">
                  <c:v>315.46636444914253</c:v>
                </c:pt>
                <c:pt idx="658">
                  <c:v>315.80407480573467</c:v>
                </c:pt>
                <c:pt idx="659">
                  <c:v>316.14158036228491</c:v>
                </c:pt>
                <c:pt idx="660">
                  <c:v>316.47888167439254</c:v>
                </c:pt>
                <c:pt idx="661">
                  <c:v>316.81597929629612</c:v>
                </c:pt>
                <c:pt idx="662">
                  <c:v>317.15287378087851</c:v>
                </c:pt>
                <c:pt idx="663">
                  <c:v>317.48956567967184</c:v>
                </c:pt>
                <c:pt idx="664">
                  <c:v>317.82605554286255</c:v>
                </c:pt>
                <c:pt idx="665">
                  <c:v>318.16234391929623</c:v>
                </c:pt>
                <c:pt idx="666">
                  <c:v>318.4984313564828</c:v>
                </c:pt>
                <c:pt idx="667">
                  <c:v>318.83431840060092</c:v>
                </c:pt>
                <c:pt idx="668">
                  <c:v>319.17000559650313</c:v>
                </c:pt>
                <c:pt idx="669">
                  <c:v>319.50549348772057</c:v>
                </c:pt>
                <c:pt idx="670">
                  <c:v>319.84078261646789</c:v>
                </c:pt>
                <c:pt idx="671">
                  <c:v>320.17587352364757</c:v>
                </c:pt>
                <c:pt idx="672">
                  <c:v>320.51076674885502</c:v>
                </c:pt>
                <c:pt idx="673">
                  <c:v>320.84546283038298</c:v>
                </c:pt>
                <c:pt idx="674">
                  <c:v>321.1799623052263</c:v>
                </c:pt>
                <c:pt idx="675">
                  <c:v>321.51426570908626</c:v>
                </c:pt>
                <c:pt idx="676">
                  <c:v>321.84837357637565</c:v>
                </c:pt>
                <c:pt idx="677">
                  <c:v>322.18228644022253</c:v>
                </c:pt>
                <c:pt idx="678">
                  <c:v>322.5160048324754</c:v>
                </c:pt>
                <c:pt idx="679">
                  <c:v>322.84952928370728</c:v>
                </c:pt>
                <c:pt idx="680">
                  <c:v>323.18286032322021</c:v>
                </c:pt>
                <c:pt idx="681">
                  <c:v>323.51599847904964</c:v>
                </c:pt>
                <c:pt idx="682">
                  <c:v>323.84894427796871</c:v>
                </c:pt>
                <c:pt idx="683">
                  <c:v>324.18169824549267</c:v>
                </c:pt>
                <c:pt idx="684">
                  <c:v>324.51426090588319</c:v>
                </c:pt>
                <c:pt idx="685">
                  <c:v>324.84663278215231</c:v>
                </c:pt>
                <c:pt idx="686">
                  <c:v>325.17881439606714</c:v>
                </c:pt>
                <c:pt idx="687">
                  <c:v>325.51080626815366</c:v>
                </c:pt>
                <c:pt idx="688">
                  <c:v>325.84260891770111</c:v>
                </c:pt>
                <c:pt idx="689">
                  <c:v>326.17422286276587</c:v>
                </c:pt>
                <c:pt idx="690">
                  <c:v>326.5056486201758</c:v>
                </c:pt>
                <c:pt idx="691">
                  <c:v>326.83688670553425</c:v>
                </c:pt>
                <c:pt idx="692">
                  <c:v>327.16793763322386</c:v>
                </c:pt>
                <c:pt idx="693">
                  <c:v>327.49880191641086</c:v>
                </c:pt>
                <c:pt idx="694">
                  <c:v>327.82948006704891</c:v>
                </c:pt>
                <c:pt idx="695">
                  <c:v>328.15997259588318</c:v>
                </c:pt>
                <c:pt idx="696">
                  <c:v>328.49028001245392</c:v>
                </c:pt>
                <c:pt idx="697">
                  <c:v>328.82040282510076</c:v>
                </c:pt>
                <c:pt idx="698">
                  <c:v>329.15034154096617</c:v>
                </c:pt>
                <c:pt idx="699">
                  <c:v>329.48009666599967</c:v>
                </c:pt>
                <c:pt idx="700">
                  <c:v>329.80966870496127</c:v>
                </c:pt>
                <c:pt idx="701">
                  <c:v>330.13905816142551</c:v>
                </c:pt>
                <c:pt idx="702">
                  <c:v>330.46826553778499</c:v>
                </c:pt>
                <c:pt idx="703">
                  <c:v>330.79729133525427</c:v>
                </c:pt>
                <c:pt idx="704">
                  <c:v>331.12613605387338</c:v>
                </c:pt>
                <c:pt idx="705">
                  <c:v>331.45480019251158</c:v>
                </c:pt>
                <c:pt idx="706">
                  <c:v>331.78328424887098</c:v>
                </c:pt>
                <c:pt idx="707">
                  <c:v>332.11158871948993</c:v>
                </c:pt>
                <c:pt idx="708">
                  <c:v>332.43971409974705</c:v>
                </c:pt>
                <c:pt idx="709">
                  <c:v>332.76766088386438</c:v>
                </c:pt>
                <c:pt idx="710">
                  <c:v>333.09542956491083</c:v>
                </c:pt>
                <c:pt idx="711">
                  <c:v>333.42302063480605</c:v>
                </c:pt>
                <c:pt idx="712">
                  <c:v>333.75043458432361</c:v>
                </c:pt>
                <c:pt idx="713">
                  <c:v>334.07767190309454</c:v>
                </c:pt>
                <c:pt idx="714">
                  <c:v>334.40473307961071</c:v>
                </c:pt>
                <c:pt idx="715">
                  <c:v>334.73161860122815</c:v>
                </c:pt>
                <c:pt idx="716">
                  <c:v>335.05832895417058</c:v>
                </c:pt>
                <c:pt idx="717">
                  <c:v>335.38486462353262</c:v>
                </c:pt>
                <c:pt idx="718">
                  <c:v>335.71122609328302</c:v>
                </c:pt>
                <c:pt idx="719">
                  <c:v>336.03741384626812</c:v>
                </c:pt>
                <c:pt idx="720">
                  <c:v>336.36342836421505</c:v>
                </c:pt>
                <c:pt idx="721">
                  <c:v>336.68927012773491</c:v>
                </c:pt>
                <c:pt idx="722">
                  <c:v>337.01493961632593</c:v>
                </c:pt>
                <c:pt idx="723">
                  <c:v>337.34043730837681</c:v>
                </c:pt>
                <c:pt idx="724">
                  <c:v>337.66576368116984</c:v>
                </c:pt>
                <c:pt idx="725">
                  <c:v>337.99091921088387</c:v>
                </c:pt>
                <c:pt idx="726">
                  <c:v>338.31590437259763</c:v>
                </c:pt>
                <c:pt idx="727">
                  <c:v>338.64071964029273</c:v>
                </c:pt>
                <c:pt idx="728">
                  <c:v>338.96536548685668</c:v>
                </c:pt>
                <c:pt idx="729">
                  <c:v>339.28984238408606</c:v>
                </c:pt>
                <c:pt idx="730">
                  <c:v>339.61415080268938</c:v>
                </c:pt>
                <c:pt idx="731">
                  <c:v>339.93829121229015</c:v>
                </c:pt>
                <c:pt idx="732">
                  <c:v>340.26226408142992</c:v>
                </c:pt>
                <c:pt idx="733">
                  <c:v>340.58606987757105</c:v>
                </c:pt>
                <c:pt idx="734">
                  <c:v>340.90970906709987</c:v>
                </c:pt>
                <c:pt idx="735">
                  <c:v>341.23318211532938</c:v>
                </c:pt>
                <c:pt idx="736">
                  <c:v>341.55648948650236</c:v>
                </c:pt>
                <c:pt idx="737">
                  <c:v>341.8796316437938</c:v>
                </c:pt>
                <c:pt idx="738">
                  <c:v>342.20260904931433</c:v>
                </c:pt>
                <c:pt idx="739">
                  <c:v>342.52542216411274</c:v>
                </c:pt>
                <c:pt idx="740">
                  <c:v>342.84807144817842</c:v>
                </c:pt>
                <c:pt idx="741">
                  <c:v>343.17055736044489</c:v>
                </c:pt>
                <c:pt idx="742">
                  <c:v>343.49288035879187</c:v>
                </c:pt>
                <c:pt idx="743">
                  <c:v>343.81504090004859</c:v>
                </c:pt>
                <c:pt idx="744">
                  <c:v>344.13703943999593</c:v>
                </c:pt>
                <c:pt idx="745">
                  <c:v>344.45887643336954</c:v>
                </c:pt>
                <c:pt idx="746">
                  <c:v>344.78055233386243</c:v>
                </c:pt>
                <c:pt idx="747">
                  <c:v>345.10206759412739</c:v>
                </c:pt>
                <c:pt idx="748">
                  <c:v>345.42342266577998</c:v>
                </c:pt>
                <c:pt idx="749">
                  <c:v>345.74461799940082</c:v>
                </c:pt>
                <c:pt idx="750">
                  <c:v>346.06565404453835</c:v>
                </c:pt>
                <c:pt idx="751">
                  <c:v>346.38653124971142</c:v>
                </c:pt>
                <c:pt idx="752">
                  <c:v>346.7072500624119</c:v>
                </c:pt>
                <c:pt idx="753">
                  <c:v>347.02781092910686</c:v>
                </c:pt>
                <c:pt idx="754">
                  <c:v>347.34821429524163</c:v>
                </c:pt>
                <c:pt idx="755">
                  <c:v>347.66846060524182</c:v>
                </c:pt>
                <c:pt idx="756">
                  <c:v>347.9885503025161</c:v>
                </c:pt>
                <c:pt idx="757">
                  <c:v>348.30848382945851</c:v>
                </c:pt>
                <c:pt idx="758">
                  <c:v>348.62826162745097</c:v>
                </c:pt>
                <c:pt idx="759">
                  <c:v>348.94788413686575</c:v>
                </c:pt>
                <c:pt idx="760">
                  <c:v>349.26735179706776</c:v>
                </c:pt>
                <c:pt idx="761">
                  <c:v>349.58666504641701</c:v>
                </c:pt>
                <c:pt idx="762">
                  <c:v>349.9058243222708</c:v>
                </c:pt>
                <c:pt idx="763">
                  <c:v>350.22483006098668</c:v>
                </c:pt>
                <c:pt idx="764">
                  <c:v>350.54368269792377</c:v>
                </c:pt>
                <c:pt idx="765">
                  <c:v>350.86238266744618</c:v>
                </c:pt>
                <c:pt idx="766">
                  <c:v>351.18093040292462</c:v>
                </c:pt>
                <c:pt idx="767">
                  <c:v>351.49932633673876</c:v>
                </c:pt>
                <c:pt idx="768">
                  <c:v>351.81757090027969</c:v>
                </c:pt>
                <c:pt idx="769">
                  <c:v>352.13566452395207</c:v>
                </c:pt>
                <c:pt idx="770">
                  <c:v>352.45360763717645</c:v>
                </c:pt>
                <c:pt idx="771">
                  <c:v>352.77140066839121</c:v>
                </c:pt>
                <c:pt idx="772">
                  <c:v>353.08904404505535</c:v>
                </c:pt>
                <c:pt idx="773">
                  <c:v>353.40653819365002</c:v>
                </c:pt>
                <c:pt idx="774">
                  <c:v>353.72388353968114</c:v>
                </c:pt>
                <c:pt idx="775">
                  <c:v>354.04108050768127</c:v>
                </c:pt>
                <c:pt idx="776">
                  <c:v>354.35812952121205</c:v>
                </c:pt>
                <c:pt idx="777">
                  <c:v>354.67503100286598</c:v>
                </c:pt>
                <c:pt idx="778">
                  <c:v>354.99178537426883</c:v>
                </c:pt>
                <c:pt idx="779">
                  <c:v>355.30839305608168</c:v>
                </c:pt>
                <c:pt idx="780">
                  <c:v>355.62485446800292</c:v>
                </c:pt>
                <c:pt idx="781">
                  <c:v>355.94117002877027</c:v>
                </c:pt>
                <c:pt idx="782">
                  <c:v>356.25734015616285</c:v>
                </c:pt>
                <c:pt idx="783">
                  <c:v>356.57336526700357</c:v>
                </c:pt>
                <c:pt idx="784">
                  <c:v>356.88924577716057</c:v>
                </c:pt>
                <c:pt idx="785">
                  <c:v>357.20498210154966</c:v>
                </c:pt>
                <c:pt idx="786">
                  <c:v>357.52057465413617</c:v>
                </c:pt>
                <c:pt idx="787">
                  <c:v>357.83602384793681</c:v>
                </c:pt>
                <c:pt idx="788">
                  <c:v>358.1513300950221</c:v>
                </c:pt>
                <c:pt idx="789">
                  <c:v>358.46649380651775</c:v>
                </c:pt>
                <c:pt idx="790">
                  <c:v>358.78151539260688</c:v>
                </c:pt>
                <c:pt idx="791">
                  <c:v>359.09639526253187</c:v>
                </c:pt>
                <c:pt idx="792">
                  <c:v>359.41113382459656</c:v>
                </c:pt>
                <c:pt idx="793">
                  <c:v>359.7257314861676</c:v>
                </c:pt>
                <c:pt idx="794">
                  <c:v>360.04018865367692</c:v>
                </c:pt>
                <c:pt idx="795">
                  <c:v>360.35450573262307</c:v>
                </c:pt>
                <c:pt idx="796">
                  <c:v>360.66868312757379</c:v>
                </c:pt>
                <c:pt idx="797">
                  <c:v>360.98272124216709</c:v>
                </c:pt>
                <c:pt idx="798">
                  <c:v>361.29662047911347</c:v>
                </c:pt>
                <c:pt idx="799">
                  <c:v>361.6103812401978</c:v>
                </c:pt>
                <c:pt idx="800">
                  <c:v>361.92400392628105</c:v>
                </c:pt>
                <c:pt idx="801">
                  <c:v>362.23748893730198</c:v>
                </c:pt>
                <c:pt idx="802">
                  <c:v>362.55083667227905</c:v>
                </c:pt>
                <c:pt idx="803">
                  <c:v>362.86404752931247</c:v>
                </c:pt>
                <c:pt idx="804">
                  <c:v>363.17712190558524</c:v>
                </c:pt>
                <c:pt idx="805">
                  <c:v>363.49006019736572</c:v>
                </c:pt>
                <c:pt idx="806">
                  <c:v>363.80286280000877</c:v>
                </c:pt>
                <c:pt idx="807">
                  <c:v>364.1155301079578</c:v>
                </c:pt>
                <c:pt idx="808">
                  <c:v>364.42806251474661</c:v>
                </c:pt>
                <c:pt idx="809">
                  <c:v>364.74046041300056</c:v>
                </c:pt>
                <c:pt idx="810">
                  <c:v>365.05272419443889</c:v>
                </c:pt>
                <c:pt idx="811">
                  <c:v>365.36485424987603</c:v>
                </c:pt>
                <c:pt idx="812">
                  <c:v>365.67685096922332</c:v>
                </c:pt>
                <c:pt idx="813">
                  <c:v>365.98871474149092</c:v>
                </c:pt>
                <c:pt idx="814">
                  <c:v>366.30044595478915</c:v>
                </c:pt>
                <c:pt idx="815">
                  <c:v>366.61204499633033</c:v>
                </c:pt>
                <c:pt idx="816">
                  <c:v>366.92351225243038</c:v>
                </c:pt>
                <c:pt idx="817">
                  <c:v>367.23484810851056</c:v>
                </c:pt>
                <c:pt idx="818">
                  <c:v>367.54605294909874</c:v>
                </c:pt>
                <c:pt idx="819">
                  <c:v>367.85712715783126</c:v>
                </c:pt>
                <c:pt idx="820">
                  <c:v>368.1680711174547</c:v>
                </c:pt>
                <c:pt idx="821">
                  <c:v>368.47888520982718</c:v>
                </c:pt>
                <c:pt idx="822">
                  <c:v>368.78956981591995</c:v>
                </c:pt>
                <c:pt idx="823">
                  <c:v>369.10012531581907</c:v>
                </c:pt>
                <c:pt idx="824">
                  <c:v>369.41055208872712</c:v>
                </c:pt>
                <c:pt idx="825">
                  <c:v>369.72085051296426</c:v>
                </c:pt>
                <c:pt idx="826">
                  <c:v>370.03102096597036</c:v>
                </c:pt>
                <c:pt idx="827">
                  <c:v>370.3410638243061</c:v>
                </c:pt>
                <c:pt idx="828">
                  <c:v>370.65097946365478</c:v>
                </c:pt>
                <c:pt idx="829">
                  <c:v>370.96076825882363</c:v>
                </c:pt>
                <c:pt idx="830">
                  <c:v>371.27043058374539</c:v>
                </c:pt>
                <c:pt idx="831">
                  <c:v>371.57996681147984</c:v>
                </c:pt>
                <c:pt idx="832">
                  <c:v>371.88937731421532</c:v>
                </c:pt>
                <c:pt idx="833">
                  <c:v>372.19866246327001</c:v>
                </c:pt>
                <c:pt idx="834">
                  <c:v>372.50782262909365</c:v>
                </c:pt>
                <c:pt idx="835">
                  <c:v>372.81685818126897</c:v>
                </c:pt>
                <c:pt idx="836">
                  <c:v>373.12576948851301</c:v>
                </c:pt>
                <c:pt idx="837">
                  <c:v>373.43455691867865</c:v>
                </c:pt>
                <c:pt idx="838">
                  <c:v>373.74322083875592</c:v>
                </c:pt>
                <c:pt idx="839">
                  <c:v>374.05176161487378</c:v>
                </c:pt>
                <c:pt idx="840">
                  <c:v>374.36017961230118</c:v>
                </c:pt>
                <c:pt idx="841">
                  <c:v>374.66847519544859</c:v>
                </c:pt>
                <c:pt idx="842">
                  <c:v>374.97664872786976</c:v>
                </c:pt>
                <c:pt idx="843">
                  <c:v>375.28470057226235</c:v>
                </c:pt>
                <c:pt idx="844">
                  <c:v>375.59263109046998</c:v>
                </c:pt>
                <c:pt idx="845">
                  <c:v>375.90044064348353</c:v>
                </c:pt>
                <c:pt idx="846">
                  <c:v>376.20812959144229</c:v>
                </c:pt>
                <c:pt idx="847">
                  <c:v>376.51569829363558</c:v>
                </c:pt>
                <c:pt idx="848">
                  <c:v>376.82314710850375</c:v>
                </c:pt>
                <c:pt idx="849">
                  <c:v>377.13047639364009</c:v>
                </c:pt>
                <c:pt idx="850">
                  <c:v>377.43768650579165</c:v>
                </c:pt>
                <c:pt idx="851">
                  <c:v>377.7447778008609</c:v>
                </c:pt>
                <c:pt idx="852">
                  <c:v>378.05175063390703</c:v>
                </c:pt>
                <c:pt idx="853">
                  <c:v>378.35860535914725</c:v>
                </c:pt>
                <c:pt idx="854">
                  <c:v>378.66534232995804</c:v>
                </c:pt>
                <c:pt idx="855">
                  <c:v>378.97196189887654</c:v>
                </c:pt>
                <c:pt idx="856">
                  <c:v>379.27846441760198</c:v>
                </c:pt>
                <c:pt idx="857">
                  <c:v>379.58485023699672</c:v>
                </c:pt>
                <c:pt idx="858">
                  <c:v>379.89111970708791</c:v>
                </c:pt>
                <c:pt idx="859">
                  <c:v>380.19727317706838</c:v>
                </c:pt>
                <c:pt idx="860">
                  <c:v>380.50331099529836</c:v>
                </c:pt>
                <c:pt idx="861">
                  <c:v>380.80923350930635</c:v>
                </c:pt>
                <c:pt idx="862">
                  <c:v>381.11504106579076</c:v>
                </c:pt>
                <c:pt idx="863">
                  <c:v>381.42073401062089</c:v>
                </c:pt>
                <c:pt idx="864">
                  <c:v>381.7263126888385</c:v>
                </c:pt>
                <c:pt idx="865">
                  <c:v>382.03177744465864</c:v>
                </c:pt>
                <c:pt idx="866">
                  <c:v>382.33712862147132</c:v>
                </c:pt>
                <c:pt idx="867">
                  <c:v>382.64236656184283</c:v>
                </c:pt>
                <c:pt idx="868">
                  <c:v>382.94749160751638</c:v>
                </c:pt>
                <c:pt idx="869">
                  <c:v>383.25250409941401</c:v>
                </c:pt>
                <c:pt idx="870">
                  <c:v>383.5574043776374</c:v>
                </c:pt>
                <c:pt idx="871">
                  <c:v>383.86219278146945</c:v>
                </c:pt>
                <c:pt idx="872">
                  <c:v>384.16686964937497</c:v>
                </c:pt>
                <c:pt idx="873">
                  <c:v>384.47143531900252</c:v>
                </c:pt>
                <c:pt idx="874">
                  <c:v>384.77589012718539</c:v>
                </c:pt>
                <c:pt idx="875">
                  <c:v>385.08023440994253</c:v>
                </c:pt>
                <c:pt idx="876">
                  <c:v>385.38446850248016</c:v>
                </c:pt>
                <c:pt idx="877">
                  <c:v>385.6885927391927</c:v>
                </c:pt>
                <c:pt idx="878">
                  <c:v>385.99260745366428</c:v>
                </c:pt>
                <c:pt idx="879">
                  <c:v>386.29651297866945</c:v>
                </c:pt>
                <c:pt idx="880">
                  <c:v>386.60030964617494</c:v>
                </c:pt>
                <c:pt idx="881">
                  <c:v>386.9039977873403</c:v>
                </c:pt>
                <c:pt idx="882">
                  <c:v>387.2075777325195</c:v>
                </c:pt>
                <c:pt idx="883">
                  <c:v>387.5110498112619</c:v>
                </c:pt>
                <c:pt idx="884">
                  <c:v>387.81441435231346</c:v>
                </c:pt>
                <c:pt idx="885">
                  <c:v>388.11767168361803</c:v>
                </c:pt>
                <c:pt idx="886">
                  <c:v>388.42082213231811</c:v>
                </c:pt>
                <c:pt idx="887">
                  <c:v>388.72386602475655</c:v>
                </c:pt>
                <c:pt idx="888">
                  <c:v>389.02680368647748</c:v>
                </c:pt>
                <c:pt idx="889">
                  <c:v>389.32963544222724</c:v>
                </c:pt>
                <c:pt idx="890">
                  <c:v>389.63236161595586</c:v>
                </c:pt>
                <c:pt idx="891">
                  <c:v>389.93498253081799</c:v>
                </c:pt>
                <c:pt idx="892">
                  <c:v>390.23749850917426</c:v>
                </c:pt>
                <c:pt idx="893">
                  <c:v>390.5399098725922</c:v>
                </c:pt>
                <c:pt idx="894">
                  <c:v>390.84221694184731</c:v>
                </c:pt>
                <c:pt idx="895">
                  <c:v>391.14442003692466</c:v>
                </c:pt>
                <c:pt idx="896">
                  <c:v>391.44651947701942</c:v>
                </c:pt>
                <c:pt idx="897">
                  <c:v>391.74851558053837</c:v>
                </c:pt>
                <c:pt idx="898">
                  <c:v>392.0504086651008</c:v>
                </c:pt>
                <c:pt idx="899">
                  <c:v>392.3521990475399</c:v>
                </c:pt>
                <c:pt idx="900">
                  <c:v>392.65388704390369</c:v>
                </c:pt>
                <c:pt idx="901">
                  <c:v>392.95547296945597</c:v>
                </c:pt>
                <c:pt idx="902">
                  <c:v>393.25695713867776</c:v>
                </c:pt>
                <c:pt idx="903">
                  <c:v>393.55833986526824</c:v>
                </c:pt>
                <c:pt idx="904">
                  <c:v>393.85962146214587</c:v>
                </c:pt>
                <c:pt idx="905">
                  <c:v>394.1608022414494</c:v>
                </c:pt>
                <c:pt idx="906">
                  <c:v>394.46188251453918</c:v>
                </c:pt>
                <c:pt idx="907">
                  <c:v>394.7628625919981</c:v>
                </c:pt>
                <c:pt idx="908">
                  <c:v>395.06374278363256</c:v>
                </c:pt>
                <c:pt idx="909">
                  <c:v>395.36452339847386</c:v>
                </c:pt>
                <c:pt idx="910">
                  <c:v>395.66520474477898</c:v>
                </c:pt>
                <c:pt idx="911">
                  <c:v>395.96578713003191</c:v>
                </c:pt>
                <c:pt idx="912">
                  <c:v>396.26627086094476</c:v>
                </c:pt>
                <c:pt idx="913">
                  <c:v>396.56665624345845</c:v>
                </c:pt>
                <c:pt idx="914">
                  <c:v>396.86694358274423</c:v>
                </c:pt>
                <c:pt idx="915">
                  <c:v>397.1671331832045</c:v>
                </c:pt>
                <c:pt idx="916">
                  <c:v>397.46722534847385</c:v>
                </c:pt>
                <c:pt idx="917">
                  <c:v>397.76722038142037</c:v>
                </c:pt>
                <c:pt idx="918">
                  <c:v>398.0671185841465</c:v>
                </c:pt>
                <c:pt idx="919">
                  <c:v>398.36692025799022</c:v>
                </c:pt>
                <c:pt idx="920">
                  <c:v>398.66662570352605</c:v>
                </c:pt>
                <c:pt idx="921">
                  <c:v>398.96623522056598</c:v>
                </c:pt>
                <c:pt idx="922">
                  <c:v>399.26574910816072</c:v>
                </c:pt>
                <c:pt idx="923">
                  <c:v>399.56516766460089</c:v>
                </c:pt>
                <c:pt idx="924">
                  <c:v>399.86449118741757</c:v>
                </c:pt>
                <c:pt idx="925">
                  <c:v>400.16371997338388</c:v>
                </c:pt>
                <c:pt idx="926">
                  <c:v>400.46285431851567</c:v>
                </c:pt>
                <c:pt idx="927">
                  <c:v>400.76189451807278</c:v>
                </c:pt>
                <c:pt idx="928">
                  <c:v>401.06084086656</c:v>
                </c:pt>
                <c:pt idx="929">
                  <c:v>401.35969365772809</c:v>
                </c:pt>
                <c:pt idx="930">
                  <c:v>401.65845318457491</c:v>
                </c:pt>
                <c:pt idx="931">
                  <c:v>401.95711973934641</c:v>
                </c:pt>
                <c:pt idx="932">
                  <c:v>402.25569361353752</c:v>
                </c:pt>
                <c:pt idx="933">
                  <c:v>402.55417509789351</c:v>
                </c:pt>
                <c:pt idx="934">
                  <c:v>402.85256448241074</c:v>
                </c:pt>
                <c:pt idx="935">
                  <c:v>403.15086205633776</c:v>
                </c:pt>
                <c:pt idx="936">
                  <c:v>403.44906810817656</c:v>
                </c:pt>
                <c:pt idx="937">
                  <c:v>403.74718292568326</c:v>
                </c:pt>
                <c:pt idx="938">
                  <c:v>404.04520679586926</c:v>
                </c:pt>
                <c:pt idx="939">
                  <c:v>404.34314000500245</c:v>
                </c:pt>
                <c:pt idx="940">
                  <c:v>404.64098283860807</c:v>
                </c:pt>
                <c:pt idx="941">
                  <c:v>404.93873558146964</c:v>
                </c:pt>
                <c:pt idx="942">
                  <c:v>405.23639851763011</c:v>
                </c:pt>
                <c:pt idx="943">
                  <c:v>405.53397193039297</c:v>
                </c:pt>
                <c:pt idx="944">
                  <c:v>405.83145610232322</c:v>
                </c:pt>
                <c:pt idx="945">
                  <c:v>406.12885131524808</c:v>
                </c:pt>
                <c:pt idx="946">
                  <c:v>406.42615785025856</c:v>
                </c:pt>
                <c:pt idx="947">
                  <c:v>406.72337598771009</c:v>
                </c:pt>
                <c:pt idx="948">
                  <c:v>407.0205060072235</c:v>
                </c:pt>
                <c:pt idx="949">
                  <c:v>407.31754818768627</c:v>
                </c:pt>
                <c:pt idx="950">
                  <c:v>407.61450280725353</c:v>
                </c:pt>
                <c:pt idx="951">
                  <c:v>407.91137014334885</c:v>
                </c:pt>
                <c:pt idx="952">
                  <c:v>408.20815047266541</c:v>
                </c:pt>
                <c:pt idx="953">
                  <c:v>408.50484407116704</c:v>
                </c:pt>
                <c:pt idx="954">
                  <c:v>408.80145121408913</c:v>
                </c:pt>
                <c:pt idx="955">
                  <c:v>409.09797217593973</c:v>
                </c:pt>
                <c:pt idx="956">
                  <c:v>409.39440723050046</c:v>
                </c:pt>
                <c:pt idx="957">
                  <c:v>409.69075665082761</c:v>
                </c:pt>
                <c:pt idx="958">
                  <c:v>409.98702070925316</c:v>
                </c:pt>
                <c:pt idx="959">
                  <c:v>410.28319967738554</c:v>
                </c:pt>
                <c:pt idx="960">
                  <c:v>410.57929382611104</c:v>
                </c:pt>
                <c:pt idx="961">
                  <c:v>410.87530342559444</c:v>
                </c:pt>
                <c:pt idx="962">
                  <c:v>411.1712287452803</c:v>
                </c:pt>
                <c:pt idx="963">
                  <c:v>411.46707005389379</c:v>
                </c:pt>
                <c:pt idx="964">
                  <c:v>411.76282761944168</c:v>
                </c:pt>
                <c:pt idx="965">
                  <c:v>412.05850170921354</c:v>
                </c:pt>
                <c:pt idx="966">
                  <c:v>412.3540925897824</c:v>
                </c:pt>
                <c:pt idx="967">
                  <c:v>412.64960052700621</c:v>
                </c:pt>
                <c:pt idx="968">
                  <c:v>412.94502578602828</c:v>
                </c:pt>
                <c:pt idx="969">
                  <c:v>413.24036863127884</c:v>
                </c:pt>
                <c:pt idx="970">
                  <c:v>413.5356293264756</c:v>
                </c:pt>
                <c:pt idx="971">
                  <c:v>413.8308081346251</c:v>
                </c:pt>
                <c:pt idx="972">
                  <c:v>414.12590531802334</c:v>
                </c:pt>
                <c:pt idx="973">
                  <c:v>414.42092113825714</c:v>
                </c:pt>
                <c:pt idx="974">
                  <c:v>414.71585585620488</c:v>
                </c:pt>
                <c:pt idx="975">
                  <c:v>415.01070973203758</c:v>
                </c:pt>
                <c:pt idx="976">
                  <c:v>415.30548302521987</c:v>
                </c:pt>
                <c:pt idx="977">
                  <c:v>415.60017599451112</c:v>
                </c:pt>
                <c:pt idx="978">
                  <c:v>415.89478889796618</c:v>
                </c:pt>
                <c:pt idx="979">
                  <c:v>416.18932199293664</c:v>
                </c:pt>
                <c:pt idx="980">
                  <c:v>416.48377553607179</c:v>
                </c:pt>
                <c:pt idx="981">
                  <c:v>416.77814978331929</c:v>
                </c:pt>
                <c:pt idx="982">
                  <c:v>417.07244498992651</c:v>
                </c:pt>
                <c:pt idx="983">
                  <c:v>417.36666141044162</c:v>
                </c:pt>
                <c:pt idx="984">
                  <c:v>417.66079929871415</c:v>
                </c:pt>
                <c:pt idx="985">
                  <c:v>417.95485890789615</c:v>
                </c:pt>
                <c:pt idx="986">
                  <c:v>418.24884049044357</c:v>
                </c:pt>
                <c:pt idx="987">
                  <c:v>418.54274429811653</c:v>
                </c:pt>
                <c:pt idx="988">
                  <c:v>418.83657058198105</c:v>
                </c:pt>
                <c:pt idx="989">
                  <c:v>419.13031959240953</c:v>
                </c:pt>
                <c:pt idx="990">
                  <c:v>419.42399157908199</c:v>
                </c:pt>
                <c:pt idx="991">
                  <c:v>419.7175867909869</c:v>
                </c:pt>
                <c:pt idx="992">
                  <c:v>420.01110547642241</c:v>
                </c:pt>
                <c:pt idx="993">
                  <c:v>420.30454788299704</c:v>
                </c:pt>
                <c:pt idx="994">
                  <c:v>420.59791425763092</c:v>
                </c:pt>
                <c:pt idx="995">
                  <c:v>420.89120484655672</c:v>
                </c:pt>
                <c:pt idx="996">
                  <c:v>421.18441989532045</c:v>
                </c:pt>
                <c:pt idx="997">
                  <c:v>421.4775596487828</c:v>
                </c:pt>
                <c:pt idx="998">
                  <c:v>421.77062435111998</c:v>
                </c:pt>
                <c:pt idx="999">
                  <c:v>422.06361424582434</c:v>
                </c:pt>
                <c:pt idx="1000">
                  <c:v>422.35652957570602</c:v>
                </c:pt>
                <c:pt idx="1001">
                  <c:v>422.64937058289348</c:v>
                </c:pt>
                <c:pt idx="1002">
                  <c:v>422.94213750883472</c:v>
                </c:pt>
                <c:pt idx="1003">
                  <c:v>423.23483059429805</c:v>
                </c:pt>
                <c:pt idx="1004">
                  <c:v>423.52745007937341</c:v>
                </c:pt>
                <c:pt idx="1005">
                  <c:v>423.81999620347295</c:v>
                </c:pt>
                <c:pt idx="1006">
                  <c:v>424.11246920533227</c:v>
                </c:pt>
                <c:pt idx="1007">
                  <c:v>424.40486932301161</c:v>
                </c:pt>
                <c:pt idx="1008">
                  <c:v>424.69719679389647</c:v>
                </c:pt>
                <c:pt idx="1009">
                  <c:v>424.98945185469864</c:v>
                </c:pt>
                <c:pt idx="1010">
                  <c:v>425.28163474145737</c:v>
                </c:pt>
                <c:pt idx="1011">
                  <c:v>425.57374568954043</c:v>
                </c:pt>
                <c:pt idx="1012">
                  <c:v>425.86578493364476</c:v>
                </c:pt>
                <c:pt idx="1013">
                  <c:v>426.15775270779773</c:v>
                </c:pt>
                <c:pt idx="1014">
                  <c:v>426.44964924535816</c:v>
                </c:pt>
                <c:pt idx="1015">
                  <c:v>426.74147477901715</c:v>
                </c:pt>
                <c:pt idx="1016">
                  <c:v>427.03322954079914</c:v>
                </c:pt>
                <c:pt idx="1017">
                  <c:v>427.32491376206298</c:v>
                </c:pt>
                <c:pt idx="1018">
                  <c:v>427.61652767350279</c:v>
                </c:pt>
                <c:pt idx="1019">
                  <c:v>427.90807150514894</c:v>
                </c:pt>
                <c:pt idx="1020">
                  <c:v>428.19954548636946</c:v>
                </c:pt>
                <c:pt idx="1021">
                  <c:v>428.49094984587026</c:v>
                </c:pt>
                <c:pt idx="1022">
                  <c:v>428.78228481169685</c:v>
                </c:pt>
                <c:pt idx="1023">
                  <c:v>429.07355061123502</c:v>
                </c:pt>
                <c:pt idx="1024">
                  <c:v>429.36474747121179</c:v>
                </c:pt>
                <c:pt idx="1025">
                  <c:v>429.65587561769649</c:v>
                </c:pt>
                <c:pt idx="1026">
                  <c:v>429.94693527610184</c:v>
                </c:pt>
                <c:pt idx="1027">
                  <c:v>430.23792667118482</c:v>
                </c:pt>
                <c:pt idx="1028">
                  <c:v>430.52885002704761</c:v>
                </c:pt>
                <c:pt idx="1029">
                  <c:v>430.81970556713878</c:v>
                </c:pt>
                <c:pt idx="1030">
                  <c:v>431.11049351425419</c:v>
                </c:pt>
                <c:pt idx="1031">
                  <c:v>431.40121409053791</c:v>
                </c:pt>
                <c:pt idx="1032">
                  <c:v>431.69186751748339</c:v>
                </c:pt>
                <c:pt idx="1033">
                  <c:v>431.98245401593431</c:v>
                </c:pt>
                <c:pt idx="1034">
                  <c:v>432.27297380608553</c:v>
                </c:pt>
                <c:pt idx="1035">
                  <c:v>432.56342710748442</c:v>
                </c:pt>
                <c:pt idx="1036">
                  <c:v>432.8538141390315</c:v>
                </c:pt>
                <c:pt idx="1037">
                  <c:v>433.14413511898147</c:v>
                </c:pt>
                <c:pt idx="1038">
                  <c:v>433.43439026494451</c:v>
                </c:pt>
                <c:pt idx="1039">
                  <c:v>433.72457979388696</c:v>
                </c:pt>
                <c:pt idx="1040">
                  <c:v>434.01470392213258</c:v>
                </c:pt>
                <c:pt idx="1041">
                  <c:v>434.3047628653631</c:v>
                </c:pt>
                <c:pt idx="1042">
                  <c:v>434.59475683861984</c:v>
                </c:pt>
                <c:pt idx="1043">
                  <c:v>434.88468605630442</c:v>
                </c:pt>
                <c:pt idx="1044">
                  <c:v>435.17455073217957</c:v>
                </c:pt>
                <c:pt idx="1045">
                  <c:v>435.46435107937032</c:v>
                </c:pt>
                <c:pt idx="1046">
                  <c:v>435.75408731036509</c:v>
                </c:pt>
                <c:pt idx="1047">
                  <c:v>436.04375963701659</c:v>
                </c:pt>
                <c:pt idx="1048">
                  <c:v>436.33336827054285</c:v>
                </c:pt>
                <c:pt idx="1049">
                  <c:v>436.62291342152804</c:v>
                </c:pt>
                <c:pt idx="1050">
                  <c:v>436.91239529992396</c:v>
                </c:pt>
                <c:pt idx="1051">
                  <c:v>437.20181411505041</c:v>
                </c:pt>
                <c:pt idx="1052">
                  <c:v>437.4911700755967</c:v>
                </c:pt>
                <c:pt idx="1053">
                  <c:v>437.78046338962235</c:v>
                </c:pt>
                <c:pt idx="1054">
                  <c:v>438.06969426455845</c:v>
                </c:pt>
                <c:pt idx="1055">
                  <c:v>438.35886290720828</c:v>
                </c:pt>
                <c:pt idx="1056">
                  <c:v>438.64796952374832</c:v>
                </c:pt>
                <c:pt idx="1057">
                  <c:v>438.9370143197296</c:v>
                </c:pt>
                <c:pt idx="1058">
                  <c:v>439.22599750007862</c:v>
                </c:pt>
                <c:pt idx="1059">
                  <c:v>439.51491926909802</c:v>
                </c:pt>
                <c:pt idx="1060">
                  <c:v>439.80377983046787</c:v>
                </c:pt>
                <c:pt idx="1061">
                  <c:v>440.09257938724676</c:v>
                </c:pt>
                <c:pt idx="1062">
                  <c:v>440.38131814187255</c:v>
                </c:pt>
                <c:pt idx="1063">
                  <c:v>440.66999629616367</c:v>
                </c:pt>
                <c:pt idx="1064">
                  <c:v>440.9586140513199</c:v>
                </c:pt>
                <c:pt idx="1065">
                  <c:v>441.24717160792335</c:v>
                </c:pt>
                <c:pt idx="1066">
                  <c:v>441.53566916593974</c:v>
                </c:pt>
                <c:pt idx="1067">
                  <c:v>441.82410692471922</c:v>
                </c:pt>
                <c:pt idx="1068">
                  <c:v>442.11248508299735</c:v>
                </c:pt>
                <c:pt idx="1069">
                  <c:v>442.40080383889614</c:v>
                </c:pt>
                <c:pt idx="1070">
                  <c:v>442.68906338992537</c:v>
                </c:pt>
                <c:pt idx="1071">
                  <c:v>442.97726393298291</c:v>
                </c:pt>
                <c:pt idx="1072">
                  <c:v>443.26540566435665</c:v>
                </c:pt>
                <c:pt idx="1073">
                  <c:v>443.5534887797246</c:v>
                </c:pt>
                <c:pt idx="1074">
                  <c:v>443.8415134741565</c:v>
                </c:pt>
                <c:pt idx="1075">
                  <c:v>444.12947994211464</c:v>
                </c:pt>
                <c:pt idx="1076">
                  <c:v>444.4173883774551</c:v>
                </c:pt>
                <c:pt idx="1077">
                  <c:v>444.70523897342827</c:v>
                </c:pt>
                <c:pt idx="1078">
                  <c:v>444.99303192268025</c:v>
                </c:pt>
                <c:pt idx="1079">
                  <c:v>445.28076741725386</c:v>
                </c:pt>
                <c:pt idx="1080">
                  <c:v>445.5684456485896</c:v>
                </c:pt>
                <c:pt idx="1081">
                  <c:v>445.85606680752647</c:v>
                </c:pt>
                <c:pt idx="1082">
                  <c:v>446.14363108430331</c:v>
                </c:pt>
                <c:pt idx="1083">
                  <c:v>446.4311386685597</c:v>
                </c:pt>
                <c:pt idx="1084">
                  <c:v>446.7185897493369</c:v>
                </c:pt>
                <c:pt idx="1085">
                  <c:v>447.00598451507898</c:v>
                </c:pt>
                <c:pt idx="1086">
                  <c:v>447.29332315363354</c:v>
                </c:pt>
                <c:pt idx="1087">
                  <c:v>447.58060585225331</c:v>
                </c:pt>
                <c:pt idx="1088">
                  <c:v>447.86783279759669</c:v>
                </c:pt>
                <c:pt idx="1089">
                  <c:v>448.15500417572883</c:v>
                </c:pt>
                <c:pt idx="1090">
                  <c:v>448.44212017212294</c:v>
                </c:pt>
                <c:pt idx="1091">
                  <c:v>448.72918097166092</c:v>
                </c:pt>
                <c:pt idx="1092">
                  <c:v>449.01618675863466</c:v>
                </c:pt>
                <c:pt idx="1093">
                  <c:v>449.30313771674696</c:v>
                </c:pt>
                <c:pt idx="1094">
                  <c:v>449.59003402911259</c:v>
                </c:pt>
                <c:pt idx="1095">
                  <c:v>449.8768758782594</c:v>
                </c:pt>
                <c:pt idx="1096">
                  <c:v>450.16366344612902</c:v>
                </c:pt>
                <c:pt idx="1097">
                  <c:v>450.45039691407811</c:v>
                </c:pt>
                <c:pt idx="1098">
                  <c:v>450.73707646287954</c:v>
                </c:pt>
                <c:pt idx="1099">
                  <c:v>451.02370227272326</c:v>
                </c:pt>
                <c:pt idx="1100">
                  <c:v>451.31027452321717</c:v>
                </c:pt>
                <c:pt idx="1101">
                  <c:v>451.5967933933884</c:v>
                </c:pt>
                <c:pt idx="1102">
                  <c:v>451.88325906168416</c:v>
                </c:pt>
                <c:pt idx="1103">
                  <c:v>452.16967170597292</c:v>
                </c:pt>
                <c:pt idx="1104">
                  <c:v>452.45603150354526</c:v>
                </c:pt>
                <c:pt idx="1105">
                  <c:v>452.74233863111505</c:v>
                </c:pt>
                <c:pt idx="1106">
                  <c:v>453.02859326482047</c:v>
                </c:pt>
                <c:pt idx="1107">
                  <c:v>453.31479558022482</c:v>
                </c:pt>
                <c:pt idx="1108">
                  <c:v>453.60094575231784</c:v>
                </c:pt>
                <c:pt idx="1109">
                  <c:v>453.88704395551662</c:v>
                </c:pt>
                <c:pt idx="1110">
                  <c:v>454.17309036366663</c:v>
                </c:pt>
                <c:pt idx="1111">
                  <c:v>454.45908515004254</c:v>
                </c:pt>
                <c:pt idx="1112">
                  <c:v>454.74502848734983</c:v>
                </c:pt>
                <c:pt idx="1113">
                  <c:v>455.03092054772515</c:v>
                </c:pt>
                <c:pt idx="1114">
                  <c:v>455.31676150273762</c:v>
                </c:pt>
                <c:pt idx="1115">
                  <c:v>455.60255152339022</c:v>
                </c:pt>
                <c:pt idx="1116">
                  <c:v>455.88829078012009</c:v>
                </c:pt>
                <c:pt idx="1117">
                  <c:v>456.17397944280015</c:v>
                </c:pt>
                <c:pt idx="1118">
                  <c:v>456.45961768073988</c:v>
                </c:pt>
                <c:pt idx="1119">
                  <c:v>456.74520566268649</c:v>
                </c:pt>
                <c:pt idx="1120">
                  <c:v>457.03074355682583</c:v>
                </c:pt>
                <c:pt idx="1121">
                  <c:v>457.31623153078334</c:v>
                </c:pt>
                <c:pt idx="1122">
                  <c:v>457.60166975162525</c:v>
                </c:pt>
                <c:pt idx="1123">
                  <c:v>457.8870583858598</c:v>
                </c:pt>
                <c:pt idx="1124">
                  <c:v>458.17239759943783</c:v>
                </c:pt>
                <c:pt idx="1125">
                  <c:v>458.45768755775401</c:v>
                </c:pt>
                <c:pt idx="1126">
                  <c:v>458.74292842564796</c:v>
                </c:pt>
              </c:numCache>
            </c:numRef>
          </c:xVal>
          <c:yVal>
            <c:numRef>
              <c:f>'Ball Trajectory'!$D$32:$D$1158</c:f>
              <c:numCache>
                <c:formatCode>0.000</c:formatCode>
                <c:ptCount val="1127"/>
                <c:pt idx="0" formatCode="General">
                  <c:v>0</c:v>
                </c:pt>
                <c:pt idx="1">
                  <c:v>0.44717123660128666</c:v>
                </c:pt>
                <c:pt idx="2">
                  <c:v>0.89294822432077225</c:v>
                </c:pt>
                <c:pt idx="3">
                  <c:v>1.3373250432084878</c:v>
                </c:pt>
                <c:pt idx="4">
                  <c:v>1.780295829882659</c:v>
                </c:pt>
                <c:pt idx="5">
                  <c:v>2.221854776959546</c:v>
                </c:pt>
                <c:pt idx="6">
                  <c:v>2.661996132489941</c:v>
                </c:pt>
                <c:pt idx="7">
                  <c:v>3.1007141994022329</c:v>
                </c:pt>
                <c:pt idx="8">
                  <c:v>3.538003334951962</c:v>
                </c:pt>
                <c:pt idx="9">
                  <c:v>3.9738579501777687</c:v>
                </c:pt>
                <c:pt idx="10">
                  <c:v>4.408272509363659</c:v>
                </c:pt>
                <c:pt idx="11">
                  <c:v>4.8412415295075029</c:v>
                </c:pt>
                <c:pt idx="12">
                  <c:v>5.2727595797956814</c:v>
                </c:pt>
                <c:pt idx="13">
                  <c:v>5.7028212810838088</c:v>
                </c:pt>
                <c:pt idx="14">
                  <c:v>6.1314213053834399</c:v>
                </c:pt>
                <c:pt idx="15">
                  <c:v>6.5585543753546993</c:v>
                </c:pt>
                <c:pt idx="16">
                  <c:v>6.9842152638047423</c:v>
                </c:pt>
                <c:pt idx="17">
                  <c:v>7.4083987931919788</c:v>
                </c:pt>
                <c:pt idx="18">
                  <c:v>7.8310998351359888</c:v>
                </c:pt>
                <c:pt idx="19">
                  <c:v>8.2523133099330455</c:v>
                </c:pt>
                <c:pt idx="20">
                  <c:v>8.6720341860771892</c:v>
                </c:pt>
                <c:pt idx="21">
                  <c:v>9.090257479786759</c:v>
                </c:pt>
                <c:pt idx="22">
                  <c:v>9.5069782545363459</c:v>
                </c:pt>
                <c:pt idx="23">
                  <c:v>9.9221916205940541</c:v>
                </c:pt>
                <c:pt idx="24">
                  <c:v>10.335892734564046</c:v>
                </c:pt>
                <c:pt idx="25">
                  <c:v>10.748076798934273</c:v>
                </c:pt>
                <c:pt idx="26">
                  <c:v>11.15873906162934</c:v>
                </c:pt>
                <c:pt idx="27">
                  <c:v>11.567874815568445</c:v>
                </c:pt>
                <c:pt idx="28">
                  <c:v>11.975479398228298</c:v>
                </c:pt>
                <c:pt idx="29">
                  <c:v>12.381548191211007</c:v>
                </c:pt>
                <c:pt idx="30">
                  <c:v>12.786076619816809</c:v>
                </c:pt>
                <c:pt idx="31">
                  <c:v>13.189060152621648</c:v>
                </c:pt>
                <c:pt idx="32">
                  <c:v>13.59049430105949</c:v>
                </c:pt>
                <c:pt idx="33">
                  <c:v>13.990374619009325</c:v>
                </c:pt>
                <c:pt idx="34">
                  <c:v>14.388696702386826</c:v>
                </c:pt>
                <c:pt idx="35">
                  <c:v>14.78545618874057</c:v>
                </c:pt>
                <c:pt idx="36">
                  <c:v>15.18064875685279</c:v>
                </c:pt>
                <c:pt idx="37">
                  <c:v>15.574270126344581</c:v>
                </c:pt>
                <c:pt idx="38">
                  <c:v>15.966316057285532</c:v>
                </c:pt>
                <c:pt idx="39">
                  <c:v>16.356782349807691</c:v>
                </c:pt>
                <c:pt idx="40">
                  <c:v>16.745664843723851</c:v>
                </c:pt>
                <c:pt idx="41">
                  <c:v>17.13295941815008</c:v>
                </c:pt>
                <c:pt idx="42">
                  <c:v>17.518661991132426</c:v>
                </c:pt>
                <c:pt idx="43">
                  <c:v>17.902768519277792</c:v>
                </c:pt>
                <c:pt idx="44">
                  <c:v>18.2852749973889</c:v>
                </c:pt>
                <c:pt idx="45">
                  <c:v>18.666177458103284</c:v>
                </c:pt>
                <c:pt idx="46">
                  <c:v>19.04547197153628</c:v>
                </c:pt>
                <c:pt idx="47">
                  <c:v>19.423154644927973</c:v>
                </c:pt>
                <c:pt idx="48">
                  <c:v>19.799221622294034</c:v>
                </c:pt>
                <c:pt idx="49">
                  <c:v>20.173669084080391</c:v>
                </c:pt>
                <c:pt idx="50">
                  <c:v>20.546493246821729</c:v>
                </c:pt>
                <c:pt idx="51">
                  <c:v>20.917690362803732</c:v>
                </c:pt>
                <c:pt idx="52">
                  <c:v>21.287256719729026</c:v>
                </c:pt>
                <c:pt idx="53">
                  <c:v>21.655188640386807</c:v>
                </c:pt>
                <c:pt idx="54">
                  <c:v>22.021482482326086</c:v>
                </c:pt>
                <c:pt idx="55">
                  <c:v>22.386134637532496</c:v>
                </c:pt>
                <c:pt idx="56">
                  <c:v>22.749141532108666</c:v>
                </c:pt>
                <c:pt idx="57">
                  <c:v>23.110499625958045</c:v>
                </c:pt>
                <c:pt idx="58">
                  <c:v>23.470205412472229</c:v>
                </c:pt>
                <c:pt idx="59">
                  <c:v>23.828255418221648</c:v>
                </c:pt>
                <c:pt idx="60">
                  <c:v>24.184646202649656</c:v>
                </c:pt>
                <c:pt idx="61">
                  <c:v>24.539374357769926</c:v>
                </c:pt>
                <c:pt idx="62">
                  <c:v>24.892436507867163</c:v>
                </c:pt>
                <c:pt idx="63">
                  <c:v>25.24382930920104</c:v>
                </c:pt>
                <c:pt idx="64">
                  <c:v>25.593549449713365</c:v>
                </c:pt>
                <c:pt idx="65">
                  <c:v>25.941593648738412</c:v>
                </c:pt>
                <c:pt idx="66">
                  <c:v>26.287958656716384</c:v>
                </c:pt>
                <c:pt idx="67">
                  <c:v>26.632641254910002</c:v>
                </c:pt>
                <c:pt idx="68">
                  <c:v>26.975638255124121</c:v>
                </c:pt>
                <c:pt idx="69">
                  <c:v>27.316946499428393</c:v>
                </c:pt>
                <c:pt idx="70">
                  <c:v>27.656562859882936</c:v>
                </c:pt>
                <c:pt idx="71">
                  <c:v>27.994484238266921</c:v>
                </c:pt>
                <c:pt idx="72">
                  <c:v>28.330707565810123</c:v>
                </c:pt>
                <c:pt idx="73">
                  <c:v>28.665229802927332</c:v>
                </c:pt>
                <c:pt idx="74">
                  <c:v>28.998047938955633</c:v>
                </c:pt>
                <c:pt idx="75">
                  <c:v>29.329158991894509</c:v>
                </c:pt>
                <c:pt idx="76">
                  <c:v>29.658560008148715</c:v>
                </c:pt>
                <c:pt idx="77">
                  <c:v>29.986248062273933</c:v>
                </c:pt>
                <c:pt idx="78">
                  <c:v>30.312220256725134</c:v>
                </c:pt>
                <c:pt idx="79">
                  <c:v>30.63647372160764</c:v>
                </c:pt>
                <c:pt idx="80">
                  <c:v>30.959005614430854</c:v>
                </c:pt>
                <c:pt idx="81">
                  <c:v>31.279813119864613</c:v>
                </c:pt>
                <c:pt idx="82">
                  <c:v>31.598893449498153</c:v>
                </c:pt>
                <c:pt idx="83">
                  <c:v>31.91624384160162</c:v>
                </c:pt>
                <c:pt idx="84">
                  <c:v>32.231861560890174</c:v>
                </c:pt>
                <c:pt idx="85">
                  <c:v>32.545743898290539</c:v>
                </c:pt>
                <c:pt idx="86">
                  <c:v>32.857888170710119</c:v>
                </c:pt>
                <c:pt idx="87">
                  <c:v>33.168291720808476</c:v>
                </c:pt>
                <c:pt idx="88">
                  <c:v>33.476951916771334</c:v>
                </c:pt>
                <c:pt idx="89">
                  <c:v>33.783866152086908</c:v>
                </c:pt>
                <c:pt idx="90">
                  <c:v>34.089031845324648</c:v>
                </c:pt>
                <c:pt idx="91">
                  <c:v>34.39244643991632</c:v>
                </c:pt>
                <c:pt idx="92">
                  <c:v>34.694107403939412</c:v>
                </c:pt>
                <c:pt idx="93">
                  <c:v>34.994012229902815</c:v>
                </c:pt>
                <c:pt idx="94">
                  <c:v>35.292158434534812</c:v>
                </c:pt>
                <c:pt idx="95">
                  <c:v>35.588543558573257</c:v>
                </c:pt>
                <c:pt idx="96">
                  <c:v>35.883165166558022</c:v>
                </c:pt>
                <c:pt idx="97">
                  <c:v>36.176020846625626</c:v>
                </c:pt>
                <c:pt idx="98">
                  <c:v>36.467108210306016</c:v>
                </c:pt>
                <c:pt idx="99">
                  <c:v>36.75642489232149</c:v>
                </c:pt>
                <c:pt idx="100">
                  <c:v>37.043968550387774</c:v>
                </c:pt>
                <c:pt idx="101">
                  <c:v>37.329736865017168</c:v>
                </c:pt>
                <c:pt idx="102">
                  <c:v>37.613727539323776</c:v>
                </c:pt>
                <c:pt idx="103">
                  <c:v>37.895938298830799</c:v>
                </c:pt>
                <c:pt idx="104">
                  <c:v>38.176366891279812</c:v>
                </c:pt>
                <c:pt idx="105">
                  <c:v>38.455011086442113</c:v>
                </c:pt>
                <c:pt idx="106">
                  <c:v>38.731868675932006</c:v>
                </c:pt>
                <c:pt idx="107">
                  <c:v>39.00693747302207</c:v>
                </c:pt>
                <c:pt idx="108">
                  <c:v>39.280215312460371</c:v>
                </c:pt>
                <c:pt idx="109">
                  <c:v>39.551700050289554</c:v>
                </c:pt>
                <c:pt idx="110">
                  <c:v>39.821389563667907</c:v>
                </c:pt>
                <c:pt idx="111">
                  <c:v>40.089281750692244</c:v>
                </c:pt>
                <c:pt idx="112">
                  <c:v>40.35537453022264</c:v>
                </c:pt>
                <c:pt idx="113">
                  <c:v>40.619665841709057</c:v>
                </c:pt>
                <c:pt idx="114">
                  <c:v>40.882153645019741</c:v>
                </c:pt>
                <c:pt idx="115">
                  <c:v>41.142835920271452</c:v>
                </c:pt>
                <c:pt idx="116">
                  <c:v>41.401710667661412</c:v>
                </c:pt>
                <c:pt idx="117">
                  <c:v>41.658775907301084</c:v>
                </c:pt>
                <c:pt idx="118">
                  <c:v>41.914029679051666</c:v>
                </c:pt>
                <c:pt idx="119">
                  <c:v>42.167470042361252</c:v>
                </c:pt>
                <c:pt idx="120">
                  <c:v>42.419095076103801</c:v>
                </c:pt>
                <c:pt idx="121">
                  <c:v>42.668902878419686</c:v>
                </c:pt>
                <c:pt idx="122">
                  <c:v>42.916891566557972</c:v>
                </c:pt>
                <c:pt idx="123">
                  <c:v>43.163059276720325</c:v>
                </c:pt>
                <c:pt idx="124">
                  <c:v>43.407404163906556</c:v>
                </c:pt>
                <c:pt idx="125">
                  <c:v>43.649924401761751</c:v>
                </c:pt>
                <c:pt idx="126">
                  <c:v>43.890618182425058</c:v>
                </c:pt>
                <c:pt idx="127">
                  <c:v>44.129483716379973</c:v>
                </c:pt>
                <c:pt idx="128">
                  <c:v>44.366519232306239</c:v>
                </c:pt>
                <c:pt idx="129">
                  <c:v>44.60172297693331</c:v>
                </c:pt>
                <c:pt idx="130">
                  <c:v>44.835093214895281</c:v>
                </c:pt>
                <c:pt idx="131">
                  <c:v>45.066628228587383</c:v>
                </c:pt>
                <c:pt idx="132">
                  <c:v>45.296326318023951</c:v>
                </c:pt>
                <c:pt idx="133">
                  <c:v>45.524185800697865</c:v>
                </c:pt>
                <c:pt idx="134">
                  <c:v>45.750205011441501</c:v>
                </c:pt>
                <c:pt idx="135">
                  <c:v>45.974382302289072</c:v>
                </c:pt>
                <c:pt idx="136">
                  <c:v>46.196716042340441</c:v>
                </c:pt>
                <c:pt idx="137">
                  <c:v>46.417204617626361</c:v>
                </c:pt>
                <c:pt idx="138">
                  <c:v>46.635846430975086</c:v>
                </c:pt>
                <c:pt idx="139">
                  <c:v>46.852639901880387</c:v>
                </c:pt>
                <c:pt idx="140">
                  <c:v>47.067583466370962</c:v>
                </c:pt>
                <c:pt idx="141">
                  <c:v>47.280675576881187</c:v>
                </c:pt>
                <c:pt idx="142">
                  <c:v>47.491914702123204</c:v>
                </c:pt>
                <c:pt idx="143">
                  <c:v>47.701299326960367</c:v>
                </c:pt>
                <c:pt idx="144">
                  <c:v>47.908827952282017</c:v>
                </c:pt>
                <c:pt idx="145">
                  <c:v>48.114499094879498</c:v>
                </c:pt>
                <c:pt idx="146">
                  <c:v>48.318311287323546</c:v>
                </c:pt>
                <c:pt idx="147">
                  <c:v>48.520263077842884</c:v>
                </c:pt>
                <c:pt idx="148">
                  <c:v>48.720353030204151</c:v>
                </c:pt>
                <c:pt idx="149">
                  <c:v>48.918579723593027</c:v>
                </c:pt>
                <c:pt idx="150">
                  <c:v>49.11494175249662</c:v>
                </c:pt>
                <c:pt idx="151">
                  <c:v>49.309437726587085</c:v>
                </c:pt>
                <c:pt idx="152">
                  <c:v>49.502066270606441</c:v>
                </c:pt>
                <c:pt idx="153">
                  <c:v>49.692826024252589</c:v>
                </c:pt>
                <c:pt idx="154">
                  <c:v>49.88171564206656</c:v>
                </c:pt>
                <c:pt idx="155">
                  <c:v>50.06873379332086</c:v>
                </c:pt>
                <c:pt idx="156">
                  <c:v>50.253879161909055</c:v>
                </c:pt>
                <c:pt idx="157">
                  <c:v>50.437150446236473</c:v>
                </c:pt>
                <c:pt idx="158">
                  <c:v>50.618546359112045</c:v>
                </c:pt>
                <c:pt idx="159">
                  <c:v>50.7980656276413</c:v>
                </c:pt>
                <c:pt idx="160">
                  <c:v>50.975706993120433</c:v>
                </c:pt>
                <c:pt idx="161">
                  <c:v>51.151469210931523</c:v>
                </c:pt>
                <c:pt idx="162">
                  <c:v>51.325351050438819</c:v>
                </c:pt>
                <c:pt idx="163">
                  <c:v>51.497351294886144</c:v>
                </c:pt>
                <c:pt idx="164">
                  <c:v>51.667468741295302</c:v>
                </c:pt>
                <c:pt idx="165">
                  <c:v>51.835702200365631</c:v>
                </c:pt>
                <c:pt idx="166">
                  <c:v>52.002050496374551</c:v>
                </c:pt>
                <c:pt idx="167">
                  <c:v>52.166512467079166</c:v>
                </c:pt>
                <c:pt idx="168">
                  <c:v>52.329086963618899</c:v>
                </c:pt>
                <c:pt idx="169">
                  <c:v>52.489772850419143</c:v>
                </c:pt>
                <c:pt idx="170">
                  <c:v>52.648569005095936</c:v>
                </c:pt>
                <c:pt idx="171">
                  <c:v>52.805474318361604</c:v>
                </c:pt>
                <c:pt idx="172">
                  <c:v>52.960487693931412</c:v>
                </c:pt>
                <c:pt idx="173">
                  <c:v>53.11360804843121</c:v>
                </c:pt>
                <c:pt idx="174">
                  <c:v>53.264834311306011</c:v>
                </c:pt>
                <c:pt idx="175">
                  <c:v>53.414165424729546</c:v>
                </c:pt>
                <c:pt idx="176">
                  <c:v>53.561600343514776</c:v>
                </c:pt>
                <c:pt idx="177">
                  <c:v>53.707138035025345</c:v>
                </c:pt>
                <c:pt idx="178">
                  <c:v>53.850777479087924</c:v>
                </c:pt>
                <c:pt idx="179">
                  <c:v>53.992517667905545</c:v>
                </c:pt>
                <c:pt idx="180">
                  <c:v>54.132357605971777</c:v>
                </c:pt>
                <c:pt idx="181">
                  <c:v>54.270296309985845</c:v>
                </c:pt>
                <c:pt idx="182">
                  <c:v>54.40633280876866</c:v>
                </c:pt>
                <c:pt idx="183">
                  <c:v>54.540466143179657</c:v>
                </c:pt>
                <c:pt idx="184">
                  <c:v>54.672695366034596</c:v>
                </c:pt>
                <c:pt idx="185">
                  <c:v>54.803019542024181</c:v>
                </c:pt>
                <c:pt idx="186">
                  <c:v>54.931437747633545</c:v>
                </c:pt>
                <c:pt idx="187">
                  <c:v>55.057949071062609</c:v>
                </c:pt>
                <c:pt idx="188">
                  <c:v>55.182552612147219</c:v>
                </c:pt>
                <c:pt idx="189">
                  <c:v>55.305247482281196</c:v>
                </c:pt>
                <c:pt idx="190">
                  <c:v>55.426032804339165</c:v>
                </c:pt>
                <c:pt idx="191">
                  <c:v>55.544907712600192</c:v>
                </c:pt>
                <c:pt idx="192">
                  <c:v>55.661871352672264</c:v>
                </c:pt>
                <c:pt idx="193">
                  <c:v>55.776922881417534</c:v>
                </c:pt>
                <c:pt idx="194">
                  <c:v>55.890061466878393</c:v>
                </c:pt>
                <c:pt idx="195">
                  <c:v>56.001286288204284</c:v>
                </c:pt>
                <c:pt idx="196">
                  <c:v>56.110596535579326</c:v>
                </c:pt>
                <c:pt idx="197">
                  <c:v>56.217991410150709</c:v>
                </c:pt>
                <c:pt idx="198">
                  <c:v>56.323470123957804</c:v>
                </c:pt>
                <c:pt idx="199">
                  <c:v>56.427031899862094</c:v>
                </c:pt>
                <c:pt idx="200">
                  <c:v>56.528675971477803</c:v>
                </c:pt>
                <c:pt idx="201">
                  <c:v>56.628401583103262</c:v>
                </c:pt>
                <c:pt idx="202">
                  <c:v>56.726207989653034</c:v>
                </c:pt>
                <c:pt idx="203">
                  <c:v>56.822094456590762</c:v>
                </c:pt>
                <c:pt idx="204">
                  <c:v>56.916060259862689</c:v>
                </c:pt>
                <c:pt idx="205">
                  <c:v>57.008104685831945</c:v>
                </c:pt>
                <c:pt idx="206">
                  <c:v>57.09822703121349</c:v>
                </c:pt>
                <c:pt idx="207">
                  <c:v>57.186426603009799</c:v>
                </c:pt>
                <c:pt idx="208">
                  <c:v>57.272702718447185</c:v>
                </c:pt>
                <c:pt idx="209">
                  <c:v>57.357054704912841</c:v>
                </c:pt>
                <c:pt idx="210">
                  <c:v>57.439481899892549</c:v>
                </c:pt>
                <c:pt idx="211">
                  <c:v>57.519983650909026</c:v>
                </c:pt>
                <c:pt idx="212">
                  <c:v>57.598559315460982</c:v>
                </c:pt>
                <c:pt idx="213">
                  <c:v>57.675208260962805</c:v>
                </c:pt>
                <c:pt idx="214">
                  <c:v>57.749929864684887</c:v>
                </c:pt>
                <c:pt idx="215">
                  <c:v>57.822723513694619</c:v>
                </c:pt>
                <c:pt idx="216">
                  <c:v>57.893588604797991</c:v>
                </c:pt>
                <c:pt idx="217">
                  <c:v>57.96252454448183</c:v>
                </c:pt>
                <c:pt idx="218">
                  <c:v>58.029530748856672</c:v>
                </c:pt>
                <c:pt idx="219">
                  <c:v>58.094606643600265</c:v>
                </c:pt>
                <c:pt idx="220">
                  <c:v>58.157751663901628</c:v>
                </c:pt>
                <c:pt idx="221">
                  <c:v>58.218965254405774</c:v>
                </c:pt>
                <c:pt idx="222">
                  <c:v>58.278246869158991</c:v>
                </c:pt>
                <c:pt idx="223">
                  <c:v>58.335595971554731</c:v>
                </c:pt>
                <c:pt idx="224">
                  <c:v>58.391012034280102</c:v>
                </c:pt>
                <c:pt idx="225">
                  <c:v>58.444494539262905</c:v>
                </c:pt>
                <c:pt idx="226">
                  <c:v>58.496042977619261</c:v>
                </c:pt>
                <c:pt idx="227">
                  <c:v>58.545656849601819</c:v>
                </c:pt>
                <c:pt idx="228">
                  <c:v>58.593335664548526</c:v>
                </c:pt>
                <c:pt idx="229">
                  <c:v>58.639078940831929</c:v>
                </c:pt>
                <c:pt idx="230">
                  <c:v>58.682886205809055</c:v>
                </c:pt>
                <c:pt idx="231">
                  <c:v>58.724756995771827</c:v>
                </c:pt>
                <c:pt idx="232">
                  <c:v>58.764690855898031</c:v>
                </c:pt>
                <c:pt idx="233">
                  <c:v>58.802687340202809</c:v>
                </c:pt>
                <c:pt idx="234">
                  <c:v>58.838746011490663</c:v>
                </c:pt>
                <c:pt idx="235">
                  <c:v>58.872866441308034</c:v>
                </c:pt>
                <c:pt idx="236">
                  <c:v>58.90504820989635</c:v>
                </c:pt>
                <c:pt idx="237">
                  <c:v>58.935290906145617</c:v>
                </c:pt>
                <c:pt idx="238">
                  <c:v>58.963594127548511</c:v>
                </c:pt>
                <c:pt idx="239">
                  <c:v>58.98995748015497</c:v>
                </c:pt>
                <c:pt idx="240">
                  <c:v>59.014380578527295</c:v>
                </c:pt>
                <c:pt idx="241">
                  <c:v>59.036863045695725</c:v>
                </c:pt>
                <c:pt idx="242">
                  <c:v>59.057404513114534</c:v>
                </c:pt>
                <c:pt idx="243">
                  <c:v>59.076004620618562</c:v>
                </c:pt>
                <c:pt idx="244">
                  <c:v>59.092663016380286</c:v>
                </c:pt>
                <c:pt idx="245">
                  <c:v>59.107379356867312</c:v>
                </c:pt>
                <c:pt idx="246">
                  <c:v>59.120153306800347</c:v>
                </c:pt>
                <c:pt idx="247">
                  <c:v>59.13098453911168</c:v>
                </c:pt>
                <c:pt idx="248">
                  <c:v>59.139872734904046</c:v>
                </c:pt>
                <c:pt idx="249">
                  <c:v>59.146817583410012</c:v>
                </c:pt>
                <c:pt idx="250">
                  <c:v>59.151818781951768</c:v>
                </c:pt>
                <c:pt idx="251">
                  <c:v>59.15487603590141</c:v>
                </c:pt>
                <c:pt idx="252">
                  <c:v>59.155989058641595</c:v>
                </c:pt>
                <c:pt idx="253">
                  <c:v>59.155157571526694</c:v>
                </c:pt>
                <c:pt idx="254">
                  <c:v>59.152381303844365</c:v>
                </c:pt>
                <c:pt idx="255">
                  <c:v>59.14765999277752</c:v>
                </c:pt>
                <c:pt idx="256">
                  <c:v>59.140993383366741</c:v>
                </c:pt>
                <c:pt idx="257">
                  <c:v>59.132381228473115</c:v>
                </c:pt>
                <c:pt idx="258">
                  <c:v>59.121823288741496</c:v>
                </c:pt>
                <c:pt idx="259">
                  <c:v>59.109319332564112</c:v>
                </c:pt>
                <c:pt idx="260">
                  <c:v>59.094869136044672</c:v>
                </c:pt>
                <c:pt idx="261">
                  <c:v>59.078472482962788</c:v>
                </c:pt>
                <c:pt idx="262">
                  <c:v>59.060129164738861</c:v>
                </c:pt>
                <c:pt idx="263">
                  <c:v>59.039838980399296</c:v>
                </c:pt>
                <c:pt idx="264">
                  <c:v>59.017601736542169</c:v>
                </c:pt>
                <c:pt idx="265">
                  <c:v>58.993417247303242</c:v>
                </c:pt>
                <c:pt idx="266">
                  <c:v>58.967285334322334</c:v>
                </c:pt>
                <c:pt idx="267">
                  <c:v>58.939205826710122</c:v>
                </c:pt>
                <c:pt idx="268">
                  <c:v>58.909178561015302</c:v>
                </c:pt>
                <c:pt idx="269">
                  <c:v>58.877203381192082</c:v>
                </c:pt>
                <c:pt idx="270">
                  <c:v>58.843280138568055</c:v>
                </c:pt>
                <c:pt idx="271">
                  <c:v>58.807408691812469</c:v>
                </c:pt>
                <c:pt idx="272">
                  <c:v>58.769588906904787</c:v>
                </c:pt>
                <c:pt idx="273">
                  <c:v>58.729820657103666</c:v>
                </c:pt>
                <c:pt idx="274">
                  <c:v>58.688103822916226</c:v>
                </c:pt>
                <c:pt idx="275">
                  <c:v>58.644438292067726</c:v>
                </c:pt>
                <c:pt idx="276">
                  <c:v>58.59882395947151</c:v>
                </c:pt>
                <c:pt idx="277">
                  <c:v>58.551260727199335</c:v>
                </c:pt>
                <c:pt idx="278">
                  <c:v>58.501748504452038</c:v>
                </c:pt>
                <c:pt idx="279">
                  <c:v>58.450287207530508</c:v>
                </c:pt>
                <c:pt idx="280">
                  <c:v>58.396876759806986</c:v>
                </c:pt>
                <c:pt idx="281">
                  <c:v>58.341517091696687</c:v>
                </c:pt>
                <c:pt idx="282">
                  <c:v>58.284208140629786</c:v>
                </c:pt>
                <c:pt idx="283">
                  <c:v>58.224949851023638</c:v>
                </c:pt>
                <c:pt idx="284">
                  <c:v>58.163742174255383</c:v>
                </c:pt>
                <c:pt idx="285">
                  <c:v>58.100585068634807</c:v>
                </c:pt>
                <c:pt idx="286">
                  <c:v>58.035478499377533</c:v>
                </c:pt>
                <c:pt idx="287">
                  <c:v>57.968422438578528</c:v>
                </c:pt>
                <c:pt idx="288">
                  <c:v>57.89941686518587</c:v>
                </c:pt>
                <c:pt idx="289">
                  <c:v>57.828461764974826</c:v>
                </c:pt>
                <c:pt idx="290">
                  <c:v>57.755557130522234</c:v>
                </c:pt>
                <c:pt idx="291">
                  <c:v>57.680702961181161</c:v>
                </c:pt>
                <c:pt idx="292">
                  <c:v>57.603899263055837</c:v>
                </c:pt>
                <c:pt idx="293">
                  <c:v>57.525146048976865</c:v>
                </c:pt>
                <c:pt idx="294">
                  <c:v>57.444443338476766</c:v>
                </c:pt>
                <c:pt idx="295">
                  <c:v>57.361791157765701</c:v>
                </c:pt>
                <c:pt idx="296">
                  <c:v>57.27718953970755</c:v>
                </c:pt>
                <c:pt idx="297">
                  <c:v>57.19063852379621</c:v>
                </c:pt>
                <c:pt idx="298">
                  <c:v>57.10213815613217</c:v>
                </c:pt>
                <c:pt idx="299">
                  <c:v>57.011688489399369</c:v>
                </c:pt>
                <c:pt idx="300">
                  <c:v>56.919289582842275</c:v>
                </c:pt>
                <c:pt idx="301">
                  <c:v>56.824941502243249</c:v>
                </c:pt>
                <c:pt idx="302">
                  <c:v>56.728644319900127</c:v>
                </c:pt>
                <c:pt idx="303">
                  <c:v>56.630398114604105</c:v>
                </c:pt>
                <c:pt idx="304">
                  <c:v>56.530202971617804</c:v>
                </c:pt>
                <c:pt idx="305">
                  <c:v>56.428058982653653</c:v>
                </c:pt>
                <c:pt idx="306">
                  <c:v>56.323966245852432</c:v>
                </c:pt>
                <c:pt idx="307">
                  <c:v>56.2179248657621</c:v>
                </c:pt>
                <c:pt idx="308">
                  <c:v>56.109934953316852</c:v>
                </c:pt>
                <c:pt idx="309">
                  <c:v>55.999996625816422</c:v>
                </c:pt>
                <c:pt idx="310">
                  <c:v>55.888110006905556</c:v>
                </c:pt>
                <c:pt idx="311">
                  <c:v>55.774275226553783</c:v>
                </c:pt>
                <c:pt idx="312">
                  <c:v>55.658492421035334</c:v>
                </c:pt>
                <c:pt idx="313">
                  <c:v>55.54076173290936</c:v>
                </c:pt>
                <c:pt idx="314">
                  <c:v>55.421083311000309</c:v>
                </c:pt>
                <c:pt idx="315">
                  <c:v>55.299457310378529</c:v>
                </c:pt>
                <c:pt idx="316">
                  <c:v>55.175883892341091</c:v>
                </c:pt>
                <c:pt idx="317">
                  <c:v>55.050363224392839</c:v>
                </c:pt>
                <c:pt idx="318">
                  <c:v>54.922895480227574</c:v>
                </c:pt>
                <c:pt idx="319">
                  <c:v>54.793480839709538</c:v>
                </c:pt>
                <c:pt idx="320">
                  <c:v>54.662119488855026</c:v>
                </c:pt>
                <c:pt idx="321">
                  <c:v>54.528811619814228</c:v>
                </c:pt>
                <c:pt idx="322">
                  <c:v>54.393557430853228</c:v>
                </c:pt>
                <c:pt idx="323">
                  <c:v>54.256357126336269</c:v>
                </c:pt>
                <c:pt idx="324">
                  <c:v>54.117210916708132</c:v>
                </c:pt>
                <c:pt idx="325">
                  <c:v>53.976119018476737</c:v>
                </c:pt>
                <c:pt idx="326">
                  <c:v>53.833081654195929</c:v>
                </c:pt>
                <c:pt idx="327">
                  <c:v>53.688099052448422</c:v>
                </c:pt>
                <c:pt idx="328">
                  <c:v>53.541171447828972</c:v>
                </c:pt>
                <c:pt idx="329">
                  <c:v>53.392299080927671</c:v>
                </c:pt>
                <c:pt idx="330">
                  <c:v>53.24148219831342</c:v>
                </c:pt>
                <c:pt idx="331">
                  <c:v>53.088721052517641</c:v>
                </c:pt>
                <c:pt idx="332">
                  <c:v>52.934015902018054</c:v>
                </c:pt>
                <c:pt idx="333">
                  <c:v>52.777367011222715</c:v>
                </c:pt>
                <c:pt idx="334">
                  <c:v>52.618774650454164</c:v>
                </c:pt>
                <c:pt idx="335">
                  <c:v>52.458239095933735</c:v>
                </c:pt>
                <c:pt idx="336">
                  <c:v>52.295760629766072</c:v>
                </c:pt>
                <c:pt idx="337">
                  <c:v>52.131339539923736</c:v>
                </c:pt>
                <c:pt idx="338">
                  <c:v>51.964976120232009</c:v>
                </c:pt>
                <c:pt idx="339">
                  <c:v>51.796670670353862</c:v>
                </c:pt>
                <c:pt idx="340">
                  <c:v>51.626423495775008</c:v>
                </c:pt>
                <c:pt idx="341">
                  <c:v>51.4542349077892</c:v>
                </c:pt>
                <c:pt idx="342">
                  <c:v>51.280105223483567</c:v>
                </c:pt>
                <c:pt idx="343">
                  <c:v>51.104034765724187</c:v>
                </c:pt>
                <c:pt idx="344">
                  <c:v>50.926023863141729</c:v>
                </c:pt>
                <c:pt idx="345">
                  <c:v>50.746072850117294</c:v>
                </c:pt>
                <c:pt idx="346">
                  <c:v>50.564182066768332</c:v>
                </c:pt>
                <c:pt idx="347">
                  <c:v>50.380351858934759</c:v>
                </c:pt>
                <c:pt idx="348">
                  <c:v>50.194582578165132</c:v>
                </c:pt>
                <c:pt idx="349">
                  <c:v>50.006874581703023</c:v>
                </c:pt>
                <c:pt idx="350">
                  <c:v>49.817228232473468</c:v>
                </c:pt>
                <c:pt idx="351">
                  <c:v>49.62564389906958</c:v>
                </c:pt>
                <c:pt idx="352">
                  <c:v>49.432121955739262</c:v>
                </c:pt>
                <c:pt idx="353">
                  <c:v>49.236662782372029</c:v>
                </c:pt>
                <c:pt idx="354">
                  <c:v>49.039266764486001</c:v>
                </c:pt>
                <c:pt idx="355">
                  <c:v>48.839934293214959</c:v>
                </c:pt>
                <c:pt idx="356">
                  <c:v>48.638665765295528</c:v>
                </c:pt>
                <c:pt idx="357">
                  <c:v>48.435461583054504</c:v>
                </c:pt>
                <c:pt idx="358">
                  <c:v>48.230322154396248</c:v>
                </c:pt>
                <c:pt idx="359">
                  <c:v>48.023247892790216</c:v>
                </c:pt>
                <c:pt idx="360">
                  <c:v>47.81423921725861</c:v>
                </c:pt>
                <c:pt idx="361">
                  <c:v>47.603296552364078</c:v>
                </c:pt>
                <c:pt idx="362">
                  <c:v>47.390420328197571</c:v>
                </c:pt>
                <c:pt idx="363">
                  <c:v>47.17561098036628</c:v>
                </c:pt>
                <c:pt idx="364">
                  <c:v>46.958868949981678</c:v>
                </c:pt>
                <c:pt idx="365">
                  <c:v>46.740194683647651</c:v>
                </c:pt>
                <c:pt idx="366">
                  <c:v>46.51958863344872</c:v>
                </c:pt>
                <c:pt idx="367">
                  <c:v>46.297051256938374</c:v>
                </c:pt>
                <c:pt idx="368">
                  <c:v>46.072583017127492</c:v>
                </c:pt>
                <c:pt idx="369">
                  <c:v>45.846184382472842</c:v>
                </c:pt>
                <c:pt idx="370">
                  <c:v>45.617855826865657</c:v>
                </c:pt>
                <c:pt idx="371">
                  <c:v>45.387597829620347</c:v>
                </c:pt>
                <c:pt idx="372">
                  <c:v>45.155410875463218</c:v>
                </c:pt>
                <c:pt idx="373">
                  <c:v>44.921295454521356</c:v>
                </c:pt>
                <c:pt idx="374">
                  <c:v>44.685252062311541</c:v>
                </c:pt>
                <c:pt idx="375">
                  <c:v>44.447281199729233</c:v>
                </c:pt>
                <c:pt idx="376">
                  <c:v>44.207383373037686</c:v>
                </c:pt>
                <c:pt idx="377">
                  <c:v>43.965559093857067</c:v>
                </c:pt>
                <c:pt idx="378">
                  <c:v>43.72180887915372</c:v>
                </c:pt>
                <c:pt idx="379">
                  <c:v>43.476133251229449</c:v>
                </c:pt>
                <c:pt idx="380">
                  <c:v>43.228532737710893</c:v>
                </c:pt>
                <c:pt idx="381">
                  <c:v>42.979007871538982</c:v>
                </c:pt>
                <c:pt idx="382">
                  <c:v>42.727559190958424</c:v>
                </c:pt>
                <c:pt idx="383">
                  <c:v>42.474187239507287</c:v>
                </c:pt>
                <c:pt idx="384">
                  <c:v>42.218892566006645</c:v>
                </c:pt>
                <c:pt idx="385">
                  <c:v>41.961675724550254</c:v>
                </c:pt>
                <c:pt idx="386">
                  <c:v>41.702537274494347</c:v>
                </c:pt>
                <c:pt idx="387">
                  <c:v>41.441477780447414</c:v>
                </c:pt>
                <c:pt idx="388">
                  <c:v>41.178497812260112</c:v>
                </c:pt>
                <c:pt idx="389">
                  <c:v>40.913597945015184</c:v>
                </c:pt>
                <c:pt idx="390">
                  <c:v>40.646778759017423</c:v>
                </c:pt>
                <c:pt idx="391">
                  <c:v>40.37804083978375</c:v>
                </c:pt>
                <c:pt idx="392">
                  <c:v>40.107384778033278</c:v>
                </c:pt>
                <c:pt idx="393">
                  <c:v>39.834811169677465</c:v>
                </c:pt>
                <c:pt idx="394">
                  <c:v>39.560320615810291</c:v>
                </c:pt>
                <c:pt idx="395">
                  <c:v>39.2839137226985</c:v>
                </c:pt>
                <c:pt idx="396">
                  <c:v>39.005591101771891</c:v>
                </c:pt>
                <c:pt idx="397">
                  <c:v>38.725353369613615</c:v>
                </c:pt>
                <c:pt idx="398">
                  <c:v>38.44320114795056</c:v>
                </c:pt>
                <c:pt idx="399">
                  <c:v>38.159135063643781</c:v>
                </c:pt>
                <c:pt idx="400">
                  <c:v>37.873155748678904</c:v>
                </c:pt>
                <c:pt idx="401">
                  <c:v>37.585263840156642</c:v>
                </c:pt>
                <c:pt idx="402">
                  <c:v>37.295459980283312</c:v>
                </c:pt>
                <c:pt idx="403">
                  <c:v>37.003744816361383</c:v>
                </c:pt>
                <c:pt idx="404">
                  <c:v>36.710119000780097</c:v>
                </c:pt>
                <c:pt idx="405">
                  <c:v>36.414583191006066</c:v>
                </c:pt>
                <c:pt idx="406">
                  <c:v>36.11713804957396</c:v>
                </c:pt>
                <c:pt idx="407">
                  <c:v>35.817784244077174</c:v>
                </c:pt>
                <c:pt idx="408">
                  <c:v>35.516522447158543</c:v>
                </c:pt>
                <c:pt idx="409">
                  <c:v>35.213353336501108</c:v>
                </c:pt>
                <c:pt idx="410">
                  <c:v>34.908277594818877</c:v>
                </c:pt>
                <c:pt idx="411">
                  <c:v>34.601295909847629</c:v>
                </c:pt>
                <c:pt idx="412">
                  <c:v>34.292408974335736</c:v>
                </c:pt>
                <c:pt idx="413">
                  <c:v>33.981617486034999</c:v>
                </c:pt>
                <c:pt idx="414">
                  <c:v>33.668922147691532</c:v>
                </c:pt>
                <c:pt idx="415">
                  <c:v>33.354323667036645</c:v>
                </c:pt>
                <c:pt idx="416">
                  <c:v>33.037822756777736</c:v>
                </c:pt>
                <c:pt idx="417">
                  <c:v>32.719420134589257</c:v>
                </c:pt>
                <c:pt idx="418">
                  <c:v>32.399116523103608</c:v>
                </c:pt>
                <c:pt idx="419">
                  <c:v>32.076912649902127</c:v>
                </c:pt>
                <c:pt idx="420">
                  <c:v>31.752809247506079</c:v>
                </c:pt>
                <c:pt idx="421">
                  <c:v>31.426807053367604</c:v>
                </c:pt>
                <c:pt idx="422">
                  <c:v>31.09890680986075</c:v>
                </c:pt>
                <c:pt idx="423">
                  <c:v>30.769109264272483</c:v>
                </c:pt>
                <c:pt idx="424">
                  <c:v>30.437415168793699</c:v>
                </c:pt>
                <c:pt idx="425">
                  <c:v>30.103825280510268</c:v>
                </c:pt>
                <c:pt idx="426">
                  <c:v>29.768340361394074</c:v>
                </c:pt>
                <c:pt idx="427">
                  <c:v>29.430961178294069</c:v>
                </c:pt>
                <c:pt idx="428">
                  <c:v>29.09168850292733</c:v>
                </c:pt>
                <c:pt idx="429">
                  <c:v>28.750523111870113</c:v>
                </c:pt>
                <c:pt idx="430">
                  <c:v>28.407465786548933</c:v>
                </c:pt>
                <c:pt idx="431">
                  <c:v>28.062517313231634</c:v>
                </c:pt>
                <c:pt idx="432">
                  <c:v>27.715678483018454</c:v>
                </c:pt>
                <c:pt idx="433">
                  <c:v>27.366950091833115</c:v>
                </c:pt>
                <c:pt idx="434">
                  <c:v>27.016332940413886</c:v>
                </c:pt>
                <c:pt idx="435">
                  <c:v>26.663827834304669</c:v>
                </c:pt>
                <c:pt idx="436">
                  <c:v>26.309435583846074</c:v>
                </c:pt>
                <c:pt idx="437">
                  <c:v>25.953157004166503</c:v>
                </c:pt>
                <c:pt idx="438">
                  <c:v>25.594992915173201</c:v>
                </c:pt>
                <c:pt idx="439">
                  <c:v>25.234944141543341</c:v>
                </c:pt>
                <c:pt idx="440">
                  <c:v>24.873011512715095</c:v>
                </c:pt>
                <c:pt idx="441">
                  <c:v>24.50919586287867</c:v>
                </c:pt>
                <c:pt idx="442">
                  <c:v>24.143498030967386</c:v>
                </c:pt>
                <c:pt idx="443">
                  <c:v>23.775918860648712</c:v>
                </c:pt>
                <c:pt idx="444">
                  <c:v>23.4064592003153</c:v>
                </c:pt>
                <c:pt idx="445">
                  <c:v>23.035119903076026</c:v>
                </c:pt>
                <c:pt idx="446">
                  <c:v>22.661901826747012</c:v>
                </c:pt>
                <c:pt idx="447">
                  <c:v>22.286805833842632</c:v>
                </c:pt>
                <c:pt idx="448">
                  <c:v>21.909832791566519</c:v>
                </c:pt>
                <c:pt idx="449">
                  <c:v>21.530983571802551</c:v>
                </c:pt>
                <c:pt idx="450">
                  <c:v>21.150259051105834</c:v>
                </c:pt>
                <c:pt idx="451">
                  <c:v>20.767660110693669</c:v>
                </c:pt>
                <c:pt idx="452">
                  <c:v>20.383187636436492</c:v>
                </c:pt>
                <c:pt idx="453">
                  <c:v>19.996842518848837</c:v>
                </c:pt>
                <c:pt idx="454">
                  <c:v>19.608625653080232</c:v>
                </c:pt>
                <c:pt idx="455">
                  <c:v>19.218537938906124</c:v>
                </c:pt>
                <c:pt idx="456">
                  <c:v>18.826580280718773</c:v>
                </c:pt>
                <c:pt idx="457">
                  <c:v>18.432753587518118</c:v>
                </c:pt>
                <c:pt idx="458">
                  <c:v>18.037058772902633</c:v>
                </c:pt>
                <c:pt idx="459">
                  <c:v>17.639496755060183</c:v>
                </c:pt>
                <c:pt idx="460">
                  <c:v>17.240068456758834</c:v>
                </c:pt>
                <c:pt idx="461">
                  <c:v>16.838774805337653</c:v>
                </c:pt>
                <c:pt idx="462">
                  <c:v>16.435616732697504</c:v>
                </c:pt>
                <c:pt idx="463">
                  <c:v>16.030595175291797</c:v>
                </c:pt>
                <c:pt idx="464">
                  <c:v>15.623711074117239</c:v>
                </c:pt>
                <c:pt idx="465">
                  <c:v>15.214965374704548</c:v>
                </c:pt>
                <c:pt idx="466">
                  <c:v>14.804359027109161</c:v>
                </c:pt>
                <c:pt idx="467">
                  <c:v>14.391892985901904</c:v>
                </c:pt>
                <c:pt idx="468">
                  <c:v>13.977568210159644</c:v>
                </c:pt>
                <c:pt idx="469">
                  <c:v>13.561385663455923</c:v>
                </c:pt>
                <c:pt idx="470">
                  <c:v>13.143346313851561</c:v>
                </c:pt>
                <c:pt idx="471">
                  <c:v>12.723451133885245</c:v>
                </c:pt>
                <c:pt idx="472">
                  <c:v>12.301701100564079</c:v>
                </c:pt>
                <c:pt idx="473">
                  <c:v>11.878097195354115</c:v>
                </c:pt>
                <c:pt idx="474">
                  <c:v>11.452640404170866</c:v>
                </c:pt>
                <c:pt idx="475">
                  <c:v>11.025331717369781</c:v>
                </c:pt>
                <c:pt idx="476">
                  <c:v>10.596172129736699</c:v>
                </c:pt>
                <c:pt idx="477">
                  <c:v>10.165162640478277</c:v>
                </c:pt>
                <c:pt idx="478">
                  <c:v>9.7323042532123889</c:v>
                </c:pt>
                <c:pt idx="479">
                  <c:v>9.2975979759584941</c:v>
                </c:pt>
                <c:pt idx="480">
                  <c:v>8.8610448211279866</c:v>
                </c:pt>
                <c:pt idx="481">
                  <c:v>8.4226458055145024</c:v>
                </c:pt>
                <c:pt idx="482">
                  <c:v>7.9824019502842098</c:v>
                </c:pt>
                <c:pt idx="483">
                  <c:v>7.5403142809660659</c:v>
                </c:pt>
                <c:pt idx="484">
                  <c:v>7.0963838274420423</c:v>
                </c:pt>
                <c:pt idx="485">
                  <c:v>6.6506116239373236</c:v>
                </c:pt>
                <c:pt idx="486">
                  <c:v>6.2029987090104726</c:v>
                </c:pt>
                <c:pt idx="487">
                  <c:v>5.7535461255435685</c:v>
                </c:pt>
                <c:pt idx="488">
                  <c:v>5.3022549207323113</c:v>
                </c:pt>
                <c:pt idx="489">
                  <c:v>4.849126146076097</c:v>
                </c:pt>
                <c:pt idx="490">
                  <c:v>4.3941608573680613</c:v>
                </c:pt>
                <c:pt idx="491">
                  <c:v>3.937360114685089</c:v>
                </c:pt>
                <c:pt idx="492">
                  <c:v>3.4787249823777957</c:v>
                </c:pt>
                <c:pt idx="493">
                  <c:v>3.0182565290604746</c:v>
                </c:pt>
                <c:pt idx="494">
                  <c:v>2.5559558276010117</c:v>
                </c:pt>
                <c:pt idx="495">
                  <c:v>2.0918239551107671</c:v>
                </c:pt>
                <c:pt idx="496">
                  <c:v>1.6258619929344253</c:v>
                </c:pt>
                <c:pt idx="497">
                  <c:v>1.1580710266398122</c:v>
                </c:pt>
                <c:pt idx="498">
                  <c:v>0.68845214600767701</c:v>
                </c:pt>
                <c:pt idx="499">
                  <c:v>0.21700644502144276</c:v>
                </c:pt>
                <c:pt idx="500">
                  <c:v>-0.25626497814307786</c:v>
                </c:pt>
                <c:pt idx="501">
                  <c:v>-0.73136102112800083</c:v>
                </c:pt>
                <c:pt idx="502">
                  <c:v>-1.208280577403722</c:v>
                </c:pt>
                <c:pt idx="503">
                  <c:v>-1.6870225362793032</c:v>
                </c:pt>
                <c:pt idx="504">
                  <c:v>-2.1675857829128939</c:v>
                </c:pt>
                <c:pt idx="505">
                  <c:v>-2.649969198322184</c:v>
                </c:pt>
                <c:pt idx="506">
                  <c:v>-3.1341716593948954</c:v>
                </c:pt>
                <c:pt idx="507">
                  <c:v>-3.6201920388993045</c:v>
                </c:pt>
                <c:pt idx="508">
                  <c:v>-4.1080292054948018</c:v>
                </c:pt>
                <c:pt idx="509">
                  <c:v>-4.5976820237424878</c:v>
                </c:pt>
                <c:pt idx="510">
                  <c:v>-5.0891493541158006</c:v>
                </c:pt>
                <c:pt idx="511">
                  <c:v>-5.5824300530111781</c:v>
                </c:pt>
                <c:pt idx="512">
                  <c:v>-6.0775229727587607</c:v>
                </c:pt>
                <c:pt idx="513">
                  <c:v>-6.5744269616331259</c:v>
                </c:pt>
                <c:pt idx="514">
                  <c:v>-7.073140863864058</c:v>
                </c:pt>
                <c:pt idx="515">
                  <c:v>-7.5736635196473534</c:v>
                </c:pt>
                <c:pt idx="516">
                  <c:v>-8.0759937651556637</c:v>
                </c:pt>
                <c:pt idx="517">
                  <c:v>-8.5801304325493692</c:v>
                </c:pt>
                <c:pt idx="518">
                  <c:v>-9.0860723499874965</c:v>
                </c:pt>
                <c:pt idx="519">
                  <c:v>-9.5938183416386611</c:v>
                </c:pt>
                <c:pt idx="520">
                  <c:v>-10.103367227692058</c:v>
                </c:pt>
                <c:pt idx="521">
                  <c:v>-10.614717824368471</c:v>
                </c:pt>
                <c:pt idx="522">
                  <c:v>-11.127868943931343</c:v>
                </c:pt>
                <c:pt idx="523">
                  <c:v>-11.642819394697852</c:v>
                </c:pt>
                <c:pt idx="524">
                  <c:v>-12.159567981050049</c:v>
                </c:pt>
                <c:pt idx="525">
                  <c:v>-12.678113503446015</c:v>
                </c:pt>
                <c:pt idx="526">
                  <c:v>-13.198454758431057</c:v>
                </c:pt>
                <c:pt idx="527">
                  <c:v>-13.720590538648949</c:v>
                </c:pt>
                <c:pt idx="528">
                  <c:v>-14.244519632853196</c:v>
                </c:pt>
                <c:pt idx="529">
                  <c:v>-14.770240825918341</c:v>
                </c:pt>
                <c:pt idx="530">
                  <c:v>-15.297752898851307</c:v>
                </c:pt>
                <c:pt idx="531">
                  <c:v>-15.82705462880277</c:v>
                </c:pt>
                <c:pt idx="532">
                  <c:v>-16.358144789078576</c:v>
                </c:pt>
                <c:pt idx="533">
                  <c:v>-16.89102214915118</c:v>
                </c:pt>
                <c:pt idx="534">
                  <c:v>-17.425685474671141</c:v>
                </c:pt>
                <c:pt idx="535">
                  <c:v>-17.962133527478628</c:v>
                </c:pt>
                <c:pt idx="536">
                  <c:v>-18.500365065614972</c:v>
                </c:pt>
                <c:pt idx="537">
                  <c:v>-19.040378843334267</c:v>
                </c:pt>
                <c:pt idx="538">
                  <c:v>-19.582173611114982</c:v>
                </c:pt>
                <c:pt idx="539">
                  <c:v>-20.125748115671623</c:v>
                </c:pt>
                <c:pt idx="540">
                  <c:v>-20.671101099966428</c:v>
                </c:pt>
                <c:pt idx="541">
                  <c:v>-21.218231303221089</c:v>
                </c:pt>
                <c:pt idx="542">
                  <c:v>-21.767137460928517</c:v>
                </c:pt>
                <c:pt idx="543">
                  <c:v>-22.317818304864641</c:v>
                </c:pt>
                <c:pt idx="544">
                  <c:v>-22.87027256310024</c:v>
                </c:pt>
                <c:pt idx="545">
                  <c:v>-23.424498960012802</c:v>
                </c:pt>
                <c:pt idx="546">
                  <c:v>-23.98049621629842</c:v>
                </c:pt>
                <c:pt idx="547">
                  <c:v>-24.538263048983744</c:v>
                </c:pt>
                <c:pt idx="548">
                  <c:v>-25.097798171437933</c:v>
                </c:pt>
                <c:pt idx="549">
                  <c:v>-25.659100293384657</c:v>
                </c:pt>
                <c:pt idx="550">
                  <c:v>-26.222168120914134</c:v>
                </c:pt>
                <c:pt idx="551">
                  <c:v>-26.787000356495195</c:v>
                </c:pt>
                <c:pt idx="552">
                  <c:v>-27.353595698987398</c:v>
                </c:pt>
                <c:pt idx="553">
                  <c:v>-27.921952843653141</c:v>
                </c:pt>
                <c:pt idx="554">
                  <c:v>-28.49207048216984</c:v>
                </c:pt>
                <c:pt idx="555">
                  <c:v>-29.063947302642134</c:v>
                </c:pt>
                <c:pt idx="556">
                  <c:v>-29.637581989614102</c:v>
                </c:pt>
                <c:pt idx="557">
                  <c:v>-30.212973224081544</c:v>
                </c:pt>
                <c:pt idx="558">
                  <c:v>-30.790119683504269</c:v>
                </c:pt>
                <c:pt idx="559">
                  <c:v>-31.36902004181842</c:v>
                </c:pt>
                <c:pt idx="560">
                  <c:v>-31.949672969448841</c:v>
                </c:pt>
                <c:pt idx="561">
                  <c:v>-32.532077133321465</c:v>
                </c:pt>
                <c:pt idx="562">
                  <c:v>-33.116231196875731</c:v>
                </c:pt>
                <c:pt idx="563">
                  <c:v>-33.702133820077051</c:v>
                </c:pt>
                <c:pt idx="564">
                  <c:v>-34.289783659429297</c:v>
                </c:pt>
                <c:pt idx="565">
                  <c:v>-34.879179367987291</c:v>
                </c:pt>
                <c:pt idx="566">
                  <c:v>-35.470319595369375</c:v>
                </c:pt>
                <c:pt idx="567">
                  <c:v>-36.063202987769991</c:v>
                </c:pt>
                <c:pt idx="568">
                  <c:v>-36.657828187972264</c:v>
                </c:pt>
                <c:pt idx="569">
                  <c:v>-37.254193835360645</c:v>
                </c:pt>
                <c:pt idx="570">
                  <c:v>-37.852298565933609</c:v>
                </c:pt>
                <c:pt idx="571">
                  <c:v>-38.452141012316289</c:v>
                </c:pt>
                <c:pt idx="572">
                  <c:v>-39.053719803773262</c:v>
                </c:pt>
                <c:pt idx="573">
                  <c:v>-39.657033566221259</c:v>
                </c:pt>
                <c:pt idx="574">
                  <c:v>-40.262080922241964</c:v>
                </c:pt>
                <c:pt idx="575">
                  <c:v>-40.868860491094829</c:v>
                </c:pt>
                <c:pt idx="576">
                  <c:v>-41.477370888729901</c:v>
                </c:pt>
                <c:pt idx="577">
                  <c:v>-42.087610727800673</c:v>
                </c:pt>
                <c:pt idx="578">
                  <c:v>-42.699578617677012</c:v>
                </c:pt>
                <c:pt idx="579">
                  <c:v>-43.31327316445806</c:v>
                </c:pt>
                <c:pt idx="580">
                  <c:v>-43.928692970985168</c:v>
                </c:pt>
                <c:pt idx="581">
                  <c:v>-44.545836636854901</c:v>
                </c:pt>
                <c:pt idx="582">
                  <c:v>-45.164702758432014</c:v>
                </c:pt>
                <c:pt idx="583">
                  <c:v>-45.785289928862483</c:v>
                </c:pt>
                <c:pt idx="584">
                  <c:v>-46.407596738086568</c:v>
                </c:pt>
                <c:pt idx="585">
                  <c:v>-47.031621772851885</c:v>
                </c:pt>
                <c:pt idx="586">
                  <c:v>-47.657363616726492</c:v>
                </c:pt>
                <c:pt idx="587">
                  <c:v>-48.284820850112048</c:v>
                </c:pt>
                <c:pt idx="588">
                  <c:v>-48.913992050256958</c:v>
                </c:pt>
                <c:pt idx="589">
                  <c:v>-49.544875791269526</c:v>
                </c:pt>
                <c:pt idx="590">
                  <c:v>-50.177470644131191</c:v>
                </c:pt>
                <c:pt idx="591">
                  <c:v>-50.811775176709723</c:v>
                </c:pt>
                <c:pt idx="592">
                  <c:v>-51.447787953772504</c:v>
                </c:pt>
                <c:pt idx="593">
                  <c:v>-52.085507536999778</c:v>
                </c:pt>
                <c:pt idx="594">
                  <c:v>-52.72493248499795</c:v>
                </c:pt>
                <c:pt idx="595">
                  <c:v>-53.366061353312908</c:v>
                </c:pt>
                <c:pt idx="596">
                  <c:v>-54.008892694443368</c:v>
                </c:pt>
                <c:pt idx="597">
                  <c:v>-54.653425057854228</c:v>
                </c:pt>
                <c:pt idx="598">
                  <c:v>-55.299656989989963</c:v>
                </c:pt>
                <c:pt idx="599">
                  <c:v>-55.947587034288013</c:v>
                </c:pt>
                <c:pt idx="600">
                  <c:v>-56.597213731192241</c:v>
                </c:pt>
                <c:pt idx="601">
                  <c:v>-57.248535618166351</c:v>
                </c:pt>
                <c:pt idx="602">
                  <c:v>-57.901551229707373</c:v>
                </c:pt>
                <c:pt idx="603">
                  <c:v>-58.556259097359153</c:v>
                </c:pt>
                <c:pt idx="604">
                  <c:v>-59.212657749725864</c:v>
                </c:pt>
                <c:pt idx="605">
                  <c:v>-59.870745712485515</c:v>
                </c:pt>
                <c:pt idx="606">
                  <c:v>-60.530521508403531</c:v>
                </c:pt>
                <c:pt idx="607">
                  <c:v>-61.191983657346292</c:v>
                </c:pt>
                <c:pt idx="608">
                  <c:v>-61.855130676294735</c:v>
                </c:pt>
                <c:pt idx="609">
                  <c:v>-62.519961079357948</c:v>
                </c:pt>
                <c:pt idx="610">
                  <c:v>-63.186473377786811</c:v>
                </c:pt>
                <c:pt idx="611">
                  <c:v>-63.854666079987609</c:v>
                </c:pt>
                <c:pt idx="612">
                  <c:v>-64.524537691535713</c:v>
                </c:pt>
                <c:pt idx="613">
                  <c:v>-65.196086715189239</c:v>
                </c:pt>
                <c:pt idx="614">
                  <c:v>-65.869311650902745</c:v>
                </c:pt>
                <c:pt idx="615">
                  <c:v>-66.544210995840956</c:v>
                </c:pt>
                <c:pt idx="616">
                  <c:v>-67.22078324439245</c:v>
                </c:pt>
                <c:pt idx="617">
                  <c:v>-67.899026888183428</c:v>
                </c:pt>
                <c:pt idx="618">
                  <c:v>-68.57894041609147</c:v>
                </c:pt>
                <c:pt idx="619">
                  <c:v>-69.260522314259291</c:v>
                </c:pt>
                <c:pt idx="620">
                  <c:v>-69.943771066108511</c:v>
                </c:pt>
                <c:pt idx="621">
                  <c:v>-70.628685152353512</c:v>
                </c:pt>
                <c:pt idx="622">
                  <c:v>-71.315263051015179</c:v>
                </c:pt>
                <c:pt idx="623">
                  <c:v>-72.003503237434785</c:v>
                </c:pt>
                <c:pt idx="624">
                  <c:v>-72.693404184287786</c:v>
                </c:pt>
                <c:pt idx="625">
                  <c:v>-73.384964361597739</c:v>
                </c:pt>
                <c:pt idx="626">
                  <c:v>-74.078182236750081</c:v>
                </c:pt>
                <c:pt idx="627">
                  <c:v>-74.773056274506089</c:v>
                </c:pt>
                <c:pt idx="628">
                  <c:v>-75.469584937016748</c:v>
                </c:pt>
                <c:pt idx="629">
                  <c:v>-76.167766683836604</c:v>
                </c:pt>
                <c:pt idx="630">
                  <c:v>-76.867599971937764</c:v>
                </c:pt>
                <c:pt idx="631">
                  <c:v>-77.569083255723768</c:v>
                </c:pt>
                <c:pt idx="632">
                  <c:v>-78.272214987043512</c:v>
                </c:pt>
                <c:pt idx="633">
                  <c:v>-78.976993615205245</c:v>
                </c:pt>
                <c:pt idx="634">
                  <c:v>-79.683417586990501</c:v>
                </c:pt>
                <c:pt idx="635">
                  <c:v>-80.391485346668077</c:v>
                </c:pt>
                <c:pt idx="636">
                  <c:v>-81.10119533600799</c:v>
                </c:pt>
                <c:pt idx="637">
                  <c:v>-81.812545994295476</c:v>
                </c:pt>
                <c:pt idx="638">
                  <c:v>-82.525535758344986</c:v>
                </c:pt>
                <c:pt idx="639">
                  <c:v>-83.240163062514185</c:v>
                </c:pt>
                <c:pt idx="640">
                  <c:v>-83.956426338717989</c:v>
                </c:pt>
                <c:pt idx="641">
                  <c:v>-84.67432401644254</c:v>
                </c:pt>
                <c:pt idx="642">
                  <c:v>-85.39385452275927</c:v>
                </c:pt>
                <c:pt idx="643">
                  <c:v>-86.115016282338914</c:v>
                </c:pt>
                <c:pt idx="644">
                  <c:v>-86.83780771746558</c:v>
                </c:pt>
                <c:pt idx="645">
                  <c:v>-87.56222724805076</c:v>
                </c:pt>
                <c:pt idx="646">
                  <c:v>-88.288273291647414</c:v>
                </c:pt>
                <c:pt idx="647">
                  <c:v>-89.015944263464007</c:v>
                </c:pt>
                <c:pt idx="648">
                  <c:v>-89.745238576378611</c:v>
                </c:pt>
                <c:pt idx="649">
                  <c:v>-90.476154640952927</c:v>
                </c:pt>
                <c:pt idx="650">
                  <c:v>-91.208690865446414</c:v>
                </c:pt>
                <c:pt idx="651">
                  <c:v>-91.942845655830325</c:v>
                </c:pt>
                <c:pt idx="652">
                  <c:v>-92.67861741580181</c:v>
                </c:pt>
                <c:pt idx="653">
                  <c:v>-93.416004546798021</c:v>
                </c:pt>
                <c:pt idx="654">
                  <c:v>-94.155005448010158</c:v>
                </c:pt>
                <c:pt idx="655">
                  <c:v>-94.895618516397647</c:v>
                </c:pt>
                <c:pt idx="656">
                  <c:v>-95.637842146702155</c:v>
                </c:pt>
                <c:pt idx="657">
                  <c:v>-96.381674731461729</c:v>
                </c:pt>
                <c:pt idx="658">
                  <c:v>-97.127114661024919</c:v>
                </c:pt>
                <c:pt idx="659">
                  <c:v>-97.874160323564837</c:v>
                </c:pt>
                <c:pt idx="660">
                  <c:v>-98.622810105093322</c:v>
                </c:pt>
                <c:pt idx="661">
                  <c:v>-99.373062389474981</c:v>
                </c:pt>
                <c:pt idx="662">
                  <c:v>-100.12491555844137</c:v>
                </c:pt>
                <c:pt idx="663">
                  <c:v>-100.87836799160505</c:v>
                </c:pt>
                <c:pt idx="664">
                  <c:v>-101.63341806647374</c:v>
                </c:pt>
                <c:pt idx="665">
                  <c:v>-102.39006415846443</c:v>
                </c:pt>
                <c:pt idx="666">
                  <c:v>-103.14830464091742</c:v>
                </c:pt>
                <c:pt idx="667">
                  <c:v>-103.90813788511055</c:v>
                </c:pt>
                <c:pt idx="668">
                  <c:v>-104.6695622602732</c:v>
                </c:pt>
                <c:pt idx="669">
                  <c:v>-105.43257613360045</c:v>
                </c:pt>
                <c:pt idx="670">
                  <c:v>-106.19717787026723</c:v>
                </c:pt>
                <c:pt idx="671">
                  <c:v>-106.96336583344234</c:v>
                </c:pt>
                <c:pt idx="672">
                  <c:v>-107.7311383843026</c:v>
                </c:pt>
                <c:pt idx="673">
                  <c:v>-108.50049388204698</c:v>
                </c:pt>
                <c:pt idx="674">
                  <c:v>-109.27143068391064</c:v>
                </c:pt>
                <c:pt idx="675">
                  <c:v>-110.04394714517908</c:v>
                </c:pt>
                <c:pt idx="676">
                  <c:v>-110.81804161920219</c:v>
                </c:pt>
                <c:pt idx="677">
                  <c:v>-111.59371245740837</c:v>
                </c:pt>
                <c:pt idx="678">
                  <c:v>-112.37095800931861</c:v>
                </c:pt>
                <c:pt idx="679">
                  <c:v>-113.14977662256057</c:v>
                </c:pt>
                <c:pt idx="680">
                  <c:v>-113.93016664288265</c:v>
                </c:pt>
                <c:pt idx="681">
                  <c:v>-114.7121264141681</c:v>
                </c:pt>
                <c:pt idx="682">
                  <c:v>-115.49565427844902</c:v>
                </c:pt>
                <c:pt idx="683">
                  <c:v>-116.2807485759205</c:v>
                </c:pt>
                <c:pt idx="684">
                  <c:v>-117.0674076449546</c:v>
                </c:pt>
                <c:pt idx="685">
                  <c:v>-117.85562982211448</c:v>
                </c:pt>
                <c:pt idx="686">
                  <c:v>-118.64541344216839</c:v>
                </c:pt>
                <c:pt idx="687">
                  <c:v>-119.43675683810375</c:v>
                </c:pt>
                <c:pt idx="688">
                  <c:v>-120.22965834114115</c:v>
                </c:pt>
                <c:pt idx="689">
                  <c:v>-121.02411628074836</c:v>
                </c:pt>
                <c:pt idx="690">
                  <c:v>-121.82012898465439</c:v>
                </c:pt>
                <c:pt idx="691">
                  <c:v>-122.61769477886351</c:v>
                </c:pt>
                <c:pt idx="692">
                  <c:v>-123.41681198766921</c:v>
                </c:pt>
                <c:pt idx="693">
                  <c:v>-124.21747893366819</c:v>
                </c:pt>
                <c:pt idx="694">
                  <c:v>-125.01969393777441</c:v>
                </c:pt>
                <c:pt idx="695">
                  <c:v>-125.82345531923299</c:v>
                </c:pt>
                <c:pt idx="696">
                  <c:v>-126.62876139563426</c:v>
                </c:pt>
                <c:pt idx="697">
                  <c:v>-127.43561048292761</c:v>
                </c:pt>
                <c:pt idx="698">
                  <c:v>-128.24400089543559</c:v>
                </c:pt>
                <c:pt idx="699">
                  <c:v>-129.05393094586771</c:v>
                </c:pt>
                <c:pt idx="700">
                  <c:v>-129.86539894533442</c:v>
                </c:pt>
                <c:pt idx="701">
                  <c:v>-130.67840320336106</c:v>
                </c:pt>
                <c:pt idx="702">
                  <c:v>-131.49294202790176</c:v>
                </c:pt>
                <c:pt idx="703">
                  <c:v>-132.30901372535331</c:v>
                </c:pt>
                <c:pt idx="704">
                  <c:v>-133.12661660056906</c:v>
                </c:pt>
                <c:pt idx="705">
                  <c:v>-133.94574895687279</c:v>
                </c:pt>
                <c:pt idx="706">
                  <c:v>-134.76640909607261</c:v>
                </c:pt>
                <c:pt idx="707">
                  <c:v>-135.58859531847474</c:v>
                </c:pt>
                <c:pt idx="708">
                  <c:v>-136.41230592289745</c:v>
                </c:pt>
                <c:pt idx="709">
                  <c:v>-137.2375392066848</c:v>
                </c:pt>
                <c:pt idx="710">
                  <c:v>-138.06429346572054</c:v>
                </c:pt>
                <c:pt idx="711">
                  <c:v>-138.89256699444181</c:v>
                </c:pt>
                <c:pt idx="712">
                  <c:v>-139.72235808585302</c:v>
                </c:pt>
                <c:pt idx="713">
                  <c:v>-140.55366503153957</c:v>
                </c:pt>
                <c:pt idx="714">
                  <c:v>-141.38648612168166</c:v>
                </c:pt>
                <c:pt idx="715">
                  <c:v>-142.22081964506799</c:v>
                </c:pt>
                <c:pt idx="716">
                  <c:v>-143.05666388910953</c:v>
                </c:pt>
                <c:pt idx="717">
                  <c:v>-143.89401713985322</c:v>
                </c:pt>
                <c:pt idx="718">
                  <c:v>-144.73287768199572</c:v>
                </c:pt>
                <c:pt idx="719">
                  <c:v>-145.57324379889701</c:v>
                </c:pt>
                <c:pt idx="720">
                  <c:v>-146.41511377259417</c:v>
                </c:pt>
                <c:pt idx="721">
                  <c:v>-147.25848588381496</c:v>
                </c:pt>
                <c:pt idx="722">
                  <c:v>-148.10335841199154</c:v>
                </c:pt>
                <c:pt idx="723">
                  <c:v>-148.94972963527402</c:v>
                </c:pt>
                <c:pt idx="724">
                  <c:v>-149.79759783054411</c:v>
                </c:pt>
                <c:pt idx="725">
                  <c:v>-150.64696127342876</c:v>
                </c:pt>
                <c:pt idx="726">
                  <c:v>-151.49781823831367</c:v>
                </c:pt>
                <c:pt idx="727">
                  <c:v>-152.35016699835688</c:v>
                </c:pt>
                <c:pt idx="728">
                  <c:v>-153.20400582550235</c:v>
                </c:pt>
                <c:pt idx="729">
                  <c:v>-154.05933299049343</c:v>
                </c:pt>
                <c:pt idx="730">
                  <c:v>-154.91614676288646</c:v>
                </c:pt>
                <c:pt idx="731">
                  <c:v>-155.77444541106411</c:v>
                </c:pt>
                <c:pt idx="732">
                  <c:v>-156.63422720224909</c:v>
                </c:pt>
                <c:pt idx="733">
                  <c:v>-157.49549040251736</c:v>
                </c:pt>
                <c:pt idx="734">
                  <c:v>-158.35823327681177</c:v>
                </c:pt>
                <c:pt idx="735">
                  <c:v>-159.22245408895537</c:v>
                </c:pt>
                <c:pt idx="736">
                  <c:v>-160.08815110166483</c:v>
                </c:pt>
                <c:pt idx="737">
                  <c:v>-160.9553225765639</c:v>
                </c:pt>
                <c:pt idx="738">
                  <c:v>-161.82396677419663</c:v>
                </c:pt>
                <c:pt idx="739">
                  <c:v>-162.69408195404088</c:v>
                </c:pt>
                <c:pt idx="740">
                  <c:v>-163.56566637452156</c:v>
                </c:pt>
                <c:pt idx="741">
                  <c:v>-164.43871829302392</c:v>
                </c:pt>
                <c:pt idx="742">
                  <c:v>-165.31323596590693</c:v>
                </c:pt>
                <c:pt idx="743">
                  <c:v>-166.18921764851643</c:v>
                </c:pt>
                <c:pt idx="744">
                  <c:v>-167.06666159519847</c:v>
                </c:pt>
                <c:pt idx="745">
                  <c:v>-167.94556605931248</c:v>
                </c:pt>
                <c:pt idx="746">
                  <c:v>-168.82592929324454</c:v>
                </c:pt>
                <c:pt idx="747">
                  <c:v>-169.70774954842048</c:v>
                </c:pt>
                <c:pt idx="748">
                  <c:v>-170.59102507531912</c:v>
                </c:pt>
                <c:pt idx="749">
                  <c:v>-171.47575412348536</c:v>
                </c:pt>
                <c:pt idx="750">
                  <c:v>-172.36193494154338</c:v>
                </c:pt>
                <c:pt idx="751">
                  <c:v>-173.24956577720965</c:v>
                </c:pt>
                <c:pt idx="752">
                  <c:v>-174.13864487730606</c:v>
                </c:pt>
                <c:pt idx="753">
                  <c:v>-175.02917048777292</c:v>
                </c:pt>
                <c:pt idx="754">
                  <c:v>-175.92114085368212</c:v>
                </c:pt>
                <c:pt idx="755">
                  <c:v>-176.81455421925003</c:v>
                </c:pt>
                <c:pt idx="756">
                  <c:v>-177.70940882785047</c:v>
                </c:pt>
                <c:pt idx="757">
                  <c:v>-178.60570292202777</c:v>
                </c:pt>
                <c:pt idx="758">
                  <c:v>-179.50343474350973</c:v>
                </c:pt>
                <c:pt idx="759">
                  <c:v>-180.40260253322037</c:v>
                </c:pt>
                <c:pt idx="760">
                  <c:v>-181.30320453129301</c:v>
                </c:pt>
                <c:pt idx="761">
                  <c:v>-182.2052389770831</c:v>
                </c:pt>
                <c:pt idx="762">
                  <c:v>-183.10870410918102</c:v>
                </c:pt>
                <c:pt idx="763">
                  <c:v>-184.01359816542492</c:v>
                </c:pt>
                <c:pt idx="764">
                  <c:v>-184.91991938291358</c:v>
                </c:pt>
                <c:pt idx="765">
                  <c:v>-185.82766599801909</c:v>
                </c:pt>
                <c:pt idx="766">
                  <c:v>-186.73683624639972</c:v>
                </c:pt>
                <c:pt idx="767">
                  <c:v>-187.64742836301258</c:v>
                </c:pt>
                <c:pt idx="768">
                  <c:v>-188.55944058212634</c:v>
                </c:pt>
                <c:pt idx="769">
                  <c:v>-189.47287113733393</c:v>
                </c:pt>
                <c:pt idx="770">
                  <c:v>-190.38771826156514</c:v>
                </c:pt>
                <c:pt idx="771">
                  <c:v>-191.30398018709937</c:v>
                </c:pt>
                <c:pt idx="772">
                  <c:v>-192.2216551455781</c:v>
                </c:pt>
                <c:pt idx="773">
                  <c:v>-193.1407413680175</c:v>
                </c:pt>
                <c:pt idx="774">
                  <c:v>-194.0612370848211</c:v>
                </c:pt>
                <c:pt idx="775">
                  <c:v>-194.98314052579221</c:v>
                </c:pt>
                <c:pt idx="776">
                  <c:v>-195.90644992014643</c:v>
                </c:pt>
                <c:pt idx="777">
                  <c:v>-196.83116349652417</c:v>
                </c:pt>
                <c:pt idx="778">
                  <c:v>-197.75727948300309</c:v>
                </c:pt>
                <c:pt idx="779">
                  <c:v>-198.68479610711051</c:v>
                </c:pt>
                <c:pt idx="780">
                  <c:v>-199.61371159583581</c:v>
                </c:pt>
                <c:pt idx="781">
                  <c:v>-200.54402417564285</c:v>
                </c:pt>
                <c:pt idx="782">
                  <c:v>-201.47573207248226</c:v>
                </c:pt>
                <c:pt idx="783">
                  <c:v>-202.40883351180378</c:v>
                </c:pt>
                <c:pt idx="784">
                  <c:v>-203.34332671856856</c:v>
                </c:pt>
                <c:pt idx="785">
                  <c:v>-204.27920991726145</c:v>
                </c:pt>
                <c:pt idx="786">
                  <c:v>-205.21648133190317</c:v>
                </c:pt>
                <c:pt idx="787">
                  <c:v>-206.1551391860626</c:v>
                </c:pt>
                <c:pt idx="788">
                  <c:v>-207.09518170286887</c:v>
                </c:pt>
                <c:pt idx="789">
                  <c:v>-208.03660710502368</c:v>
                </c:pt>
                <c:pt idx="790">
                  <c:v>-208.97941361481324</c:v>
                </c:pt>
                <c:pt idx="791">
                  <c:v>-209.92359945412045</c:v>
                </c:pt>
                <c:pt idx="792">
                  <c:v>-210.86916284443706</c:v>
                </c:pt>
                <c:pt idx="793">
                  <c:v>-211.81610200687558</c:v>
                </c:pt>
                <c:pt idx="794">
                  <c:v>-212.76441516218139</c:v>
                </c:pt>
                <c:pt idx="795">
                  <c:v>-213.71410053074467</c:v>
                </c:pt>
                <c:pt idx="796">
                  <c:v>-214.66515633261236</c:v>
                </c:pt>
                <c:pt idx="797">
                  <c:v>-215.61758078750017</c:v>
                </c:pt>
                <c:pt idx="798">
                  <c:v>-216.5713721148044</c:v>
                </c:pt>
                <c:pt idx="799">
                  <c:v>-217.52652853361388</c:v>
                </c:pt>
                <c:pt idx="800">
                  <c:v>-218.48304826272175</c:v>
                </c:pt>
                <c:pt idx="801">
                  <c:v>-219.44092952063733</c:v>
                </c:pt>
                <c:pt idx="802">
                  <c:v>-220.40017052559787</c:v>
                </c:pt>
                <c:pt idx="803">
                  <c:v>-221.36076949558037</c:v>
                </c:pt>
                <c:pt idx="804">
                  <c:v>-222.3227246483132</c:v>
                </c:pt>
                <c:pt idx="805">
                  <c:v>-223.28603420128795</c:v>
                </c:pt>
                <c:pt idx="806">
                  <c:v>-224.25069637177097</c:v>
                </c:pt>
                <c:pt idx="807">
                  <c:v>-225.21670937681506</c:v>
                </c:pt>
                <c:pt idx="808">
                  <c:v>-226.18407143327113</c:v>
                </c:pt>
                <c:pt idx="809">
                  <c:v>-227.15278075779966</c:v>
                </c:pt>
                <c:pt idx="810">
                  <c:v>-228.12283556688243</c:v>
                </c:pt>
                <c:pt idx="811">
                  <c:v>-229.09423407683386</c:v>
                </c:pt>
                <c:pt idx="812">
                  <c:v>-230.06697450381256</c:v>
                </c:pt>
                <c:pt idx="813">
                  <c:v>-231.04105506383291</c:v>
                </c:pt>
                <c:pt idx="814">
                  <c:v>-232.01647397277634</c:v>
                </c:pt>
                <c:pt idx="815">
                  <c:v>-232.99322944640275</c:v>
                </c:pt>
                <c:pt idx="816">
                  <c:v>-233.97131970036202</c:v>
                </c:pt>
                <c:pt idx="817">
                  <c:v>-234.95074295020515</c:v>
                </c:pt>
                <c:pt idx="818">
                  <c:v>-235.9314974113957</c:v>
                </c:pt>
                <c:pt idx="819">
                  <c:v>-236.91358129932104</c:v>
                </c:pt>
                <c:pt idx="820">
                  <c:v>-237.8969928293036</c:v>
                </c:pt>
                <c:pt idx="821">
                  <c:v>-238.88173021661208</c:v>
                </c:pt>
                <c:pt idx="822">
                  <c:v>-239.86779167647265</c:v>
                </c:pt>
                <c:pt idx="823">
                  <c:v>-240.85517542408004</c:v>
                </c:pt>
                <c:pt idx="824">
                  <c:v>-241.84387967460881</c:v>
                </c:pt>
                <c:pt idx="825">
                  <c:v>-242.83390264322426</c:v>
                </c:pt>
                <c:pt idx="826">
                  <c:v>-243.82524254509363</c:v>
                </c:pt>
                <c:pt idx="827">
                  <c:v>-244.81789759539708</c:v>
                </c:pt>
                <c:pt idx="828">
                  <c:v>-245.81186600933867</c:v>
                </c:pt>
                <c:pt idx="829">
                  <c:v>-246.8071460021574</c:v>
                </c:pt>
                <c:pt idx="830">
                  <c:v>-247.80373578913802</c:v>
                </c:pt>
                <c:pt idx="831">
                  <c:v>-248.80163358562203</c:v>
                </c:pt>
                <c:pt idx="832">
                  <c:v>-249.80083760701859</c:v>
                </c:pt>
                <c:pt idx="833">
                  <c:v>-250.80134606881526</c:v>
                </c:pt>
                <c:pt idx="834">
                  <c:v>-251.80315718658883</c:v>
                </c:pt>
                <c:pt idx="835">
                  <c:v>-252.80626917601614</c:v>
                </c:pt>
                <c:pt idx="836">
                  <c:v>-253.81068025288482</c:v>
                </c:pt>
                <c:pt idx="837">
                  <c:v>-254.81638863310397</c:v>
                </c:pt>
                <c:pt idx="838">
                  <c:v>-255.82339253271482</c:v>
                </c:pt>
                <c:pt idx="839">
                  <c:v>-256.83169016790146</c:v>
                </c:pt>
                <c:pt idx="840">
                  <c:v>-257.84127975500138</c:v>
                </c:pt>
                <c:pt idx="841">
                  <c:v>-258.85215951051617</c:v>
                </c:pt>
                <c:pt idx="842">
                  <c:v>-259.86432765112187</c:v>
                </c:pt>
                <c:pt idx="843">
                  <c:v>-260.87778239367969</c:v>
                </c:pt>
                <c:pt idx="844">
                  <c:v>-261.89252195524637</c:v>
                </c:pt>
                <c:pt idx="845">
                  <c:v>-262.90854455308465</c:v>
                </c:pt>
                <c:pt idx="846">
                  <c:v>-263.92584840467384</c:v>
                </c:pt>
                <c:pt idx="847">
                  <c:v>-264.94443172771992</c:v>
                </c:pt>
                <c:pt idx="848">
                  <c:v>-265.96429274016617</c:v>
                </c:pt>
                <c:pt idx="849">
                  <c:v>-266.98542966020335</c:v>
                </c:pt>
                <c:pt idx="850">
                  <c:v>-268.00784070628004</c:v>
                </c:pt>
                <c:pt idx="851">
                  <c:v>-269.03152409711288</c:v>
                </c:pt>
                <c:pt idx="852">
                  <c:v>-270.0564780516969</c:v>
                </c:pt>
                <c:pt idx="853">
                  <c:v>-271.08270078931542</c:v>
                </c:pt>
                <c:pt idx="854">
                  <c:v>-272.11019052955055</c:v>
                </c:pt>
                <c:pt idx="855">
                  <c:v>-273.13894549229309</c:v>
                </c:pt>
                <c:pt idx="856">
                  <c:v>-274.1689638977528</c:v>
                </c:pt>
                <c:pt idx="857">
                  <c:v>-275.20024396646829</c:v>
                </c:pt>
                <c:pt idx="858">
                  <c:v>-276.23278391931706</c:v>
                </c:pt>
                <c:pt idx="859">
                  <c:v>-277.26658197752568</c:v>
                </c:pt>
                <c:pt idx="860">
                  <c:v>-278.30163636267957</c:v>
                </c:pt>
                <c:pt idx="861">
                  <c:v>-279.33794529673293</c:v>
                </c:pt>
                <c:pt idx="862">
                  <c:v>-280.37550700201876</c:v>
                </c:pt>
                <c:pt idx="863">
                  <c:v>-281.41431970125859</c:v>
                </c:pt>
                <c:pt idx="864">
                  <c:v>-282.45438161757244</c:v>
                </c:pt>
                <c:pt idx="865">
                  <c:v>-283.49569097448841</c:v>
                </c:pt>
                <c:pt idx="866">
                  <c:v>-284.53824599595271</c:v>
                </c:pt>
                <c:pt idx="867">
                  <c:v>-285.58204490633909</c:v>
                </c:pt>
                <c:pt idx="868">
                  <c:v>-286.6270859304588</c:v>
                </c:pt>
                <c:pt idx="869">
                  <c:v>-287.6733672935701</c:v>
                </c:pt>
                <c:pt idx="870">
                  <c:v>-288.72088722138795</c:v>
                </c:pt>
                <c:pt idx="871">
                  <c:v>-289.76964394009354</c:v>
                </c:pt>
                <c:pt idx="872">
                  <c:v>-290.81963567634392</c:v>
                </c:pt>
                <c:pt idx="873">
                  <c:v>-291.87086065728147</c:v>
                </c:pt>
                <c:pt idx="874">
                  <c:v>-292.92331711054334</c:v>
                </c:pt>
                <c:pt idx="875">
                  <c:v>-293.97700326427116</c:v>
                </c:pt>
                <c:pt idx="876">
                  <c:v>-295.0319173471201</c:v>
                </c:pt>
                <c:pt idx="877">
                  <c:v>-296.0880575882685</c:v>
                </c:pt>
                <c:pt idx="878">
                  <c:v>-297.14542221742727</c:v>
                </c:pt>
                <c:pt idx="879">
                  <c:v>-298.20400946484898</c:v>
                </c:pt>
                <c:pt idx="880">
                  <c:v>-299.26381756133736</c:v>
                </c:pt>
                <c:pt idx="881">
                  <c:v>-300.32484473825644</c:v>
                </c:pt>
                <c:pt idx="882">
                  <c:v>-301.38708922753989</c:v>
                </c:pt>
                <c:pt idx="883">
                  <c:v>-302.45054926170002</c:v>
                </c:pt>
                <c:pt idx="884">
                  <c:v>-303.51522307383715</c:v>
                </c:pt>
                <c:pt idx="885">
                  <c:v>-304.58110889764856</c:v>
                </c:pt>
                <c:pt idx="886">
                  <c:v>-305.64820496743761</c:v>
                </c:pt>
                <c:pt idx="887">
                  <c:v>-306.7165095181229</c:v>
                </c:pt>
                <c:pt idx="888">
                  <c:v>-307.78602078524722</c:v>
                </c:pt>
                <c:pt idx="889">
                  <c:v>-308.85673700498648</c:v>
                </c:pt>
                <c:pt idx="890">
                  <c:v>-309.92865641415864</c:v>
                </c:pt>
                <c:pt idx="891">
                  <c:v>-311.00177725023281</c:v>
                </c:pt>
                <c:pt idx="892">
                  <c:v>-312.07609775133795</c:v>
                </c:pt>
                <c:pt idx="893">
                  <c:v>-313.15161615627181</c:v>
                </c:pt>
                <c:pt idx="894">
                  <c:v>-314.22833070450969</c:v>
                </c:pt>
                <c:pt idx="895">
                  <c:v>-315.30623963621332</c:v>
                </c:pt>
                <c:pt idx="896">
                  <c:v>-316.38534119223948</c:v>
                </c:pt>
                <c:pt idx="897">
                  <c:v>-317.46563361414871</c:v>
                </c:pt>
                <c:pt idx="898">
                  <c:v>-318.54711514421416</c:v>
                </c:pt>
                <c:pt idx="899">
                  <c:v>-319.62978402543007</c:v>
                </c:pt>
                <c:pt idx="900">
                  <c:v>-320.71363850152039</c:v>
                </c:pt>
                <c:pt idx="901">
                  <c:v>-321.79867681694748</c:v>
                </c:pt>
                <c:pt idx="902">
                  <c:v>-322.88489721692059</c:v>
                </c:pt>
                <c:pt idx="903">
                  <c:v>-323.97229794740423</c:v>
                </c:pt>
                <c:pt idx="904">
                  <c:v>-325.06087725512685</c:v>
                </c:pt>
                <c:pt idx="905">
                  <c:v>-326.15063338758921</c:v>
                </c:pt>
                <c:pt idx="906">
                  <c:v>-327.24156459307267</c:v>
                </c:pt>
                <c:pt idx="907">
                  <c:v>-328.33366912064776</c:v>
                </c:pt>
                <c:pt idx="908">
                  <c:v>-329.4269452201824</c:v>
                </c:pt>
                <c:pt idx="909">
                  <c:v>-330.52139114235024</c:v>
                </c:pt>
                <c:pt idx="910">
                  <c:v>-331.61700513863889</c:v>
                </c:pt>
                <c:pt idx="911">
                  <c:v>-332.71378546135821</c:v>
                </c:pt>
                <c:pt idx="912">
                  <c:v>-333.81173036364851</c:v>
                </c:pt>
                <c:pt idx="913">
                  <c:v>-334.91083809948856</c:v>
                </c:pt>
                <c:pt idx="914">
                  <c:v>-336.01110692370406</c:v>
                </c:pt>
                <c:pt idx="915">
                  <c:v>-337.11253509197542</c:v>
                </c:pt>
                <c:pt idx="916">
                  <c:v>-338.21512086084596</c:v>
                </c:pt>
                <c:pt idx="917">
                  <c:v>-339.31886248772997</c:v>
                </c:pt>
                <c:pt idx="918">
                  <c:v>-340.42375823092061</c:v>
                </c:pt>
                <c:pt idx="919">
                  <c:v>-341.529806349598</c:v>
                </c:pt>
                <c:pt idx="920">
                  <c:v>-342.63700510383705</c:v>
                </c:pt>
                <c:pt idx="921">
                  <c:v>-343.7453527546154</c:v>
                </c:pt>
                <c:pt idx="922">
                  <c:v>-344.85484756382124</c:v>
                </c:pt>
                <c:pt idx="923">
                  <c:v>-345.96548779426126</c:v>
                </c:pt>
                <c:pt idx="924">
                  <c:v>-347.07727170966837</c:v>
                </c:pt>
                <c:pt idx="925">
                  <c:v>-348.19019757470926</c:v>
                </c:pt>
                <c:pt idx="926">
                  <c:v>-349.30426365499255</c:v>
                </c:pt>
                <c:pt idx="927">
                  <c:v>-350.41946821707614</c:v>
                </c:pt>
                <c:pt idx="928">
                  <c:v>-351.53580952847506</c:v>
                </c:pt>
                <c:pt idx="929">
                  <c:v>-352.65328585766889</c:v>
                </c:pt>
                <c:pt idx="930">
                  <c:v>-353.77189547410961</c:v>
                </c:pt>
                <c:pt idx="931">
                  <c:v>-354.891636648229</c:v>
                </c:pt>
                <c:pt idx="932">
                  <c:v>-356.01250765144619</c:v>
                </c:pt>
                <c:pt idx="933">
                  <c:v>-357.13450675617514</c:v>
                </c:pt>
                <c:pt idx="934">
                  <c:v>-358.2576322358322</c:v>
                </c:pt>
                <c:pt idx="935">
                  <c:v>-359.38188236484336</c:v>
                </c:pt>
                <c:pt idx="936">
                  <c:v>-360.50725541865177</c:v>
                </c:pt>
                <c:pt idx="937">
                  <c:v>-361.63374967372505</c:v>
                </c:pt>
                <c:pt idx="938">
                  <c:v>-362.76136340756267</c:v>
                </c:pt>
                <c:pt idx="939">
                  <c:v>-363.89009489870318</c:v>
                </c:pt>
                <c:pt idx="940">
                  <c:v>-365.0199424267314</c:v>
                </c:pt>
                <c:pt idx="941">
                  <c:v>-366.1509042722858</c:v>
                </c:pt>
                <c:pt idx="942">
                  <c:v>-367.28297871706565</c:v>
                </c:pt>
                <c:pt idx="943">
                  <c:v>-368.41616404383808</c:v>
                </c:pt>
                <c:pt idx="944">
                  <c:v>-369.55045853644521</c:v>
                </c:pt>
                <c:pt idx="945">
                  <c:v>-370.68586047981142</c:v>
                </c:pt>
                <c:pt idx="946">
                  <c:v>-371.8223681599502</c:v>
                </c:pt>
                <c:pt idx="947">
                  <c:v>-372.95997986397123</c:v>
                </c:pt>
                <c:pt idx="948">
                  <c:v>-374.09869388008747</c:v>
                </c:pt>
                <c:pt idx="949">
                  <c:v>-375.23850849762204</c:v>
                </c:pt>
                <c:pt idx="950">
                  <c:v>-376.37942200701497</c:v>
                </c:pt>
                <c:pt idx="951">
                  <c:v>-377.52143269983048</c:v>
                </c:pt>
                <c:pt idx="952">
                  <c:v>-378.66453886876349</c:v>
                </c:pt>
                <c:pt idx="953">
                  <c:v>-379.80873880764653</c:v>
                </c:pt>
                <c:pt idx="954">
                  <c:v>-380.95403081145668</c:v>
                </c:pt>
                <c:pt idx="955">
                  <c:v>-382.10041317632209</c:v>
                </c:pt>
                <c:pt idx="956">
                  <c:v>-383.24788419952893</c:v>
                </c:pt>
                <c:pt idx="957">
                  <c:v>-384.39644217952798</c:v>
                </c:pt>
                <c:pt idx="958">
                  <c:v>-385.54608541594115</c:v>
                </c:pt>
                <c:pt idx="959">
                  <c:v>-386.69681220956841</c:v>
                </c:pt>
                <c:pt idx="960">
                  <c:v>-387.84862086239411</c:v>
                </c:pt>
                <c:pt idx="961">
                  <c:v>-389.00150967759373</c:v>
                </c:pt>
                <c:pt idx="962">
                  <c:v>-390.15547695954018</c:v>
                </c:pt>
                <c:pt idx="963">
                  <c:v>-391.31052101381056</c:v>
                </c:pt>
                <c:pt idx="964">
                  <c:v>-392.46664014719238</c:v>
                </c:pt>
                <c:pt idx="965">
                  <c:v>-393.62383266769024</c:v>
                </c:pt>
                <c:pt idx="966">
                  <c:v>-394.78209688453194</c:v>
                </c:pt>
                <c:pt idx="967">
                  <c:v>-395.9414311081751</c:v>
                </c:pt>
                <c:pt idx="968">
                  <c:v>-397.10183365031332</c:v>
                </c:pt>
                <c:pt idx="969">
                  <c:v>-398.26330282388255</c:v>
                </c:pt>
                <c:pt idx="970">
                  <c:v>-399.42583694306734</c:v>
                </c:pt>
                <c:pt idx="971">
                  <c:v>-400.58943432330699</c:v>
                </c:pt>
                <c:pt idx="972">
                  <c:v>-401.754093281302</c:v>
                </c:pt>
                <c:pt idx="973">
                  <c:v>-402.91981213501992</c:v>
                </c:pt>
                <c:pt idx="974">
                  <c:v>-404.08658920370175</c:v>
                </c:pt>
                <c:pt idx="975">
                  <c:v>-405.2544228078678</c:v>
                </c:pt>
                <c:pt idx="976">
                  <c:v>-406.42331126932396</c:v>
                </c:pt>
                <c:pt idx="977">
                  <c:v>-407.59325291116767</c:v>
                </c:pt>
                <c:pt idx="978">
                  <c:v>-408.76424605779397</c:v>
                </c:pt>
                <c:pt idx="979">
                  <c:v>-409.93628903490128</c:v>
                </c:pt>
                <c:pt idx="980">
                  <c:v>-411.10938016949757</c:v>
                </c:pt>
                <c:pt idx="981">
                  <c:v>-412.28351778990617</c:v>
                </c:pt>
                <c:pt idx="982">
                  <c:v>-413.45870022577174</c:v>
                </c:pt>
                <c:pt idx="983">
                  <c:v>-414.63492580806599</c:v>
                </c:pt>
                <c:pt idx="984">
                  <c:v>-415.81219286909345</c:v>
                </c:pt>
                <c:pt idx="985">
                  <c:v>-416.99049974249749</c:v>
                </c:pt>
                <c:pt idx="986">
                  <c:v>-418.16984476326587</c:v>
                </c:pt>
                <c:pt idx="987">
                  <c:v>-419.35022626773645</c:v>
                </c:pt>
                <c:pt idx="988">
                  <c:v>-420.53164259360301</c:v>
                </c:pt>
                <c:pt idx="989">
                  <c:v>-421.71409207992082</c:v>
                </c:pt>
                <c:pt idx="990">
                  <c:v>-422.89757306711226</c:v>
                </c:pt>
                <c:pt idx="991">
                  <c:v>-424.08208389697245</c:v>
                </c:pt>
                <c:pt idx="992">
                  <c:v>-425.26762291267477</c:v>
                </c:pt>
                <c:pt idx="993">
                  <c:v>-426.4541884587764</c:v>
                </c:pt>
                <c:pt idx="994">
                  <c:v>-427.6417788812239</c:v>
                </c:pt>
                <c:pt idx="995">
                  <c:v>-428.83039252735853</c:v>
                </c:pt>
                <c:pt idx="996">
                  <c:v>-430.02002774592171</c:v>
                </c:pt>
                <c:pt idx="997">
                  <c:v>-431.21068288706056</c:v>
                </c:pt>
                <c:pt idx="998">
                  <c:v>-432.40235630233315</c:v>
                </c:pt>
                <c:pt idx="999">
                  <c:v>-433.59504634471386</c:v>
                </c:pt>
                <c:pt idx="1000">
                  <c:v>-434.78875136859864</c:v>
                </c:pt>
                <c:pt idx="1001">
                  <c:v>-435.98346972981051</c:v>
                </c:pt>
                <c:pt idx="1002">
                  <c:v>-437.17919978560445</c:v>
                </c:pt>
                <c:pt idx="1003">
                  <c:v>-438.37593989467291</c:v>
                </c:pt>
                <c:pt idx="1004">
                  <c:v>-439.57368841715089</c:v>
                </c:pt>
                <c:pt idx="1005">
                  <c:v>-440.77244371462115</c:v>
                </c:pt>
                <c:pt idx="1006">
                  <c:v>-441.97220415011918</c:v>
                </c:pt>
                <c:pt idx="1007">
                  <c:v>-443.17296808813848</c:v>
                </c:pt>
                <c:pt idx="1008">
                  <c:v>-444.37473389463548</c:v>
                </c:pt>
                <c:pt idx="1009">
                  <c:v>-445.57749993703464</c:v>
                </c:pt>
                <c:pt idx="1010">
                  <c:v>-446.78126458423355</c:v>
                </c:pt>
                <c:pt idx="1011">
                  <c:v>-447.98602620660762</c:v>
                </c:pt>
                <c:pt idx="1012">
                  <c:v>-449.19178317601529</c:v>
                </c:pt>
                <c:pt idx="1013">
                  <c:v>-450.3985338658029</c:v>
                </c:pt>
                <c:pt idx="1014">
                  <c:v>-451.60627665080932</c:v>
                </c:pt>
                <c:pt idx="1015">
                  <c:v>-452.81500990737123</c:v>
                </c:pt>
                <c:pt idx="1016">
                  <c:v>-454.02473201332748</c:v>
                </c:pt>
                <c:pt idx="1017">
                  <c:v>-455.23544134802427</c:v>
                </c:pt>
                <c:pt idx="1018">
                  <c:v>-456.44713629231961</c:v>
                </c:pt>
                <c:pt idx="1019">
                  <c:v>-457.65981522858823</c:v>
                </c:pt>
                <c:pt idx="1020">
                  <c:v>-458.87347654072624</c:v>
                </c:pt>
                <c:pt idx="1021">
                  <c:v>-460.0881186141558</c:v>
                </c:pt>
                <c:pt idx="1022">
                  <c:v>-461.30373983582962</c:v>
                </c:pt>
                <c:pt idx="1023">
                  <c:v>-462.52033859423574</c:v>
                </c:pt>
                <c:pt idx="1024">
                  <c:v>-463.73791327940211</c:v>
                </c:pt>
                <c:pt idx="1025">
                  <c:v>-464.9564622829011</c:v>
                </c:pt>
                <c:pt idx="1026">
                  <c:v>-466.17598399785385</c:v>
                </c:pt>
                <c:pt idx="1027">
                  <c:v>-467.39647681893513</c:v>
                </c:pt>
                <c:pt idx="1028">
                  <c:v>-468.61793914237734</c:v>
                </c:pt>
                <c:pt idx="1029">
                  <c:v>-469.84036936597539</c:v>
                </c:pt>
                <c:pt idx="1030">
                  <c:v>-471.06376588909086</c:v>
                </c:pt>
                <c:pt idx="1031">
                  <c:v>-472.28812711265624</c:v>
                </c:pt>
                <c:pt idx="1032">
                  <c:v>-473.51345143917968</c:v>
                </c:pt>
                <c:pt idx="1033">
                  <c:v>-474.73973727274881</c:v>
                </c:pt>
                <c:pt idx="1034">
                  <c:v>-475.96698301903552</c:v>
                </c:pt>
                <c:pt idx="1035">
                  <c:v>-477.19518708529984</c:v>
                </c:pt>
                <c:pt idx="1036">
                  <c:v>-478.42434788039424</c:v>
                </c:pt>
                <c:pt idx="1037">
                  <c:v>-479.65446381476801</c:v>
                </c:pt>
                <c:pt idx="1038">
                  <c:v>-480.88553330047125</c:v>
                </c:pt>
                <c:pt idx="1039">
                  <c:v>-482.11755475115905</c:v>
                </c:pt>
                <c:pt idx="1040">
                  <c:v>-483.35052658209565</c:v>
                </c:pt>
                <c:pt idx="1041">
                  <c:v>-484.58444721015843</c:v>
                </c:pt>
                <c:pt idx="1042">
                  <c:v>-485.81931505384205</c:v>
                </c:pt>
                <c:pt idx="1043">
                  <c:v>-487.05512853326246</c:v>
                </c:pt>
                <c:pt idx="1044">
                  <c:v>-488.29188607016079</c:v>
                </c:pt>
                <c:pt idx="1045">
                  <c:v>-489.52958608790743</c:v>
                </c:pt>
                <c:pt idx="1046">
                  <c:v>-490.76822701150599</c:v>
                </c:pt>
                <c:pt idx="1047">
                  <c:v>-492.00780726759712</c:v>
                </c:pt>
                <c:pt idx="1048">
                  <c:v>-493.24832528446251</c:v>
                </c:pt>
                <c:pt idx="1049">
                  <c:v>-494.48977949202856</c:v>
                </c:pt>
                <c:pt idx="1050">
                  <c:v>-495.7321683218704</c:v>
                </c:pt>
                <c:pt idx="1051">
                  <c:v>-496.97549020721556</c:v>
                </c:pt>
                <c:pt idx="1052">
                  <c:v>-498.21974358294779</c:v>
                </c:pt>
                <c:pt idx="1053">
                  <c:v>-499.46492688561068</c:v>
                </c:pt>
                <c:pt idx="1054">
                  <c:v>-500.7110385534117</c:v>
                </c:pt>
                <c:pt idx="1055">
                  <c:v>-501.95807702622557</c:v>
                </c:pt>
                <c:pt idx="1056">
                  <c:v>-503.20604074559799</c:v>
                </c:pt>
                <c:pt idx="1057">
                  <c:v>-504.45492815474927</c:v>
                </c:pt>
                <c:pt idx="1058">
                  <c:v>-505.70473769857801</c:v>
                </c:pt>
                <c:pt idx="1059">
                  <c:v>-506.95546782366472</c:v>
                </c:pt>
                <c:pt idx="1060">
                  <c:v>-508.20711697827517</c:v>
                </c:pt>
                <c:pt idx="1061">
                  <c:v>-509.45968361236396</c:v>
                </c:pt>
                <c:pt idx="1062">
                  <c:v>-510.71316617757816</c:v>
                </c:pt>
                <c:pt idx="1063">
                  <c:v>-511.96756312726075</c:v>
                </c:pt>
                <c:pt idx="1064">
                  <c:v>-513.22287291645387</c:v>
                </c:pt>
                <c:pt idx="1065">
                  <c:v>-514.47909400190247</c:v>
                </c:pt>
                <c:pt idx="1066">
                  <c:v>-515.73622484205737</c:v>
                </c:pt>
                <c:pt idx="1067">
                  <c:v>-516.99426389707901</c:v>
                </c:pt>
                <c:pt idx="1068">
                  <c:v>-518.25320962884064</c:v>
                </c:pt>
                <c:pt idx="1069">
                  <c:v>-519.51306050093137</c:v>
                </c:pt>
                <c:pt idx="1070">
                  <c:v>-520.77381497865986</c:v>
                </c:pt>
                <c:pt idx="1071">
                  <c:v>-522.03547152905719</c:v>
                </c:pt>
                <c:pt idx="1072">
                  <c:v>-523.29802862088047</c:v>
                </c:pt>
                <c:pt idx="1073">
                  <c:v>-524.56148472461564</c:v>
                </c:pt>
                <c:pt idx="1074">
                  <c:v>-525.82583831248087</c:v>
                </c:pt>
                <c:pt idx="1075">
                  <c:v>-527.09108785842977</c:v>
                </c:pt>
                <c:pt idx="1076">
                  <c:v>-528.35723183815412</c:v>
                </c:pt>
                <c:pt idx="1077">
                  <c:v>-529.62426872908759</c:v>
                </c:pt>
                <c:pt idx="1078">
                  <c:v>-530.89219701040838</c:v>
                </c:pt>
                <c:pt idx="1079">
                  <c:v>-532.16101516304207</c:v>
                </c:pt>
                <c:pt idx="1080">
                  <c:v>-533.43072166966499</c:v>
                </c:pt>
                <c:pt idx="1081">
                  <c:v>-534.70131501470723</c:v>
                </c:pt>
                <c:pt idx="1082">
                  <c:v>-535.97279368435557</c:v>
                </c:pt>
                <c:pt idx="1083">
                  <c:v>-537.24515616655594</c:v>
                </c:pt>
                <c:pt idx="1084">
                  <c:v>-538.51840095101716</c:v>
                </c:pt>
                <c:pt idx="1085">
                  <c:v>-539.79252652921298</c:v>
                </c:pt>
                <c:pt idx="1086">
                  <c:v>-541.0675313943857</c:v>
                </c:pt>
                <c:pt idx="1087">
                  <c:v>-542.34341404154827</c:v>
                </c:pt>
                <c:pt idx="1088">
                  <c:v>-543.62017296748775</c:v>
                </c:pt>
                <c:pt idx="1089">
                  <c:v>-544.89780667076752</c:v>
                </c:pt>
                <c:pt idx="1090">
                  <c:v>-546.17631365173054</c:v>
                </c:pt>
                <c:pt idx="1091">
                  <c:v>-547.45569241250178</c:v>
                </c:pt>
                <c:pt idx="1092">
                  <c:v>-548.73594145699099</c:v>
                </c:pt>
                <c:pt idx="1093">
                  <c:v>-550.0170592908953</c:v>
                </c:pt>
                <c:pt idx="1094">
                  <c:v>-551.29904442170221</c:v>
                </c:pt>
                <c:pt idx="1095">
                  <c:v>-552.58189535869155</c:v>
                </c:pt>
                <c:pt idx="1096">
                  <c:v>-553.86561061293901</c:v>
                </c:pt>
                <c:pt idx="1097">
                  <c:v>-555.15018869731773</c:v>
                </c:pt>
                <c:pt idx="1098">
                  <c:v>-556.43562812650168</c:v>
                </c:pt>
                <c:pt idx="1099">
                  <c:v>-557.72192741696756</c:v>
                </c:pt>
                <c:pt idx="1100">
                  <c:v>-559.00908508699774</c:v>
                </c:pt>
                <c:pt idx="1101">
                  <c:v>-560.29709965668269</c:v>
                </c:pt>
                <c:pt idx="1102">
                  <c:v>-561.58596964792321</c:v>
                </c:pt>
                <c:pt idx="1103">
                  <c:v>-562.87569358443307</c:v>
                </c:pt>
                <c:pt idx="1104">
                  <c:v>-564.16626999174105</c:v>
                </c:pt>
                <c:pt idx="1105">
                  <c:v>-565.4576973971939</c:v>
                </c:pt>
                <c:pt idx="1106">
                  <c:v>-566.74997432995826</c:v>
                </c:pt>
                <c:pt idx="1107">
                  <c:v>-568.04309932102331</c:v>
                </c:pt>
                <c:pt idx="1108">
                  <c:v>-569.33707090320263</c:v>
                </c:pt>
                <c:pt idx="1109">
                  <c:v>-570.63188761113702</c:v>
                </c:pt>
                <c:pt idx="1110">
                  <c:v>-571.92754798129624</c:v>
                </c:pt>
                <c:pt idx="1111">
                  <c:v>-573.22405055198169</c:v>
                </c:pt>
                <c:pt idx="1112">
                  <c:v>-574.52139386332829</c:v>
                </c:pt>
                <c:pt idx="1113">
                  <c:v>-575.81957645730711</c:v>
                </c:pt>
                <c:pt idx="1114">
                  <c:v>-577.11859687772687</c:v>
                </c:pt>
                <c:pt idx="1115">
                  <c:v>-578.41845367023677</c:v>
                </c:pt>
                <c:pt idx="1116">
                  <c:v>-579.71914538232807</c:v>
                </c:pt>
                <c:pt idx="1117">
                  <c:v>-581.02067056333647</c:v>
                </c:pt>
                <c:pt idx="1118">
                  <c:v>-582.32302776444419</c:v>
                </c:pt>
                <c:pt idx="1119">
                  <c:v>-583.62621553868189</c:v>
                </c:pt>
                <c:pt idx="1120">
                  <c:v>-584.93023244093081</c:v>
                </c:pt>
                <c:pt idx="1121">
                  <c:v>-586.23507702792483</c:v>
                </c:pt>
                <c:pt idx="1122">
                  <c:v>-587.54074785825196</c:v>
                </c:pt>
                <c:pt idx="1123">
                  <c:v>-588.84724349235717</c:v>
                </c:pt>
                <c:pt idx="1124">
                  <c:v>-590.1545624925435</c:v>
                </c:pt>
                <c:pt idx="1125">
                  <c:v>-591.4627034229743</c:v>
                </c:pt>
                <c:pt idx="1126">
                  <c:v>-592.77166484967529</c:v>
                </c:pt>
              </c:numCache>
            </c:numRef>
          </c:yVal>
          <c:smooth val="1"/>
          <c:extLst>
            <c:ext xmlns:c16="http://schemas.microsoft.com/office/drawing/2014/chart" uri="{C3380CC4-5D6E-409C-BE32-E72D297353CC}">
              <c16:uniqueId val="{00000000-F59D-44E2-A46C-5594EE7F5910}"/>
            </c:ext>
          </c:extLst>
        </c:ser>
        <c:dLbls>
          <c:showLegendKey val="0"/>
          <c:showVal val="0"/>
          <c:showCatName val="0"/>
          <c:showSerName val="0"/>
          <c:showPercent val="0"/>
          <c:showBubbleSize val="0"/>
        </c:dLbls>
        <c:axId val="551142208"/>
        <c:axId val="551140240"/>
      </c:scatterChart>
      <c:valAx>
        <c:axId val="551142208"/>
        <c:scaling>
          <c:orientation val="minMax"/>
        </c:scaling>
        <c:delete val="0"/>
        <c:axPos val="b"/>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40240"/>
        <c:crosses val="autoZero"/>
        <c:crossBetween val="midCat"/>
      </c:valAx>
      <c:valAx>
        <c:axId val="55114024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422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Cd vs Re for 0 spin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'Cd-Cl'!$B$2:$B$18</c:f>
              <c:numCache>
                <c:formatCode>0.0</c:formatCode>
                <c:ptCount val="17"/>
                <c:pt idx="0">
                  <c:v>0.375</c:v>
                </c:pt>
                <c:pt idx="1">
                  <c:v>0.5</c:v>
                </c:pt>
                <c:pt idx="2">
                  <c:v>0.625</c:v>
                </c:pt>
                <c:pt idx="3">
                  <c:v>0.75</c:v>
                </c:pt>
                <c:pt idx="4">
                  <c:v>0.875</c:v>
                </c:pt>
                <c:pt idx="5">
                  <c:v>1</c:v>
                </c:pt>
                <c:pt idx="6">
                  <c:v>1.125</c:v>
                </c:pt>
                <c:pt idx="7">
                  <c:v>1.25</c:v>
                </c:pt>
                <c:pt idx="8">
                  <c:v>1.375</c:v>
                </c:pt>
                <c:pt idx="9">
                  <c:v>1.5</c:v>
                </c:pt>
                <c:pt idx="10">
                  <c:v>1.625</c:v>
                </c:pt>
                <c:pt idx="11">
                  <c:v>1.75</c:v>
                </c:pt>
                <c:pt idx="12">
                  <c:v>1.875</c:v>
                </c:pt>
                <c:pt idx="13">
                  <c:v>2</c:v>
                </c:pt>
                <c:pt idx="14">
                  <c:v>2.125</c:v>
                </c:pt>
                <c:pt idx="15">
                  <c:v>2.25</c:v>
                </c:pt>
                <c:pt idx="16">
                  <c:v>2.375</c:v>
                </c:pt>
              </c:numCache>
            </c:numRef>
          </c:xVal>
          <c:yVal>
            <c:numRef>
              <c:f>'Cd-Cl'!$C$2:$C$18</c:f>
              <c:numCache>
                <c:formatCode>0.000</c:formatCode>
                <c:ptCount val="17"/>
                <c:pt idx="0">
                  <c:v>1.9451114042783459</c:v>
                </c:pt>
                <c:pt idx="1">
                  <c:v>1.9451114042783459</c:v>
                </c:pt>
                <c:pt idx="2">
                  <c:v>1.4919535523944865</c:v>
                </c:pt>
                <c:pt idx="3">
                  <c:v>1.038795700510627</c:v>
                </c:pt>
                <c:pt idx="4">
                  <c:v>0.58563784862676749</c:v>
                </c:pt>
                <c:pt idx="5">
                  <c:v>0.13247999674290811</c:v>
                </c:pt>
                <c:pt idx="6">
                  <c:v>0.13247999674290811</c:v>
                </c:pt>
                <c:pt idx="7">
                  <c:v>0.13247999674290811</c:v>
                </c:pt>
                <c:pt idx="8">
                  <c:v>0.13247999674290811</c:v>
                </c:pt>
                <c:pt idx="9">
                  <c:v>0.13247999674290811</c:v>
                </c:pt>
                <c:pt idx="10">
                  <c:v>0.13247999674290811</c:v>
                </c:pt>
                <c:pt idx="11">
                  <c:v>0.13247999674290811</c:v>
                </c:pt>
                <c:pt idx="12">
                  <c:v>0.13247999674290811</c:v>
                </c:pt>
                <c:pt idx="13">
                  <c:v>0.13247999674290811</c:v>
                </c:pt>
                <c:pt idx="14">
                  <c:v>0.13247999674290811</c:v>
                </c:pt>
                <c:pt idx="15">
                  <c:v>0.13247999674290811</c:v>
                </c:pt>
                <c:pt idx="16">
                  <c:v>0.13247999674290811</c:v>
                </c:pt>
              </c:numCache>
            </c:numRef>
          </c:yVal>
          <c:smooth val="0"/>
          <c:extLst>
            <c:ext xmlns:c16="http://schemas.microsoft.com/office/drawing/2014/chart" uri="{C3380CC4-5D6E-409C-BE32-E72D297353CC}">
              <c16:uniqueId val="{00000000-C2EA-419D-B7FC-202F0E2DECFD}"/>
            </c:ext>
          </c:extLst>
        </c:ser>
        <c:dLbls>
          <c:showLegendKey val="0"/>
          <c:showVal val="0"/>
          <c:showCatName val="0"/>
          <c:showSerName val="0"/>
          <c:showPercent val="0"/>
          <c:showBubbleSize val="0"/>
        </c:dLbls>
        <c:axId val="681965160"/>
        <c:axId val="681964800"/>
      </c:scatterChart>
      <c:valAx>
        <c:axId val="68196516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64800"/>
        <c:crosses val="autoZero"/>
        <c:crossBetween val="midCat"/>
      </c:valAx>
      <c:valAx>
        <c:axId val="68196480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651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 vs 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spPr>
            <a:ln w="19050" cap="rnd">
              <a:solidFill>
                <a:srgbClr val="FF0000"/>
              </a:solidFill>
              <a:round/>
            </a:ln>
            <a:effectLst/>
          </c:spPr>
          <c:marker>
            <c:symbol val="none"/>
          </c:marker>
          <c:xVal>
            <c:numRef>
              <c:f>'Cd-Cl'!$E$2:$E$13</c:f>
              <c:numCache>
                <c:formatCode>General</c:formatCode>
                <c:ptCount val="12"/>
                <c:pt idx="0">
                  <c:v>0</c:v>
                </c:pt>
                <c:pt idx="1">
                  <c:v>0.05</c:v>
                </c:pt>
                <c:pt idx="2">
                  <c:v>0.1</c:v>
                </c:pt>
                <c:pt idx="3">
                  <c:v>0.15000000000000002</c:v>
                </c:pt>
                <c:pt idx="4">
                  <c:v>0.2</c:v>
                </c:pt>
                <c:pt idx="5">
                  <c:v>0.25</c:v>
                </c:pt>
                <c:pt idx="6">
                  <c:v>0.3</c:v>
                </c:pt>
                <c:pt idx="7">
                  <c:v>0.35</c:v>
                </c:pt>
                <c:pt idx="8">
                  <c:v>0.39999999999999997</c:v>
                </c:pt>
                <c:pt idx="9">
                  <c:v>0.44999999999999996</c:v>
                </c:pt>
                <c:pt idx="10">
                  <c:v>0.49999999999999994</c:v>
                </c:pt>
                <c:pt idx="11">
                  <c:v>0.54999999999999993</c:v>
                </c:pt>
              </c:numCache>
            </c:numRef>
          </c:xVal>
          <c:yVal>
            <c:numRef>
              <c:f>'Cd-Cl'!$F$2:$F$13</c:f>
              <c:numCache>
                <c:formatCode>0.000</c:formatCode>
                <c:ptCount val="12"/>
                <c:pt idx="0" formatCode="General">
                  <c:v>0</c:v>
                </c:pt>
                <c:pt idx="1">
                  <c:v>6.9214885664861642E-2</c:v>
                </c:pt>
                <c:pt idx="2">
                  <c:v>9.1329589178026332E-2</c:v>
                </c:pt>
                <c:pt idx="3">
                  <c:v>0.10741081396807323</c:v>
                </c:pt>
                <c:pt idx="4">
                  <c:v>0.12051011540804425</c:v>
                </c:pt>
                <c:pt idx="5">
                  <c:v>0.13176118971368306</c:v>
                </c:pt>
                <c:pt idx="6">
                  <c:v>0.14172941873342829</c:v>
                </c:pt>
                <c:pt idx="7">
                  <c:v>0.15074354415934324</c:v>
                </c:pt>
                <c:pt idx="8">
                  <c:v>0.15901405060906884</c:v>
                </c:pt>
                <c:pt idx="9">
                  <c:v>0.16668499624700051</c:v>
                </c:pt>
                <c:pt idx="10">
                  <c:v>0.17385993216005288</c:v>
                </c:pt>
                <c:pt idx="11">
                  <c:v>0.1806161496834397</c:v>
                </c:pt>
              </c:numCache>
            </c:numRef>
          </c:yVal>
          <c:smooth val="0"/>
          <c:extLst>
            <c:ext xmlns:c16="http://schemas.microsoft.com/office/drawing/2014/chart" uri="{C3380CC4-5D6E-409C-BE32-E72D297353CC}">
              <c16:uniqueId val="{00000002-953D-4427-87D1-470489F19571}"/>
            </c:ext>
          </c:extLst>
        </c:ser>
        <c:ser>
          <c:idx val="0"/>
          <c:order val="1"/>
          <c:tx>
            <c:v>WSU</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'Cd-Cl'!$E$2:$E$13</c:f>
              <c:numCache>
                <c:formatCode>General</c:formatCode>
                <c:ptCount val="12"/>
                <c:pt idx="0">
                  <c:v>0</c:v>
                </c:pt>
                <c:pt idx="1">
                  <c:v>0.05</c:v>
                </c:pt>
                <c:pt idx="2">
                  <c:v>0.1</c:v>
                </c:pt>
                <c:pt idx="3">
                  <c:v>0.15000000000000002</c:v>
                </c:pt>
                <c:pt idx="4">
                  <c:v>0.2</c:v>
                </c:pt>
                <c:pt idx="5">
                  <c:v>0.25</c:v>
                </c:pt>
                <c:pt idx="6">
                  <c:v>0.3</c:v>
                </c:pt>
                <c:pt idx="7">
                  <c:v>0.35</c:v>
                </c:pt>
                <c:pt idx="8">
                  <c:v>0.39999999999999997</c:v>
                </c:pt>
                <c:pt idx="9">
                  <c:v>0.44999999999999996</c:v>
                </c:pt>
                <c:pt idx="10">
                  <c:v>0.49999999999999994</c:v>
                </c:pt>
                <c:pt idx="11">
                  <c:v>0.54999999999999993</c:v>
                </c:pt>
              </c:numCache>
            </c:numRef>
          </c:xVal>
          <c:yVal>
            <c:numRef>
              <c:f>'Cd-Cl'!$G$2:$G$13</c:f>
              <c:numCache>
                <c:formatCode>0.000</c:formatCode>
                <c:ptCount val="12"/>
                <c:pt idx="0" formatCode="General">
                  <c:v>0</c:v>
                </c:pt>
                <c:pt idx="1">
                  <c:v>9.1362499999999999E-2</c:v>
                </c:pt>
                <c:pt idx="2">
                  <c:v>0.16645000000000001</c:v>
                </c:pt>
                <c:pt idx="3">
                  <c:v>0.22526250000000003</c:v>
                </c:pt>
                <c:pt idx="4">
                  <c:v>0.26780000000000004</c:v>
                </c:pt>
                <c:pt idx="5">
                  <c:v>0.2940625</c:v>
                </c:pt>
                <c:pt idx="6">
                  <c:v>0.30404999999999999</c:v>
                </c:pt>
                <c:pt idx="7">
                  <c:v>0.2977625000000001</c:v>
                </c:pt>
                <c:pt idx="8">
                  <c:v>0.2752</c:v>
                </c:pt>
                <c:pt idx="9">
                  <c:v>0.23636250000000014</c:v>
                </c:pt>
                <c:pt idx="10">
                  <c:v>0.18125000000000013</c:v>
                </c:pt>
                <c:pt idx="11">
                  <c:v>0.10986250000000009</c:v>
                </c:pt>
              </c:numCache>
            </c:numRef>
          </c:yVal>
          <c:smooth val="0"/>
          <c:extLst>
            <c:ext xmlns:c16="http://schemas.microsoft.com/office/drawing/2014/chart" uri="{C3380CC4-5D6E-409C-BE32-E72D297353CC}">
              <c16:uniqueId val="{00000003-953D-4427-87D1-470489F19571}"/>
            </c:ext>
          </c:extLst>
        </c:ser>
        <c:dLbls>
          <c:showLegendKey val="0"/>
          <c:showVal val="0"/>
          <c:showCatName val="0"/>
          <c:showSerName val="0"/>
          <c:showPercent val="0"/>
          <c:showBubbleSize val="0"/>
        </c:dLbls>
        <c:axId val="689865280"/>
        <c:axId val="689868520"/>
      </c:scatterChart>
      <c:valAx>
        <c:axId val="68986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868520"/>
        <c:crosses val="autoZero"/>
        <c:crossBetween val="midCat"/>
      </c:valAx>
      <c:valAx>
        <c:axId val="689868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8652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4</xdr:col>
      <xdr:colOff>628823</xdr:colOff>
      <xdr:row>15</xdr:row>
      <xdr:rowOff>18496</xdr:rowOff>
    </xdr:from>
    <xdr:ext cx="3993657" cy="436786"/>
    <xdr:sp macro="" textlink="">
      <xdr:nvSpPr>
        <xdr:cNvPr id="2" name="TextBox 1">
          <a:extLst>
            <a:ext uri="{FF2B5EF4-FFF2-40B4-BE49-F238E27FC236}">
              <a16:creationId xmlns:a16="http://schemas.microsoft.com/office/drawing/2014/main" id="{F2B08E1E-013C-4627-BA5C-CCBBE149AE33}"/>
            </a:ext>
          </a:extLst>
        </xdr:cNvPr>
        <xdr:cNvSpPr txBox="1"/>
      </xdr:nvSpPr>
      <xdr:spPr>
        <a:xfrm>
          <a:off x="5581823" y="2475946"/>
          <a:ext cx="3993657" cy="436786"/>
        </a:xfrm>
        <a:prstGeom prst="rect">
          <a:avLst/>
        </a:prstGeom>
        <a:solidFill>
          <a:srgbClr val="FF0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Only enter information in the cells highlighted in orange</a:t>
          </a:r>
          <a:r>
            <a:rPr lang="en-US" sz="1100" b="1" baseline="0"/>
            <a:t> or blue</a:t>
          </a:r>
          <a:r>
            <a:rPr lang="en-US" sz="1100" b="1"/>
            <a:t>.</a:t>
          </a:r>
        </a:p>
        <a:p>
          <a:r>
            <a:rPr lang="en-US" sz="1100" b="1"/>
            <a:t>Results appear in the cells highlighted in green</a:t>
          </a:r>
        </a:p>
      </xdr:txBody>
    </xdr:sp>
    <xdr:clientData/>
  </xdr:oneCellAnchor>
  <xdr:twoCellAnchor>
    <xdr:from>
      <xdr:col>4</xdr:col>
      <xdr:colOff>628836</xdr:colOff>
      <xdr:row>5</xdr:row>
      <xdr:rowOff>157208</xdr:rowOff>
    </xdr:from>
    <xdr:to>
      <xdr:col>13</xdr:col>
      <xdr:colOff>388398</xdr:colOff>
      <xdr:row>15</xdr:row>
      <xdr:rowOff>55485</xdr:rowOff>
    </xdr:to>
    <xdr:sp macro="" textlink="">
      <xdr:nvSpPr>
        <xdr:cNvPr id="3" name="TextBox 2">
          <a:extLst>
            <a:ext uri="{FF2B5EF4-FFF2-40B4-BE49-F238E27FC236}">
              <a16:creationId xmlns:a16="http://schemas.microsoft.com/office/drawing/2014/main" id="{D87A9F37-A6C9-4077-9A69-AFFA69690C53}"/>
            </a:ext>
          </a:extLst>
        </xdr:cNvPr>
        <xdr:cNvSpPr txBox="1"/>
      </xdr:nvSpPr>
      <xdr:spPr>
        <a:xfrm>
          <a:off x="5585535" y="1007985"/>
          <a:ext cx="5557790" cy="1572087"/>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Drag and Lift Model:</a:t>
          </a:r>
        </a:p>
        <a:p>
          <a:r>
            <a:rPr lang="en-US" sz="1100" b="1"/>
            <a:t>Cd0=CdL for Re&lt;=ReLow</a:t>
          </a:r>
        </a:p>
        <a:p>
          <a:r>
            <a:rPr lang="en-US" sz="1100" b="1"/>
            <a:t>Cd0=CdL+(CdH-CdL)*(Re-ReLow)/(ReHigh-ReLow) for Re&gt;ReLow and Re&lt;ReHigh</a:t>
          </a:r>
        </a:p>
        <a:p>
          <a:r>
            <a:rPr lang="en-US" sz="1100" b="1"/>
            <a:t>Cd0=CdH</a:t>
          </a:r>
          <a:r>
            <a:rPr lang="en-US" sz="1100" b="1" baseline="0"/>
            <a:t> for Re&gt;=ReHigh</a:t>
          </a:r>
        </a:p>
        <a:p>
          <a:r>
            <a:rPr lang="en-US" sz="1100" b="1" baseline="0"/>
            <a:t>Re in units of 1e5</a:t>
          </a:r>
        </a:p>
        <a:p>
          <a:r>
            <a:rPr lang="en-US" sz="1100" b="1" baseline="0"/>
            <a:t>Cd=Cd0+CdS*S</a:t>
          </a:r>
          <a:endParaRPr lang="en-US" sz="1100" b="1"/>
        </a:p>
        <a:p>
          <a:r>
            <a:rPr lang="en-US" sz="1100" b="1"/>
            <a:t>Cl=ClAmp*S^0.4</a:t>
          </a:r>
        </a:p>
        <a:p>
          <a:r>
            <a:rPr lang="en-US" sz="1100" b="1"/>
            <a:t>S=radius*spin/v</a:t>
          </a:r>
        </a:p>
        <a:p>
          <a:r>
            <a:rPr lang="en-US" sz="1100" b="1"/>
            <a:t>Parameters optimized for</a:t>
          </a:r>
          <a:r>
            <a:rPr lang="en-US" sz="1100" b="1" baseline="0"/>
            <a:t> 7 clubs, driver through 5-iron</a:t>
          </a:r>
          <a:endParaRPr lang="en-US" sz="1100" b="1"/>
        </a:p>
        <a:p>
          <a:endParaRPr lang="en-US" sz="1100" b="1"/>
        </a:p>
      </xdr:txBody>
    </xdr:sp>
    <xdr:clientData/>
  </xdr:twoCellAnchor>
  <xdr:twoCellAnchor>
    <xdr:from>
      <xdr:col>5</xdr:col>
      <xdr:colOff>14795</xdr:colOff>
      <xdr:row>17</xdr:row>
      <xdr:rowOff>150551</xdr:rowOff>
    </xdr:from>
    <xdr:to>
      <xdr:col>12</xdr:col>
      <xdr:colOff>369903</xdr:colOff>
      <xdr:row>27</xdr:row>
      <xdr:rowOff>129467</xdr:rowOff>
    </xdr:to>
    <xdr:graphicFrame macro="">
      <xdr:nvGraphicFramePr>
        <xdr:cNvPr id="4" name="Chart 3">
          <a:extLst>
            <a:ext uri="{FF2B5EF4-FFF2-40B4-BE49-F238E27FC236}">
              <a16:creationId xmlns:a16="http://schemas.microsoft.com/office/drawing/2014/main" id="{0958F4E1-BB1D-49DB-890A-4B115D39B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223837</xdr:colOff>
      <xdr:row>0</xdr:row>
      <xdr:rowOff>33337</xdr:rowOff>
    </xdr:from>
    <xdr:to>
      <xdr:col>14</xdr:col>
      <xdr:colOff>528637</xdr:colOff>
      <xdr:row>17</xdr:row>
      <xdr:rowOff>23812</xdr:rowOff>
    </xdr:to>
    <xdr:graphicFrame macro="">
      <xdr:nvGraphicFramePr>
        <xdr:cNvPr id="3" name="Chart 2">
          <a:extLst>
            <a:ext uri="{FF2B5EF4-FFF2-40B4-BE49-F238E27FC236}">
              <a16:creationId xmlns:a16="http://schemas.microsoft.com/office/drawing/2014/main" id="{49089B25-5A6C-4859-DF7D-14B74ECCC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280987</xdr:colOff>
      <xdr:row>0</xdr:row>
      <xdr:rowOff>0</xdr:rowOff>
    </xdr:from>
    <xdr:to>
      <xdr:col>22</xdr:col>
      <xdr:colOff>195262</xdr:colOff>
      <xdr:row>16</xdr:row>
      <xdr:rowOff>152400</xdr:rowOff>
    </xdr:to>
    <xdr:graphicFrame macro="">
      <xdr:nvGraphicFramePr>
        <xdr:cNvPr id="4" name="Chart 3">
          <a:extLst>
            <a:ext uri="{FF2B5EF4-FFF2-40B4-BE49-F238E27FC236}">
              <a16:creationId xmlns:a16="http://schemas.microsoft.com/office/drawing/2014/main" id="{AB9E4623-AE48-2931-E0A6-E9119FE1A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266699</xdr:colOff>
      <xdr:row>1</xdr:row>
      <xdr:rowOff>66675</xdr:rowOff>
    </xdr:from>
    <xdr:ext cx="9144001" cy="11401425"/>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266699" y="228600"/>
          <a:ext cx="9144001" cy="11401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t>November 29, 2023</a:t>
          </a:r>
          <a:r>
            <a:rPr lang="en-US" sz="1200" baseline="0"/>
            <a:t>  Beta Version For Golf</a:t>
          </a:r>
        </a:p>
        <a:p>
          <a:r>
            <a:rPr lang="en-US" sz="1200" baseline="0"/>
            <a:t>This spreadsheet is the latest version of my Trajectory Calculator.   It is currently set up to calculate the trajectory of golf balls.  While it could easily be modified to calculate trajectories of pitched balls, that version is not included here.  The user must supply  information about the initial conditions, namely, the exit speed, launch angle, and direction, backspin, and sidespin.</a:t>
          </a:r>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The calculation utilizes parametrizations of the lift and drag coefficients which have been reported in the Peter Dewhurst book, The Science of the Perfect Swing, pp 34-35.  </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A note on the coordinate system.  The origin (x=y=z=0) is at the  contact point.  The y axis extends  straight outward, the z axis points straight up, and the x axis is perpendicular to the other two axes and pointing to the golfer's right.</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The launch angle is positive for a ball hit into the air (i.e., in an upward direction).  The direction is 0 degrees for a ball hit directly straight ahead (i.e., parallel to the y axis); it is positive for balls hit to the right of of the golfer, negative for balls hit to the left of golfer.  For the landing point, the "bearing" is the direction of the landing point, using the same convention as the initial direction.  The overall distance is given in yards.</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The sign of "backspin" is positive if there is backspin and negative if there is topspin.  The sign of sidespin is positive for a ball that hooks and negative for a ball that slices.  </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The wind information is contained in B17 (speed), B18 (direction), and B19.  The latter, hwind, is the height above which the wind acts.  The wind has no effect below hwind.</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The drag and lift coefficients are taken from B. Lyu, et al., https://www.mdpi.com/2504-3900/2/6/238, based on measurements at WSU.  </a:t>
          </a:r>
        </a:p>
        <a:p>
          <a:r>
            <a:rPr lang="en-US" sz="1200" baseline="0">
              <a:solidFill>
                <a:schemeClr val="tx1"/>
              </a:solidFill>
              <a:effectLst/>
              <a:latin typeface="+mn-lt"/>
              <a:ea typeface="+mn-ea"/>
              <a:cs typeface="+mn-cs"/>
            </a:rPr>
            <a:t>See Cd-Cl for dependence of Cd on Re at 0 spin and dependence of Cl on S.</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The Cd on S is taken from Dewhurst, The Science of the Perfect Swing, p. 34.</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Minor Update (2/14/25):  A minor bug was fixed so that spin=0 is now allowed</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D7A18-CE33-4588-AD1E-0762549DD434}">
  <dimension ref="A1:AL1159"/>
  <sheetViews>
    <sheetView zoomScale="103" zoomScaleNormal="90" workbookViewId="0">
      <selection activeCell="N25" sqref="N25"/>
    </sheetView>
  </sheetViews>
  <sheetFormatPr defaultColWidth="8.85546875" defaultRowHeight="12.75" x14ac:dyDescent="0.2"/>
  <cols>
    <col min="1" max="1" width="27.85546875" bestFit="1" customWidth="1"/>
    <col min="3" max="3" width="26.5703125" bestFit="1" customWidth="1"/>
    <col min="4" max="4" width="11" bestFit="1" customWidth="1"/>
    <col min="5" max="5" width="10" style="2" customWidth="1"/>
    <col min="6" max="6" width="11" style="2" bestFit="1" customWidth="1"/>
    <col min="10" max="10" width="11.5703125" bestFit="1" customWidth="1"/>
    <col min="12" max="12" width="10.140625" style="5" bestFit="1" customWidth="1"/>
    <col min="14" max="14" width="13.140625" style="2" bestFit="1" customWidth="1"/>
    <col min="16" max="16" width="9.5703125" bestFit="1" customWidth="1"/>
    <col min="17" max="17" width="9.5703125" customWidth="1"/>
    <col min="18" max="18" width="16.5703125" bestFit="1" customWidth="1"/>
    <col min="19" max="19" width="8.85546875" bestFit="1" customWidth="1"/>
    <col min="26" max="26" width="10.5703125" bestFit="1" customWidth="1"/>
    <col min="29" max="29" width="12.42578125" bestFit="1" customWidth="1"/>
    <col min="31" max="31" width="10" bestFit="1" customWidth="1"/>
  </cols>
  <sheetData>
    <row r="1" spans="1:20" ht="13.5" thickBot="1" x14ac:dyDescent="0.25">
      <c r="A1" s="92" t="s">
        <v>86</v>
      </c>
      <c r="B1" s="92"/>
      <c r="J1" s="3"/>
      <c r="M1" s="15"/>
      <c r="N1" s="3">
        <v>12</v>
      </c>
      <c r="O1">
        <v>6</v>
      </c>
    </row>
    <row r="2" spans="1:20" x14ac:dyDescent="0.2">
      <c r="A2" s="50" t="s">
        <v>19</v>
      </c>
      <c r="B2" s="51">
        <v>1.62</v>
      </c>
      <c r="C2" s="31" t="s">
        <v>54</v>
      </c>
      <c r="D2" s="18">
        <f>D3*0.06261</f>
        <v>7.478356083818273E-2</v>
      </c>
      <c r="E2" s="56"/>
      <c r="F2" s="39" t="s">
        <v>81</v>
      </c>
      <c r="G2" s="27">
        <v>0.20872173749223014</v>
      </c>
      <c r="H2" s="27">
        <v>0.18</v>
      </c>
      <c r="L2" s="64">
        <f>'3DTable'!H27</f>
        <v>41.774498533764131</v>
      </c>
      <c r="N2" s="27">
        <v>0.22346111691677201</v>
      </c>
      <c r="O2" s="27">
        <v>0.34418772114451807</v>
      </c>
      <c r="T2" s="7" t="s">
        <v>57</v>
      </c>
    </row>
    <row r="3" spans="1:20" x14ac:dyDescent="0.2">
      <c r="A3" s="41" t="s">
        <v>20</v>
      </c>
      <c r="B3" s="52">
        <v>5.2770000000000001</v>
      </c>
      <c r="C3" s="32" t="s">
        <v>53</v>
      </c>
      <c r="D3" s="20">
        <f>1.2929*(273/(temp+273)*(pressure*EXP(-beta*elev)-0.3783*RH*SVP/100)/760)</f>
        <v>1.1944347682188585</v>
      </c>
      <c r="E3" s="22"/>
      <c r="F3" s="54" t="s">
        <v>82</v>
      </c>
      <c r="G3" s="27">
        <v>1.9451114042783459</v>
      </c>
      <c r="H3" s="27">
        <v>0.54</v>
      </c>
      <c r="I3" s="38" t="s">
        <v>101</v>
      </c>
      <c r="J3" s="38">
        <v>0.5</v>
      </c>
      <c r="L3"/>
      <c r="N3" s="55">
        <v>0.54</v>
      </c>
      <c r="O3" s="55">
        <v>0.54</v>
      </c>
    </row>
    <row r="4" spans="1:20" ht="13.5" thickBot="1" x14ac:dyDescent="0.25">
      <c r="A4" s="93" t="s">
        <v>87</v>
      </c>
      <c r="B4" s="94"/>
      <c r="C4" s="53" t="s">
        <v>33</v>
      </c>
      <c r="D4" s="21">
        <f>c0</f>
        <v>5.6824920711971141E-3</v>
      </c>
      <c r="E4" s="22"/>
      <c r="F4" s="54" t="s">
        <v>83</v>
      </c>
      <c r="G4" s="27">
        <v>0.13247999674290811</v>
      </c>
      <c r="H4" s="27">
        <v>0.217</v>
      </c>
      <c r="I4" s="38" t="s">
        <v>102</v>
      </c>
      <c r="J4" s="38">
        <v>1</v>
      </c>
      <c r="L4" s="3">
        <f>'3DTable'!I13</f>
        <v>-15.705296229339524</v>
      </c>
      <c r="N4" s="27">
        <v>0.14409834517417525</v>
      </c>
      <c r="O4" s="27">
        <v>0.18239010778560549</v>
      </c>
    </row>
    <row r="5" spans="1:20" x14ac:dyDescent="0.2">
      <c r="A5" s="14" t="s">
        <v>37</v>
      </c>
      <c r="B5" s="16">
        <v>0</v>
      </c>
      <c r="C5" s="32" t="s">
        <v>47</v>
      </c>
      <c r="D5" s="21">
        <f>0.07182*rho*(5.125/mass)*(circ/9.125)^2</f>
        <v>5.6824920711971141E-3</v>
      </c>
      <c r="E5" s="22"/>
      <c r="F5" s="38" t="s">
        <v>103</v>
      </c>
      <c r="G5" s="27">
        <v>0.22940955585162853</v>
      </c>
      <c r="H5" s="27">
        <v>0.5</v>
      </c>
      <c r="I5" s="15"/>
      <c r="L5"/>
      <c r="N5" s="27">
        <v>0.24910583234832728</v>
      </c>
      <c r="O5" s="27">
        <v>0.63653396277590724</v>
      </c>
    </row>
    <row r="6" spans="1:20" x14ac:dyDescent="0.2">
      <c r="A6" s="14" t="s">
        <v>38</v>
      </c>
      <c r="B6" s="16">
        <v>0</v>
      </c>
      <c r="C6" s="32" t="s">
        <v>49</v>
      </c>
      <c r="D6" s="19">
        <v>1.217E-4</v>
      </c>
      <c r="E6" s="22"/>
      <c r="F6" s="38"/>
      <c r="G6" s="55"/>
      <c r="H6" s="55"/>
      <c r="L6"/>
      <c r="N6"/>
    </row>
    <row r="7" spans="1:20" x14ac:dyDescent="0.2">
      <c r="A7" s="14" t="s">
        <v>0</v>
      </c>
      <c r="B7" s="16">
        <v>0</v>
      </c>
      <c r="C7" s="32" t="s">
        <v>21</v>
      </c>
      <c r="D7" s="19">
        <f>v0*1.467</f>
        <v>234.72000000000003</v>
      </c>
      <c r="E7" s="22"/>
      <c r="F7"/>
      <c r="G7" s="5"/>
      <c r="L7"/>
      <c r="N7"/>
    </row>
    <row r="8" spans="1:20" x14ac:dyDescent="0.2">
      <c r="A8" s="14" t="s">
        <v>65</v>
      </c>
      <c r="B8" s="16">
        <v>160</v>
      </c>
      <c r="C8" s="32" t="s">
        <v>28</v>
      </c>
      <c r="D8" s="22">
        <f>1.467*v0*COS(theta*PI()/180)*SIN(phi*PI()/180)</f>
        <v>0</v>
      </c>
      <c r="E8" s="22"/>
      <c r="F8" s="15"/>
      <c r="J8" s="2"/>
      <c r="N8"/>
    </row>
    <row r="9" spans="1:20" x14ac:dyDescent="0.2">
      <c r="A9" s="14" t="s">
        <v>66</v>
      </c>
      <c r="B9" s="16">
        <v>11</v>
      </c>
      <c r="C9" s="32" t="s">
        <v>29</v>
      </c>
      <c r="D9" s="22">
        <f>1.467*v0*COS(theta*PI()/180)*COS(phi*PI()/180)</f>
        <v>230.40753249883571</v>
      </c>
      <c r="E9" s="22"/>
      <c r="F9"/>
      <c r="J9" s="2"/>
      <c r="N9"/>
    </row>
    <row r="10" spans="1:20" x14ac:dyDescent="0.2">
      <c r="A10" s="14" t="s">
        <v>67</v>
      </c>
      <c r="B10" s="16">
        <v>0</v>
      </c>
      <c r="C10" s="32" t="s">
        <v>2</v>
      </c>
      <c r="D10" s="22">
        <f>1.467*v0*SIN(theta*PI()/180)</f>
        <v>44.786687394782604</v>
      </c>
      <c r="E10" s="23"/>
      <c r="F10"/>
    </row>
    <row r="11" spans="1:20" x14ac:dyDescent="0.2">
      <c r="A11" s="14" t="s">
        <v>68</v>
      </c>
      <c r="B11" s="40">
        <v>3000</v>
      </c>
      <c r="C11" s="32" t="s">
        <v>3</v>
      </c>
      <c r="D11" s="22">
        <f>(wb*COS(phi*PI()/180)-ws*SIN(theta*PI()/180)*SIN(phi*PI()/180))*PI()/30</f>
        <v>314.15926535897933</v>
      </c>
      <c r="E11" s="23"/>
      <c r="F11"/>
    </row>
    <row r="12" spans="1:20" x14ac:dyDescent="0.2">
      <c r="A12" s="14" t="s">
        <v>69</v>
      </c>
      <c r="B12" s="17">
        <v>0</v>
      </c>
      <c r="C12" s="32" t="s">
        <v>4</v>
      </c>
      <c r="D12" s="22">
        <f>(-wb*SIN(phi*PI()/180)-ws*SIN(theta*PI()/180)*COS(phi*PI()/180))*PI()/30</f>
        <v>0</v>
      </c>
      <c r="E12" s="23"/>
      <c r="F12" s="15"/>
      <c r="G12" s="15"/>
    </row>
    <row r="13" spans="1:20" x14ac:dyDescent="0.2">
      <c r="A13" s="30" t="s">
        <v>1</v>
      </c>
      <c r="B13" s="19">
        <v>0.01</v>
      </c>
      <c r="C13" s="32" t="s">
        <v>5</v>
      </c>
      <c r="D13" s="22">
        <f>(ws*COS(theta*PI()/180))*PI()/30</f>
        <v>0</v>
      </c>
      <c r="E13" s="23"/>
      <c r="F13"/>
    </row>
    <row r="14" spans="1:20" ht="13.5" customHeight="1" thickBot="1" x14ac:dyDescent="0.25">
      <c r="A14" s="95" t="s">
        <v>85</v>
      </c>
      <c r="B14" s="96"/>
      <c r="C14" s="32" t="s">
        <v>36</v>
      </c>
      <c r="D14" s="22">
        <f>SQRT(wb^2+ws^2)*PI()/30</f>
        <v>314.15926535897933</v>
      </c>
      <c r="E14" s="23"/>
      <c r="F14"/>
    </row>
    <row r="15" spans="1:20" x14ac:dyDescent="0.2">
      <c r="A15" s="41" t="s">
        <v>45</v>
      </c>
      <c r="B15" s="42">
        <v>70</v>
      </c>
      <c r="C15" s="32" t="s">
        <v>10</v>
      </c>
      <c r="D15" s="22">
        <f>(circ/2/PI())*omega/12</f>
        <v>21.987500000000001</v>
      </c>
      <c r="E15" s="23"/>
      <c r="F15"/>
    </row>
    <row r="16" spans="1:20" ht="12.75" customHeight="1" x14ac:dyDescent="0.2">
      <c r="A16" s="41" t="s">
        <v>46</v>
      </c>
      <c r="B16" s="43">
        <v>0</v>
      </c>
      <c r="C16" s="32" t="s">
        <v>24</v>
      </c>
      <c r="D16" s="22">
        <f>(5/9)*(B15-32)</f>
        <v>21.111111111111111</v>
      </c>
      <c r="E16" s="23"/>
      <c r="F16"/>
      <c r="G16" s="2"/>
      <c r="H16" s="2"/>
    </row>
    <row r="17" spans="1:38" x14ac:dyDescent="0.2">
      <c r="A17" s="41" t="s">
        <v>51</v>
      </c>
      <c r="B17" s="42">
        <v>0</v>
      </c>
      <c r="C17" s="32" t="s">
        <v>48</v>
      </c>
      <c r="D17" s="22">
        <f>B16/3.2808</f>
        <v>0</v>
      </c>
      <c r="E17" s="23"/>
      <c r="F17"/>
      <c r="G17" s="2"/>
      <c r="H17" s="2"/>
    </row>
    <row r="18" spans="1:38" x14ac:dyDescent="0.2">
      <c r="A18" s="41" t="s">
        <v>50</v>
      </c>
      <c r="B18" s="42">
        <v>0</v>
      </c>
      <c r="C18" s="32" t="s">
        <v>52</v>
      </c>
      <c r="D18" s="22">
        <f>vwind*1.467*SIN(phiwind*PI()/180)</f>
        <v>0</v>
      </c>
      <c r="E18" s="23"/>
      <c r="F18"/>
      <c r="G18" s="2"/>
      <c r="H18" s="2"/>
    </row>
    <row r="19" spans="1:38" x14ac:dyDescent="0.2">
      <c r="A19" s="41" t="s">
        <v>60</v>
      </c>
      <c r="B19" s="42">
        <v>0</v>
      </c>
      <c r="C19" s="32" t="s">
        <v>18</v>
      </c>
      <c r="D19" s="22">
        <f>vwind*1.467*COS(phiwind*PI()/180)</f>
        <v>0</v>
      </c>
      <c r="E19" s="23"/>
      <c r="F19"/>
      <c r="G19" s="2"/>
      <c r="H19" s="2"/>
    </row>
    <row r="20" spans="1:38" x14ac:dyDescent="0.2">
      <c r="A20" s="41" t="s">
        <v>22</v>
      </c>
      <c r="B20" s="42">
        <v>50</v>
      </c>
      <c r="C20" s="33"/>
      <c r="D20" s="19"/>
      <c r="E20" s="23"/>
      <c r="F20"/>
      <c r="G20" s="2"/>
      <c r="H20" s="2"/>
    </row>
    <row r="21" spans="1:38" ht="13.5" thickBot="1" x14ac:dyDescent="0.25">
      <c r="A21" s="44" t="s">
        <v>56</v>
      </c>
      <c r="B21" s="45">
        <v>29.92</v>
      </c>
      <c r="C21" s="32" t="s">
        <v>23</v>
      </c>
      <c r="D21" s="22">
        <f>4.5841*EXP((18.687-temp/234.5)*temp/(257.14+temp))</f>
        <v>18.794410804467137</v>
      </c>
      <c r="E21" s="23"/>
      <c r="F21"/>
      <c r="G21" s="2"/>
      <c r="H21" s="2"/>
    </row>
    <row r="22" spans="1:38" ht="13.5" thickBot="1" x14ac:dyDescent="0.25">
      <c r="A22" s="9"/>
      <c r="B22" s="8"/>
      <c r="C22" s="32" t="s">
        <v>55</v>
      </c>
      <c r="D22" s="22">
        <f>B21*1000/39.37</f>
        <v>759.96951993903997</v>
      </c>
      <c r="E22" s="23"/>
      <c r="F22"/>
      <c r="G22" s="2"/>
      <c r="H22" s="2"/>
    </row>
    <row r="23" spans="1:38" ht="13.5" thickBot="1" x14ac:dyDescent="0.25">
      <c r="A23" s="97" t="s">
        <v>79</v>
      </c>
      <c r="B23" s="98"/>
      <c r="C23" s="34" t="s">
        <v>25</v>
      </c>
      <c r="D23" s="35">
        <f>D3*44.7*(circ/(PI()*39.37))*(temp+273.16+120)/(0.000001512*(temp+273.16)^1.5)</f>
        <v>123638.34435336443</v>
      </c>
      <c r="E23" s="36"/>
      <c r="F23"/>
      <c r="G23" s="2"/>
      <c r="H23" s="2"/>
    </row>
    <row r="24" spans="1:38" x14ac:dyDescent="0.2">
      <c r="A24" s="24" t="s">
        <v>42</v>
      </c>
      <c r="B24" s="25">
        <f ca="1">D25-E27*(D25-C25)</f>
        <v>0</v>
      </c>
      <c r="C24" s="31">
        <f>MATCH(1,AG32:AG1058,0)+31</f>
        <v>531</v>
      </c>
      <c r="D24" s="37">
        <f>C24+1</f>
        <v>532</v>
      </c>
      <c r="E24" s="57"/>
      <c r="F24"/>
      <c r="G24" s="2"/>
      <c r="H24" s="2"/>
    </row>
    <row r="25" spans="1:38" x14ac:dyDescent="0.2">
      <c r="A25" s="26" t="s">
        <v>43</v>
      </c>
      <c r="B25" s="13">
        <f ca="1">D26-E27*(D26-C26)</f>
        <v>259.29470377066048</v>
      </c>
      <c r="C25" s="46">
        <f ca="1">INDIRECT(ADDRESS(C$24,2,1,TRUE))/3</f>
        <v>0</v>
      </c>
      <c r="D25" s="47">
        <f ca="1">INDIRECT(ADDRESS(D$24,2,1,TRUE))/3</f>
        <v>0</v>
      </c>
      <c r="E25" s="58"/>
      <c r="F25"/>
      <c r="G25" s="2"/>
      <c r="H25" s="2"/>
    </row>
    <row r="26" spans="1:38" x14ac:dyDescent="0.2">
      <c r="A26" s="26" t="s">
        <v>44</v>
      </c>
      <c r="B26" s="13">
        <f ca="1">D27-E27*(D27-C27)</f>
        <v>0</v>
      </c>
      <c r="C26" s="46">
        <f ca="1">INDIRECT(ADDRESS(C$24,3,1,TRUE))/3</f>
        <v>259.12132054225998</v>
      </c>
      <c r="D26" s="47">
        <f ca="1">INDIRECT(ADDRESS(D$24,3,1,TRUE))/3</f>
        <v>259.49945367673831</v>
      </c>
      <c r="E26" s="58"/>
      <c r="F26"/>
    </row>
    <row r="27" spans="1:38" x14ac:dyDescent="0.2">
      <c r="A27" s="26" t="s">
        <v>64</v>
      </c>
      <c r="B27" s="27">
        <f ca="1">D28-E27*(D28-C28)</f>
        <v>4.9945852429366537</v>
      </c>
      <c r="C27" s="46">
        <f ca="1">INDIRECT(ADDRESS(C$24,4,1,TRUE))/3</f>
        <v>7.2335481673814248E-2</v>
      </c>
      <c r="D27" s="47">
        <f ca="1">INDIRECT(ADDRESS(D$24,4,1,TRUE))/3</f>
        <v>-8.5421659381025958E-2</v>
      </c>
      <c r="E27" s="58">
        <f ca="1">D27/(D27-C27)</f>
        <v>0.54147570632844644</v>
      </c>
      <c r="F27"/>
    </row>
    <row r="28" spans="1:38" x14ac:dyDescent="0.2">
      <c r="A28" s="26" t="s">
        <v>70</v>
      </c>
      <c r="B28" s="13">
        <f ca="1">D29-E27*(D29-C29)</f>
        <v>0</v>
      </c>
      <c r="C28" s="46">
        <f ca="1">INDIRECT(ADDRESS(C$24,1,1,TRUE))</f>
        <v>4.989999999999938</v>
      </c>
      <c r="D28" s="47">
        <f ca="1">INDIRECT(ADDRESS(D$24,1,1,TRUE))</f>
        <v>4.9999999999999378</v>
      </c>
      <c r="E28" s="58"/>
      <c r="F28"/>
    </row>
    <row r="29" spans="1:38" ht="13.5" thickBot="1" x14ac:dyDescent="0.25">
      <c r="A29" s="28" t="s">
        <v>77</v>
      </c>
      <c r="B29" s="29">
        <f ca="1">SQRT(B24^2+B25^2)</f>
        <v>259.29470377066048</v>
      </c>
      <c r="C29" s="46">
        <f ca="1">INDIRECT(ADDRESS(C$24,6,1,TRUE))</f>
        <v>0</v>
      </c>
      <c r="D29" s="47">
        <f ca="1">INDIRECT(ADDRESS(D$24,6,1,TRUE))</f>
        <v>0</v>
      </c>
      <c r="E29" s="58"/>
      <c r="F29"/>
    </row>
    <row r="30" spans="1:38" ht="13.5" thickBot="1" x14ac:dyDescent="0.25">
      <c r="C30" s="48">
        <f ca="1">INDIRECT(ADDRESS(C$24,5,1,TRUE))</f>
        <v>259.12132054225998</v>
      </c>
      <c r="D30" s="49">
        <f ca="1">INDIRECT(ADDRESS(D$24,5,1,TRUE))</f>
        <v>259.49945367673831</v>
      </c>
      <c r="E30" s="36"/>
      <c r="F30"/>
    </row>
    <row r="31" spans="1:38" ht="13.5" thickBot="1" x14ac:dyDescent="0.25">
      <c r="A31" s="10" t="s">
        <v>26</v>
      </c>
      <c r="B31" s="11" t="s">
        <v>27</v>
      </c>
      <c r="C31" s="11" t="s">
        <v>30</v>
      </c>
      <c r="D31" s="11" t="s">
        <v>6</v>
      </c>
      <c r="E31" s="12" t="s">
        <v>78</v>
      </c>
      <c r="F31" s="12" t="s">
        <v>59</v>
      </c>
      <c r="G31" s="11" t="s">
        <v>31</v>
      </c>
      <c r="H31" s="11" t="s">
        <v>32</v>
      </c>
      <c r="I31" s="11" t="s">
        <v>7</v>
      </c>
      <c r="J31" s="11" t="s">
        <v>9</v>
      </c>
      <c r="K31" s="11" t="s">
        <v>63</v>
      </c>
      <c r="L31" s="59" t="s">
        <v>75</v>
      </c>
      <c r="M31" s="11" t="s">
        <v>74</v>
      </c>
      <c r="N31" s="11" t="s">
        <v>71</v>
      </c>
      <c r="O31" s="11" t="s">
        <v>17</v>
      </c>
      <c r="P31" s="11" t="s">
        <v>76</v>
      </c>
      <c r="Q31" s="11" t="s">
        <v>80</v>
      </c>
      <c r="R31" s="11" t="s">
        <v>11</v>
      </c>
      <c r="S31" s="11" t="s">
        <v>13</v>
      </c>
      <c r="T31" s="11" t="s">
        <v>12</v>
      </c>
      <c r="U31" s="11" t="s">
        <v>61</v>
      </c>
      <c r="V31" s="11" t="s">
        <v>62</v>
      </c>
      <c r="W31" s="11" t="s">
        <v>14</v>
      </c>
      <c r="X31" s="11" t="s">
        <v>15</v>
      </c>
      <c r="Y31" s="11" t="s">
        <v>16</v>
      </c>
      <c r="Z31" s="11" t="s">
        <v>72</v>
      </c>
      <c r="AA31" s="11" t="s">
        <v>39</v>
      </c>
      <c r="AB31" s="11" t="s">
        <v>40</v>
      </c>
      <c r="AC31" s="11" t="s">
        <v>41</v>
      </c>
      <c r="AD31" s="11" t="s">
        <v>34</v>
      </c>
      <c r="AE31" s="11" t="s">
        <v>35</v>
      </c>
      <c r="AF31" s="11" t="s">
        <v>8</v>
      </c>
      <c r="AG31" s="6" t="s">
        <v>58</v>
      </c>
      <c r="AI31" s="1"/>
      <c r="AJ31" s="1"/>
      <c r="AK31" s="1"/>
      <c r="AL31" s="1"/>
    </row>
    <row r="32" spans="1:38" s="1" customFormat="1" x14ac:dyDescent="0.2">
      <c r="A32" s="3">
        <v>0</v>
      </c>
      <c r="B32">
        <f>x0</f>
        <v>0</v>
      </c>
      <c r="C32">
        <f>y0</f>
        <v>0</v>
      </c>
      <c r="D32">
        <f>z0</f>
        <v>0</v>
      </c>
      <c r="E32" s="2">
        <f t="shared" ref="E32:E95" si="0">SQRT(B32^2+C32^2)/3</f>
        <v>0</v>
      </c>
      <c r="F32" s="2">
        <v>0</v>
      </c>
      <c r="G32" s="3">
        <f>v0x</f>
        <v>0</v>
      </c>
      <c r="H32" s="3">
        <f>v0y</f>
        <v>230.40753249883571</v>
      </c>
      <c r="I32" s="3">
        <f>v0z</f>
        <v>44.786687394782604</v>
      </c>
      <c r="J32" s="2">
        <f t="shared" ref="J32:J95" si="1">SQRT(G32^2+H32^2+I32^2)</f>
        <v>234.72000000000003</v>
      </c>
      <c r="K32" s="2">
        <f>J32/1.467</f>
        <v>160</v>
      </c>
      <c r="L32" s="5">
        <f t="shared" ref="L32:L95" si="2">1/(0.00002*J32/(circ/(2*PI()*12)))</f>
        <v>14.908909812683401</v>
      </c>
      <c r="M32" s="3">
        <f t="shared" ref="M32:M95" si="3">romega*EXP(-A32/L32)</f>
        <v>21.987500000000001</v>
      </c>
      <c r="N32" s="2">
        <v>0</v>
      </c>
      <c r="O32" s="2">
        <f t="shared" ref="O32:O95" si="4">IF(D32&gt;=hwind,SQRT((G32-vxw)^2+(H32-vyw)^2+I32^2),J32)</f>
        <v>234.72000000000003</v>
      </c>
      <c r="P32" s="2">
        <f t="shared" ref="P32:P95" si="5">J32/1.467</f>
        <v>160</v>
      </c>
      <c r="Q32" s="5">
        <f t="shared" ref="Q32:Q95" si="6">(P32/100)*Re_100*0.00001</f>
        <v>1.9782135096538314</v>
      </c>
      <c r="R32" s="5">
        <f t="shared" ref="R32:R95" si="7">IF(Q32&lt;=ReLow,CdL,IF(Q32&lt;ReHigh,CdL+(CdH-CdL)*(Q32-ReLow)/(ReHigh-ReLow),CdH))+CdS*S32</f>
        <v>0.15203209798315356</v>
      </c>
      <c r="S32" s="4">
        <f>(M32/O32)</f>
        <v>9.3675443081117915E-2</v>
      </c>
      <c r="T32" s="5">
        <f t="shared" ref="T32:T95" si="8">ClAmp*S32^0.4</f>
        <v>8.8973731808098269E-2</v>
      </c>
      <c r="U32" s="4">
        <f t="shared" ref="U32:U95" si="9">IF(D32&gt;=hwind,vxw,0)</f>
        <v>0</v>
      </c>
      <c r="V32" s="4">
        <f t="shared" ref="V32:V95" si="10">IF(D32&gt;=hwind,vyw,0)</f>
        <v>0</v>
      </c>
      <c r="W32" s="5">
        <f t="shared" ref="W32:W95" si="11">-const*$R32*$O32*(G32-U32)</f>
        <v>0</v>
      </c>
      <c r="X32" s="5">
        <f t="shared" ref="X32:X95" si="12">-const*$R32*$O32*(H32-V32)</f>
        <v>-46.721943137887735</v>
      </c>
      <c r="Y32" s="5">
        <f t="shared" ref="Y32:Y95" si="13">-const*$R32*$O32*I32</f>
        <v>-9.0818257506575222</v>
      </c>
      <c r="Z32" s="5">
        <f>1</f>
        <v>1</v>
      </c>
      <c r="AA32" s="5">
        <f>IF(M32=0,0,const*($T32/omega)*O32*(wy*I32-wz*(H32-V32))/Z32)</f>
        <v>0</v>
      </c>
      <c r="AB32" s="5">
        <f>IF(M32=0,0,const*($T32/omega)*O32*(wz*(G32-U32)-wx*I32)/Z32)</f>
        <v>-5.3149561137834285</v>
      </c>
      <c r="AC32" s="5">
        <f>IF(M32=0,0,const*($T32/omega)*O32*(wx*(H32-V32)-wy*(G32-U32))/Z32)</f>
        <v>27.343078819870485</v>
      </c>
      <c r="AD32" s="5">
        <f t="shared" ref="AD32:AE47" si="14">W32+AA32</f>
        <v>0</v>
      </c>
      <c r="AE32" s="5">
        <f t="shared" si="14"/>
        <v>-52.036899251671166</v>
      </c>
      <c r="AF32" s="5">
        <f t="shared" ref="AF32:AF95" si="15">Y32+AC32-32.174</f>
        <v>-13.912746930787037</v>
      </c>
      <c r="AG32">
        <v>0</v>
      </c>
      <c r="AH32"/>
      <c r="AI32"/>
      <c r="AJ32"/>
      <c r="AK32"/>
    </row>
    <row r="33" spans="1:33" x14ac:dyDescent="0.2">
      <c r="A33">
        <f t="shared" ref="A33:A96" si="16">A32+dt</f>
        <v>0.01</v>
      </c>
      <c r="B33" s="5">
        <f t="shared" ref="B33:B96" si="17">B32+G32*dt+0.5*AD32*dt*dt</f>
        <v>0</v>
      </c>
      <c r="C33" s="5">
        <f t="shared" ref="C33:C96" si="18">C32+H32*dt+0.5*AE32*dt*dt</f>
        <v>2.3014734800257735</v>
      </c>
      <c r="D33" s="5">
        <f t="shared" ref="D33:D96" si="19">D32+I32*dt+0.5*AF32*dt*dt</f>
        <v>0.44717123660128666</v>
      </c>
      <c r="E33" s="2">
        <f t="shared" si="0"/>
        <v>0.76715782667525778</v>
      </c>
      <c r="F33" s="2">
        <f t="shared" ref="F33:F96" si="20">ATAN2(C33,B33)*180/PI()</f>
        <v>0</v>
      </c>
      <c r="G33" s="3">
        <f t="shared" ref="G33:G96" si="21">G32+AD32*dt</f>
        <v>0</v>
      </c>
      <c r="H33" s="3">
        <f t="shared" ref="H33:H96" si="22">H32+AE32*dt</f>
        <v>229.88716350631898</v>
      </c>
      <c r="I33" s="3">
        <f t="shared" ref="I33:I96" si="23">I32+AF32*dt</f>
        <v>44.647559925474731</v>
      </c>
      <c r="J33" s="2">
        <f t="shared" si="1"/>
        <v>234.18264784624822</v>
      </c>
      <c r="K33" s="2">
        <f t="shared" ref="K33:K96" si="24">J33/1.467</f>
        <v>159.63370677999197</v>
      </c>
      <c r="L33" s="5">
        <f t="shared" si="2"/>
        <v>14.94311958386678</v>
      </c>
      <c r="M33" s="3">
        <f t="shared" si="3"/>
        <v>21.972790792559994</v>
      </c>
      <c r="N33" s="2">
        <v>0</v>
      </c>
      <c r="O33" s="2">
        <f t="shared" si="4"/>
        <v>234.18264784624822</v>
      </c>
      <c r="P33" s="2">
        <f t="shared" si="5"/>
        <v>159.63370677999197</v>
      </c>
      <c r="Q33" s="5">
        <f t="shared" si="6"/>
        <v>1.9736847209268653</v>
      </c>
      <c r="R33" s="5">
        <f t="shared" si="7"/>
        <v>0.15206385196854144</v>
      </c>
      <c r="S33" s="4">
        <f t="shared" ref="S33:S96" si="25">(M33/O33)</f>
        <v>9.3827578578691923E-2</v>
      </c>
      <c r="T33" s="5">
        <f t="shared" si="8"/>
        <v>8.9031503506490209E-2</v>
      </c>
      <c r="U33" s="4">
        <f t="shared" si="9"/>
        <v>0</v>
      </c>
      <c r="V33" s="4">
        <f t="shared" si="10"/>
        <v>0</v>
      </c>
      <c r="W33" s="5">
        <f t="shared" si="11"/>
        <v>0</v>
      </c>
      <c r="X33" s="5">
        <f t="shared" si="12"/>
        <v>-46.519416621396616</v>
      </c>
      <c r="Y33" s="5">
        <f t="shared" si="13"/>
        <v>-9.0347734498226568</v>
      </c>
      <c r="Z33" s="5">
        <f>1</f>
        <v>1</v>
      </c>
      <c r="AA33" s="5">
        <f>IF(M33=0,0,const*($T33/omega)*O33*(wy*I33-wz*(H33-V33))/Z33)</f>
        <v>0</v>
      </c>
      <c r="AB33" s="5">
        <f>IF(M33=0,0,const*($T33/omega)*O33*(wz*(G33-U33)-wx*I33)/Z33)</f>
        <v>-5.2897480477124725</v>
      </c>
      <c r="AC33" s="5">
        <f>IF(M33=0,0,const*($T33/omega)*O33*(wx*(H33-V33)-wy*(G33-U33))/Z33)</f>
        <v>27.236542744587151</v>
      </c>
      <c r="AD33" s="5">
        <f t="shared" si="14"/>
        <v>0</v>
      </c>
      <c r="AE33" s="5">
        <f t="shared" si="14"/>
        <v>-51.809164669109087</v>
      </c>
      <c r="AF33" s="5">
        <f t="shared" si="15"/>
        <v>-13.972230705235503</v>
      </c>
      <c r="AG33">
        <f>IF($D33*$D34&lt;0,1,0)</f>
        <v>0</v>
      </c>
    </row>
    <row r="34" spans="1:33" x14ac:dyDescent="0.2">
      <c r="A34">
        <f t="shared" si="16"/>
        <v>0.02</v>
      </c>
      <c r="B34" s="5">
        <f t="shared" si="17"/>
        <v>0</v>
      </c>
      <c r="C34" s="5">
        <f t="shared" si="18"/>
        <v>4.5977546568555079</v>
      </c>
      <c r="D34" s="5">
        <f t="shared" si="19"/>
        <v>0.89294822432077225</v>
      </c>
      <c r="E34" s="2">
        <f t="shared" si="0"/>
        <v>1.5325848856185027</v>
      </c>
      <c r="F34" s="2">
        <f t="shared" si="20"/>
        <v>0</v>
      </c>
      <c r="G34" s="3">
        <f t="shared" si="21"/>
        <v>0</v>
      </c>
      <c r="H34" s="3">
        <f t="shared" si="22"/>
        <v>229.36907185962789</v>
      </c>
      <c r="I34" s="3">
        <f t="shared" si="23"/>
        <v>44.507837618422379</v>
      </c>
      <c r="J34" s="2">
        <f t="shared" si="1"/>
        <v>233.64742398583169</v>
      </c>
      <c r="K34" s="2">
        <f t="shared" si="24"/>
        <v>159.26886433935357</v>
      </c>
      <c r="L34" s="5">
        <f t="shared" si="2"/>
        <v>14.977350280760007</v>
      </c>
      <c r="M34" s="3">
        <f t="shared" si="3"/>
        <v>21.958158593649955</v>
      </c>
      <c r="N34" s="2">
        <v>0</v>
      </c>
      <c r="O34" s="2">
        <f t="shared" si="4"/>
        <v>233.64742398583169</v>
      </c>
      <c r="P34" s="2">
        <f t="shared" si="5"/>
        <v>159.26886433935357</v>
      </c>
      <c r="Q34" s="5">
        <f t="shared" si="6"/>
        <v>1.9691738693958281</v>
      </c>
      <c r="R34" s="5">
        <f t="shared" si="7"/>
        <v>0.15209564212693119</v>
      </c>
      <c r="S34" s="4">
        <f t="shared" si="25"/>
        <v>9.3979887383571117E-2</v>
      </c>
      <c r="T34" s="5">
        <f t="shared" si="8"/>
        <v>8.9089284743757921E-2</v>
      </c>
      <c r="U34" s="4">
        <f t="shared" si="9"/>
        <v>0</v>
      </c>
      <c r="V34" s="4">
        <f t="shared" si="10"/>
        <v>0</v>
      </c>
      <c r="W34" s="5">
        <f t="shared" si="11"/>
        <v>0</v>
      </c>
      <c r="X34" s="5">
        <f t="shared" si="12"/>
        <v>-46.318177594362432</v>
      </c>
      <c r="Y34" s="5">
        <f t="shared" si="13"/>
        <v>-8.9877938225811391</v>
      </c>
      <c r="Z34" s="5">
        <f>1</f>
        <v>1</v>
      </c>
      <c r="AA34" s="5">
        <f>IF(M34=0,0,const*($T34/omega)*O34*(wy*I34-wz*(H34-V34))/Z34)</f>
        <v>0</v>
      </c>
      <c r="AB34" s="5">
        <f>IF(M34=0,0,const*($T34/omega)*O34*(wz*(G34-U34)-wx*I34)/Z34)</f>
        <v>-5.2645566426543837</v>
      </c>
      <c r="AC34" s="5">
        <f>IF(M34=0,0,const*($T34/omega)*O34*(wx*(H34-V34)-wy*(G34-U34))/Z34)</f>
        <v>27.130647892412178</v>
      </c>
      <c r="AD34" s="5">
        <f t="shared" si="14"/>
        <v>0</v>
      </c>
      <c r="AE34" s="5">
        <f t="shared" si="14"/>
        <v>-51.582734237016815</v>
      </c>
      <c r="AF34" s="5">
        <f t="shared" si="15"/>
        <v>-14.031145930168961</v>
      </c>
      <c r="AG34">
        <f t="shared" ref="AG34:AG97" si="26">IF($D34*$D35&lt;0,1,0)</f>
        <v>0</v>
      </c>
    </row>
    <row r="35" spans="1:33" x14ac:dyDescent="0.2">
      <c r="A35">
        <f t="shared" si="16"/>
        <v>0.03</v>
      </c>
      <c r="B35" s="5">
        <f t="shared" si="17"/>
        <v>0</v>
      </c>
      <c r="C35" s="5">
        <f t="shared" si="18"/>
        <v>6.8888662387399364</v>
      </c>
      <c r="D35" s="5">
        <f t="shared" si="19"/>
        <v>1.3373250432084878</v>
      </c>
      <c r="E35" s="2">
        <f t="shared" si="0"/>
        <v>2.2962887462466455</v>
      </c>
      <c r="F35" s="2">
        <f t="shared" si="20"/>
        <v>0</v>
      </c>
      <c r="G35" s="3">
        <f t="shared" si="21"/>
        <v>0</v>
      </c>
      <c r="H35" s="3">
        <f t="shared" si="22"/>
        <v>228.85324451725774</v>
      </c>
      <c r="I35" s="3">
        <f t="shared" si="23"/>
        <v>44.367526159120686</v>
      </c>
      <c r="J35" s="2">
        <f t="shared" si="1"/>
        <v>233.11431724275542</v>
      </c>
      <c r="K35" s="2">
        <f t="shared" si="24"/>
        <v>158.90546505981965</v>
      </c>
      <c r="L35" s="5">
        <f t="shared" si="2"/>
        <v>15.011601829624652</v>
      </c>
      <c r="M35" s="3">
        <f t="shared" si="3"/>
        <v>21.943602864229522</v>
      </c>
      <c r="N35" s="2">
        <v>0</v>
      </c>
      <c r="O35" s="2">
        <f t="shared" si="4"/>
        <v>233.11431724275542</v>
      </c>
      <c r="P35" s="2">
        <f t="shared" si="5"/>
        <v>158.90546505981965</v>
      </c>
      <c r="Q35" s="5">
        <f t="shared" si="6"/>
        <v>1.9646808608697501</v>
      </c>
      <c r="R35" s="5">
        <f t="shared" si="7"/>
        <v>0.1521274682960686</v>
      </c>
      <c r="S35" s="4">
        <f t="shared" si="25"/>
        <v>9.4132368718384554E-2</v>
      </c>
      <c r="T35" s="5">
        <f t="shared" si="8"/>
        <v>8.9147075179397878E-2</v>
      </c>
      <c r="U35" s="4">
        <f t="shared" si="9"/>
        <v>0</v>
      </c>
      <c r="V35" s="4">
        <f t="shared" si="10"/>
        <v>0</v>
      </c>
      <c r="W35" s="5">
        <f t="shared" si="11"/>
        <v>0</v>
      </c>
      <c r="X35" s="5">
        <f t="shared" si="12"/>
        <v>-46.11821585330015</v>
      </c>
      <c r="Y35" s="5">
        <f t="shared" si="13"/>
        <v>-8.9408876531307779</v>
      </c>
      <c r="Z35" s="5">
        <f>1</f>
        <v>1</v>
      </c>
      <c r="AA35" s="5">
        <f>IF(M35=0,0,const*($T35/omega)*O35*(wy*I35-wz*(H35-V35))/Z35)</f>
        <v>0</v>
      </c>
      <c r="AB35" s="5">
        <f>IF(M35=0,0,const*($T35/omega)*O35*(wz*(G35-U35)-wx*I35)/Z35)</f>
        <v>-5.2393824252237158</v>
      </c>
      <c r="AC35" s="5">
        <f>IF(M35=0,0,const*($T35/omega)*O35*(wx*(H35-V35)-wy*(G35-U35))/Z35)</f>
        <v>27.02538931241844</v>
      </c>
      <c r="AD35" s="5">
        <f t="shared" si="14"/>
        <v>0</v>
      </c>
      <c r="AE35" s="5">
        <f t="shared" si="14"/>
        <v>-51.357598278523866</v>
      </c>
      <c r="AF35" s="5">
        <f t="shared" si="15"/>
        <v>-14.089498340712339</v>
      </c>
      <c r="AG35">
        <f t="shared" si="26"/>
        <v>0</v>
      </c>
    </row>
    <row r="36" spans="1:33" x14ac:dyDescent="0.2">
      <c r="A36">
        <f t="shared" si="16"/>
        <v>0.04</v>
      </c>
      <c r="B36" s="5">
        <f t="shared" si="17"/>
        <v>0</v>
      </c>
      <c r="C36" s="5">
        <f t="shared" si="18"/>
        <v>9.1748308039985886</v>
      </c>
      <c r="D36" s="5">
        <f t="shared" si="19"/>
        <v>1.780295829882659</v>
      </c>
      <c r="E36" s="2">
        <f t="shared" si="0"/>
        <v>3.0582769346661962</v>
      </c>
      <c r="F36" s="2">
        <f t="shared" si="20"/>
        <v>0</v>
      </c>
      <c r="G36" s="3">
        <f t="shared" si="21"/>
        <v>0</v>
      </c>
      <c r="H36" s="3">
        <f t="shared" si="22"/>
        <v>228.33966853447251</v>
      </c>
      <c r="I36" s="3">
        <f t="shared" si="23"/>
        <v>44.226631175713564</v>
      </c>
      <c r="J36" s="2">
        <f t="shared" si="1"/>
        <v>232.58331653750525</v>
      </c>
      <c r="K36" s="2">
        <f t="shared" si="24"/>
        <v>158.54350138889245</v>
      </c>
      <c r="L36" s="5">
        <f t="shared" si="2"/>
        <v>15.045874155245995</v>
      </c>
      <c r="M36" s="3">
        <f t="shared" si="3"/>
        <v>21.929123069885403</v>
      </c>
      <c r="N36" s="2">
        <v>0</v>
      </c>
      <c r="O36" s="2">
        <f t="shared" si="4"/>
        <v>232.58331653750525</v>
      </c>
      <c r="P36" s="2">
        <f t="shared" si="5"/>
        <v>158.54350138889245</v>
      </c>
      <c r="Q36" s="5">
        <f t="shared" si="6"/>
        <v>1.9602056019708001</v>
      </c>
      <c r="R36" s="5">
        <f t="shared" si="7"/>
        <v>0.15215933031234471</v>
      </c>
      <c r="S36" s="4">
        <f t="shared" si="25"/>
        <v>9.4285021799270882E-2</v>
      </c>
      <c r="T36" s="5">
        <f t="shared" si="8"/>
        <v>8.9204874471757178E-2</v>
      </c>
      <c r="U36" s="4">
        <f t="shared" si="9"/>
        <v>0</v>
      </c>
      <c r="V36" s="4">
        <f t="shared" si="10"/>
        <v>0</v>
      </c>
      <c r="W36" s="5">
        <f t="shared" si="11"/>
        <v>0</v>
      </c>
      <c r="X36" s="5">
        <f t="shared" si="12"/>
        <v>-45.91952129550873</v>
      </c>
      <c r="Y36" s="5">
        <f t="shared" si="13"/>
        <v>-8.8940557071676256</v>
      </c>
      <c r="Z36" s="5">
        <f>1</f>
        <v>1</v>
      </c>
      <c r="AA36" s="5">
        <f>IF(M36=0,0,const*($T36/omega)*O36*(wy*I36-wz*(H36-V36))/Z36)</f>
        <v>0</v>
      </c>
      <c r="AB36" s="5">
        <f>IF(M36=0,0,const*($T36/omega)*O36*(wz*(G36-U36)-wx*I36)/Z36)</f>
        <v>-5.2142259122333652</v>
      </c>
      <c r="AC36" s="5">
        <f>IF(M36=0,0,const*($T36/omega)*O36*(wx*(H36-V36)-wy*(G36-U36))/Z36)</f>
        <v>26.9207621022022</v>
      </c>
      <c r="AD36" s="5">
        <f t="shared" si="14"/>
        <v>0</v>
      </c>
      <c r="AE36" s="5">
        <f t="shared" si="14"/>
        <v>-51.133747207742097</v>
      </c>
      <c r="AF36" s="5">
        <f t="shared" si="15"/>
        <v>-14.147293604965427</v>
      </c>
      <c r="AG36">
        <f t="shared" si="26"/>
        <v>0</v>
      </c>
    </row>
    <row r="37" spans="1:33" x14ac:dyDescent="0.2">
      <c r="A37">
        <f t="shared" si="16"/>
        <v>0.05</v>
      </c>
      <c r="B37" s="5">
        <f t="shared" si="17"/>
        <v>0</v>
      </c>
      <c r="C37" s="5">
        <f t="shared" si="18"/>
        <v>11.455670801982926</v>
      </c>
      <c r="D37" s="5">
        <f t="shared" si="19"/>
        <v>2.221854776959546</v>
      </c>
      <c r="E37" s="2">
        <f t="shared" si="0"/>
        <v>3.8185569339943086</v>
      </c>
      <c r="F37" s="2">
        <f t="shared" si="20"/>
        <v>0</v>
      </c>
      <c r="G37" s="3">
        <f t="shared" si="21"/>
        <v>0</v>
      </c>
      <c r="H37" s="3">
        <f t="shared" si="22"/>
        <v>227.82833106239508</v>
      </c>
      <c r="I37" s="3">
        <f t="shared" si="23"/>
        <v>44.085158239663912</v>
      </c>
      <c r="J37" s="2">
        <f t="shared" si="1"/>
        <v>232.05441088609479</v>
      </c>
      <c r="K37" s="2">
        <f t="shared" si="24"/>
        <v>158.18296583919206</v>
      </c>
      <c r="L37" s="5">
        <f t="shared" si="2"/>
        <v>15.08016718092361</v>
      </c>
      <c r="M37" s="3">
        <f t="shared" si="3"/>
        <v>21.914718680776293</v>
      </c>
      <c r="N37" s="2">
        <v>0</v>
      </c>
      <c r="O37" s="2">
        <f t="shared" si="4"/>
        <v>232.05441088609479</v>
      </c>
      <c r="P37" s="2">
        <f t="shared" si="5"/>
        <v>158.18296583919206</v>
      </c>
      <c r="Q37" s="5">
        <f t="shared" si="6"/>
        <v>1.9557480001262513</v>
      </c>
      <c r="R37" s="5">
        <f t="shared" si="7"/>
        <v>0.15219122801077775</v>
      </c>
      <c r="S37" s="4">
        <f t="shared" si="25"/>
        <v>9.4437845835790887E-2</v>
      </c>
      <c r="T37" s="5">
        <f t="shared" si="8"/>
        <v>8.9262682278007474E-2</v>
      </c>
      <c r="U37" s="4">
        <f t="shared" si="9"/>
        <v>0</v>
      </c>
      <c r="V37" s="4">
        <f t="shared" si="10"/>
        <v>0</v>
      </c>
      <c r="W37" s="5">
        <f t="shared" si="11"/>
        <v>0</v>
      </c>
      <c r="X37" s="5">
        <f t="shared" si="12"/>
        <v>-45.722083917886117</v>
      </c>
      <c r="Y37" s="5">
        <f t="shared" si="13"/>
        <v>-8.847298732198384</v>
      </c>
      <c r="Z37" s="5">
        <f>1</f>
        <v>1</v>
      </c>
      <c r="AA37" s="5">
        <f>IF(M37=0,0,const*($T37/omega)*O37*(wy*I37-wz*(H37-V37))/Z37)</f>
        <v>0</v>
      </c>
      <c r="AB37" s="5">
        <f>IF(M37=0,0,const*($T37/omega)*O37*(wz*(G37-U37)-wx*I37)/Z37)</f>
        <v>-5.18908761085045</v>
      </c>
      <c r="AC37" s="5">
        <f>IF(M37=0,0,const*($T37/omega)*O37*(wx*(H37-V37)-wy*(G37-U37))/Z37)</f>
        <v>26.816761407310807</v>
      </c>
      <c r="AD37" s="5">
        <f t="shared" si="14"/>
        <v>0</v>
      </c>
      <c r="AE37" s="5">
        <f t="shared" si="14"/>
        <v>-50.911171528736567</v>
      </c>
      <c r="AF37" s="5">
        <f t="shared" si="15"/>
        <v>-14.204537324887575</v>
      </c>
      <c r="AG37">
        <f t="shared" si="26"/>
        <v>0</v>
      </c>
    </row>
    <row r="38" spans="1:33" x14ac:dyDescent="0.2">
      <c r="A38">
        <f t="shared" si="16"/>
        <v>6.0000000000000005E-2</v>
      </c>
      <c r="B38" s="5">
        <f t="shared" si="17"/>
        <v>0</v>
      </c>
      <c r="C38" s="5">
        <f t="shared" si="18"/>
        <v>13.731408554030441</v>
      </c>
      <c r="D38" s="5">
        <f t="shared" si="19"/>
        <v>2.661996132489941</v>
      </c>
      <c r="E38" s="2">
        <f t="shared" si="0"/>
        <v>4.5771361846768137</v>
      </c>
      <c r="F38" s="2">
        <f t="shared" si="20"/>
        <v>0</v>
      </c>
      <c r="G38" s="3">
        <f t="shared" si="21"/>
        <v>0</v>
      </c>
      <c r="H38" s="3">
        <f t="shared" si="22"/>
        <v>227.31921934710772</v>
      </c>
      <c r="I38" s="3">
        <f t="shared" si="23"/>
        <v>43.943112866415035</v>
      </c>
      <c r="J38" s="2">
        <f t="shared" si="1"/>
        <v>231.52758939912314</v>
      </c>
      <c r="K38" s="2">
        <f t="shared" si="24"/>
        <v>157.82385098781398</v>
      </c>
      <c r="L38" s="5">
        <f t="shared" si="2"/>
        <v>15.114480828461915</v>
      </c>
      <c r="M38" s="3">
        <f t="shared" si="3"/>
        <v>21.900389171578563</v>
      </c>
      <c r="N38" s="2">
        <v>0</v>
      </c>
      <c r="O38" s="2">
        <f t="shared" si="4"/>
        <v>231.52758939912314</v>
      </c>
      <c r="P38" s="2">
        <f t="shared" si="5"/>
        <v>157.82385098781398</v>
      </c>
      <c r="Q38" s="5">
        <f t="shared" si="6"/>
        <v>1.9513079635605421</v>
      </c>
      <c r="R38" s="5">
        <f t="shared" si="7"/>
        <v>0.15222316122499471</v>
      </c>
      <c r="S38" s="4">
        <f t="shared" si="25"/>
        <v>9.4590840030840423E-2</v>
      </c>
      <c r="T38" s="5">
        <f t="shared" si="8"/>
        <v>8.9320498254119543E-2</v>
      </c>
      <c r="U38" s="4">
        <f t="shared" si="9"/>
        <v>0</v>
      </c>
      <c r="V38" s="4">
        <f t="shared" si="10"/>
        <v>0</v>
      </c>
      <c r="W38" s="5">
        <f t="shared" si="11"/>
        <v>0</v>
      </c>
      <c r="X38" s="5">
        <f t="shared" si="12"/>
        <v>-45.525893815760249</v>
      </c>
      <c r="Y38" s="5">
        <f t="shared" si="13"/>
        <v>-8.8006174578473129</v>
      </c>
      <c r="Z38" s="5">
        <f>1</f>
        <v>1</v>
      </c>
      <c r="AA38" s="5">
        <f>IF(M38=0,0,const*($T38/omega)*O38*(wy*I38-wz*(H38-V38))/Z38)</f>
        <v>0</v>
      </c>
      <c r="AB38" s="5">
        <f>IF(M38=0,0,const*($T38/omega)*O38*(wz*(G38-U38)-wx*I38)/Z38)</f>
        <v>-5.1639680187495216</v>
      </c>
      <c r="AC38" s="5">
        <f>IF(M38=0,0,const*($T38/omega)*O38*(wx*(H38-V38)-wy*(G38-U38))/Z38)</f>
        <v>26.713382420678254</v>
      </c>
      <c r="AD38" s="5">
        <f t="shared" si="14"/>
        <v>0</v>
      </c>
      <c r="AE38" s="5">
        <f t="shared" si="14"/>
        <v>-50.68986183450977</v>
      </c>
      <c r="AF38" s="5">
        <f t="shared" si="15"/>
        <v>-14.261235037169058</v>
      </c>
      <c r="AG38">
        <f t="shared" si="26"/>
        <v>0</v>
      </c>
    </row>
    <row r="39" spans="1:33" x14ac:dyDescent="0.2">
      <c r="A39">
        <f t="shared" si="16"/>
        <v>7.0000000000000007E-2</v>
      </c>
      <c r="B39" s="5">
        <f t="shared" si="17"/>
        <v>0</v>
      </c>
      <c r="C39" s="5">
        <f t="shared" si="18"/>
        <v>16.002066254409794</v>
      </c>
      <c r="D39" s="5">
        <f t="shared" si="19"/>
        <v>3.1007141994022329</v>
      </c>
      <c r="E39" s="2">
        <f t="shared" si="0"/>
        <v>5.3340220848032649</v>
      </c>
      <c r="F39" s="2">
        <f t="shared" si="20"/>
        <v>0</v>
      </c>
      <c r="G39" s="3">
        <f t="shared" si="21"/>
        <v>0</v>
      </c>
      <c r="H39" s="3">
        <f t="shared" si="22"/>
        <v>226.81232072876261</v>
      </c>
      <c r="I39" s="3">
        <f t="shared" si="23"/>
        <v>43.800500516043343</v>
      </c>
      <c r="J39" s="2">
        <f t="shared" si="1"/>
        <v>231.00284128084442</v>
      </c>
      <c r="K39" s="2">
        <f t="shared" si="24"/>
        <v>157.46614947569489</v>
      </c>
      <c r="L39" s="5">
        <f t="shared" si="2"/>
        <v>15.1488150181607</v>
      </c>
      <c r="M39" s="3">
        <f t="shared" si="3"/>
        <v>21.886134021432689</v>
      </c>
      <c r="N39" s="2">
        <v>0</v>
      </c>
      <c r="O39" s="2">
        <f t="shared" si="4"/>
        <v>231.00284128084442</v>
      </c>
      <c r="P39" s="2">
        <f t="shared" si="5"/>
        <v>157.46614947569489</v>
      </c>
      <c r="Q39" s="5">
        <f t="shared" si="6"/>
        <v>1.9468854012874321</v>
      </c>
      <c r="R39" s="5">
        <f t="shared" si="7"/>
        <v>0.15225512978721342</v>
      </c>
      <c r="S39" s="4">
        <f t="shared" si="25"/>
        <v>9.4744003580563604E-2</v>
      </c>
      <c r="T39" s="5">
        <f t="shared" si="8"/>
        <v>8.9378322054837811E-2</v>
      </c>
      <c r="U39" s="4">
        <f t="shared" si="9"/>
        <v>0</v>
      </c>
      <c r="V39" s="4">
        <f t="shared" si="10"/>
        <v>0</v>
      </c>
      <c r="W39" s="5">
        <f t="shared" si="11"/>
        <v>0</v>
      </c>
      <c r="X39" s="5">
        <f t="shared" si="12"/>
        <v>-45.330941181736229</v>
      </c>
      <c r="Y39" s="5">
        <f t="shared" si="13"/>
        <v>-8.7540125961577875</v>
      </c>
      <c r="Z39" s="5">
        <f>1</f>
        <v>1</v>
      </c>
      <c r="AA39" s="5">
        <f>IF(M39=0,0,const*($T39/omega)*O39*(wy*I39-wz*(H39-V39))/Z39)</f>
        <v>0</v>
      </c>
      <c r="AB39" s="5">
        <f>IF(M39=0,0,const*($T39/omega)*O39*(wz*(G39-U39)-wx*I39)/Z39)</f>
        <v>-5.1388676242631668</v>
      </c>
      <c r="AC39" s="5">
        <f>IF(M39=0,0,const*($T39/omega)*O39*(wx*(H39-V39)-wy*(G39-U39))/Z39)</f>
        <v>26.610620382068657</v>
      </c>
      <c r="AD39" s="5">
        <f t="shared" si="14"/>
        <v>0</v>
      </c>
      <c r="AE39" s="5">
        <f t="shared" si="14"/>
        <v>-50.469808805999392</v>
      </c>
      <c r="AF39" s="5">
        <f t="shared" si="15"/>
        <v>-14.317392214089132</v>
      </c>
      <c r="AG39">
        <f t="shared" si="26"/>
        <v>0</v>
      </c>
    </row>
    <row r="40" spans="1:33" x14ac:dyDescent="0.2">
      <c r="A40">
        <f t="shared" si="16"/>
        <v>0.08</v>
      </c>
      <c r="B40" s="5">
        <f t="shared" si="17"/>
        <v>0</v>
      </c>
      <c r="C40" s="5">
        <f t="shared" si="18"/>
        <v>18.26766597125712</v>
      </c>
      <c r="D40" s="5">
        <f t="shared" si="19"/>
        <v>3.538003334951962</v>
      </c>
      <c r="E40" s="2">
        <f t="shared" si="0"/>
        <v>6.0892219904190403</v>
      </c>
      <c r="F40" s="2">
        <f t="shared" si="20"/>
        <v>0</v>
      </c>
      <c r="G40" s="3">
        <f t="shared" si="21"/>
        <v>0</v>
      </c>
      <c r="H40" s="3">
        <f t="shared" si="22"/>
        <v>226.30762264070262</v>
      </c>
      <c r="I40" s="3">
        <f t="shared" si="23"/>
        <v>43.657326593902454</v>
      </c>
      <c r="J40" s="2">
        <f t="shared" si="1"/>
        <v>230.48015582824766</v>
      </c>
      <c r="K40" s="2">
        <f t="shared" si="24"/>
        <v>157.10985400698544</v>
      </c>
      <c r="L40" s="5">
        <f t="shared" si="2"/>
        <v>15.183169668805647</v>
      </c>
      <c r="M40" s="3">
        <f t="shared" si="3"/>
        <v>21.871952713890366</v>
      </c>
      <c r="N40" s="2">
        <v>0</v>
      </c>
      <c r="O40" s="2">
        <f t="shared" si="4"/>
        <v>230.48015582824766</v>
      </c>
      <c r="P40" s="2">
        <f t="shared" si="5"/>
        <v>157.10985400698544</v>
      </c>
      <c r="Q40" s="5">
        <f t="shared" si="6"/>
        <v>1.9424802231022482</v>
      </c>
      <c r="R40" s="5">
        <f t="shared" si="7"/>
        <v>0.15228713352822432</v>
      </c>
      <c r="S40" s="4">
        <f t="shared" si="25"/>
        <v>9.4897335674266059E-2</v>
      </c>
      <c r="T40" s="5">
        <f t="shared" si="8"/>
        <v>8.9436153333655163E-2</v>
      </c>
      <c r="U40" s="4">
        <f t="shared" si="9"/>
        <v>0</v>
      </c>
      <c r="V40" s="4">
        <f t="shared" si="10"/>
        <v>0</v>
      </c>
      <c r="W40" s="5">
        <f t="shared" si="11"/>
        <v>0</v>
      </c>
      <c r="X40" s="5">
        <f t="shared" si="12"/>
        <v>-45.137216304559061</v>
      </c>
      <c r="Y40" s="5">
        <f t="shared" si="13"/>
        <v>-8.707484841888558</v>
      </c>
      <c r="Z40" s="5">
        <f>1</f>
        <v>1</v>
      </c>
      <c r="AA40" s="5">
        <f>IF(M40=0,0,const*($T40/omega)*O40*(wy*I40-wz*(H40-V40))/Z40)</f>
        <v>0</v>
      </c>
      <c r="AB40" s="5">
        <f>IF(M40=0,0,const*($T40/omega)*O40*(wz*(G40-U40)-wx*I40)/Z40)</f>
        <v>-5.1137869065300254</v>
      </c>
      <c r="AC40" s="5">
        <f>IF(M40=0,0,const*($T40/omega)*O40*(wx*(H40-V40)-wy*(G40-U40))/Z40)</f>
        <v>26.508470577527291</v>
      </c>
      <c r="AD40" s="5">
        <f t="shared" si="14"/>
        <v>0</v>
      </c>
      <c r="AE40" s="5">
        <f t="shared" si="14"/>
        <v>-50.251003211089085</v>
      </c>
      <c r="AF40" s="5">
        <f t="shared" si="15"/>
        <v>-14.373014264361267</v>
      </c>
      <c r="AG40">
        <f t="shared" si="26"/>
        <v>0</v>
      </c>
    </row>
    <row r="41" spans="1:33" x14ac:dyDescent="0.2">
      <c r="A41">
        <f t="shared" si="16"/>
        <v>0.09</v>
      </c>
      <c r="B41" s="5">
        <f t="shared" si="17"/>
        <v>0</v>
      </c>
      <c r="C41" s="5">
        <f t="shared" si="18"/>
        <v>20.528229647503593</v>
      </c>
      <c r="D41" s="5">
        <f t="shared" si="19"/>
        <v>3.9738579501777687</v>
      </c>
      <c r="E41" s="2">
        <f t="shared" si="0"/>
        <v>6.8427432158345312</v>
      </c>
      <c r="F41" s="2">
        <f t="shared" si="20"/>
        <v>0</v>
      </c>
      <c r="G41" s="3">
        <f t="shared" si="21"/>
        <v>0</v>
      </c>
      <c r="H41" s="3">
        <f t="shared" si="22"/>
        <v>225.80511260859174</v>
      </c>
      <c r="I41" s="3">
        <f t="shared" si="23"/>
        <v>43.513596451258842</v>
      </c>
      <c r="J41" s="2">
        <f t="shared" si="1"/>
        <v>229.95952243014813</v>
      </c>
      <c r="K41" s="2">
        <f t="shared" si="24"/>
        <v>156.75495734843088</v>
      </c>
      <c r="L41" s="5">
        <f t="shared" si="2"/>
        <v>15.217544697658791</v>
      </c>
      <c r="M41" s="3">
        <f t="shared" si="3"/>
        <v>21.857844736862404</v>
      </c>
      <c r="N41" s="2">
        <v>0</v>
      </c>
      <c r="O41" s="2">
        <f t="shared" si="4"/>
        <v>229.95952243014813</v>
      </c>
      <c r="P41" s="2">
        <f t="shared" si="5"/>
        <v>156.75495734843088</v>
      </c>
      <c r="Q41" s="5">
        <f t="shared" si="6"/>
        <v>1.9380923395742253</v>
      </c>
      <c r="R41" s="5">
        <f t="shared" si="7"/>
        <v>0.15231917227737254</v>
      </c>
      <c r="S41" s="4">
        <f t="shared" si="25"/>
        <v>9.5050835494328717E-2</v>
      </c>
      <c r="T41" s="5">
        <f t="shared" si="8"/>
        <v>8.9493991742788048E-2</v>
      </c>
      <c r="U41" s="4">
        <f t="shared" si="9"/>
        <v>0</v>
      </c>
      <c r="V41" s="4">
        <f t="shared" si="10"/>
        <v>0</v>
      </c>
      <c r="W41" s="5">
        <f t="shared" si="11"/>
        <v>0</v>
      </c>
      <c r="X41" s="5">
        <f t="shared" si="12"/>
        <v>-44.944709567992049</v>
      </c>
      <c r="Y41" s="5">
        <f t="shared" si="13"/>
        <v>-8.6610348728048461</v>
      </c>
      <c r="Z41" s="5">
        <f>1</f>
        <v>1</v>
      </c>
      <c r="AA41" s="5">
        <f>IF(M41=0,0,const*($T41/omega)*O41*(wy*I41-wz*(H41-V41))/Z41)</f>
        <v>0</v>
      </c>
      <c r="AB41" s="5">
        <f>IF(M41=0,0,const*($T41/omega)*O41*(wz*(G41-U41)-wx*I41)/Z41)</f>
        <v>-5.0887263356402901</v>
      </c>
      <c r="AC41" s="5">
        <f>IF(M41=0,0,const*($T41/omega)*O41*(wx*(H41-V41)-wy*(G41-U41))/Z41)</f>
        <v>26.406928338839251</v>
      </c>
      <c r="AD41" s="5">
        <f t="shared" si="14"/>
        <v>0</v>
      </c>
      <c r="AE41" s="5">
        <f t="shared" si="14"/>
        <v>-50.033435903632338</v>
      </c>
      <c r="AF41" s="5">
        <f t="shared" si="15"/>
        <v>-14.428106533965597</v>
      </c>
      <c r="AG41">
        <f t="shared" si="26"/>
        <v>0</v>
      </c>
    </row>
    <row r="42" spans="1:33" x14ac:dyDescent="0.2">
      <c r="A42">
        <f t="shared" si="16"/>
        <v>9.9999999999999992E-2</v>
      </c>
      <c r="B42" s="5">
        <f t="shared" si="17"/>
        <v>0</v>
      </c>
      <c r="C42" s="5">
        <f t="shared" si="18"/>
        <v>22.78377910179433</v>
      </c>
      <c r="D42" s="5">
        <f t="shared" si="19"/>
        <v>4.408272509363659</v>
      </c>
      <c r="E42" s="2">
        <f t="shared" si="0"/>
        <v>7.5945930339314431</v>
      </c>
      <c r="F42" s="2">
        <f t="shared" si="20"/>
        <v>0</v>
      </c>
      <c r="G42" s="3">
        <f t="shared" si="21"/>
        <v>0</v>
      </c>
      <c r="H42" s="3">
        <f t="shared" si="22"/>
        <v>225.30477824955543</v>
      </c>
      <c r="I42" s="3">
        <f t="shared" si="23"/>
        <v>43.369315385919187</v>
      </c>
      <c r="J42" s="2">
        <f t="shared" si="1"/>
        <v>229.44093056628904</v>
      </c>
      <c r="K42" s="2">
        <f t="shared" si="24"/>
        <v>156.40145232875872</v>
      </c>
      <c r="L42" s="5">
        <f t="shared" si="2"/>
        <v>15.251940020449021</v>
      </c>
      <c r="M42" s="3">
        <f t="shared" si="3"/>
        <v>21.843809582567264</v>
      </c>
      <c r="N42" s="2">
        <v>0</v>
      </c>
      <c r="O42" s="2">
        <f t="shared" si="4"/>
        <v>229.44093056628904</v>
      </c>
      <c r="P42" s="2">
        <f t="shared" si="5"/>
        <v>156.40145232875872</v>
      </c>
      <c r="Q42" s="5">
        <f t="shared" si="6"/>
        <v>1.9337216620389386</v>
      </c>
      <c r="R42" s="5">
        <f t="shared" si="7"/>
        <v>0.1523512458625399</v>
      </c>
      <c r="S42" s="4">
        <f t="shared" si="25"/>
        <v>9.5204502216121589E-2</v>
      </c>
      <c r="T42" s="5">
        <f t="shared" si="8"/>
        <v>8.9551836933151746E-2</v>
      </c>
      <c r="U42" s="4">
        <f t="shared" si="9"/>
        <v>0</v>
      </c>
      <c r="V42" s="4">
        <f t="shared" si="10"/>
        <v>0</v>
      </c>
      <c r="W42" s="5">
        <f t="shared" si="11"/>
        <v>0</v>
      </c>
      <c r="X42" s="5">
        <f t="shared" si="12"/>
        <v>-44.753411449710242</v>
      </c>
      <c r="Y42" s="5">
        <f t="shared" si="13"/>
        <v>-8.6146633499643492</v>
      </c>
      <c r="Z42" s="5">
        <f>1</f>
        <v>1</v>
      </c>
      <c r="AA42" s="5">
        <f>IF(M42=0,0,const*($T42/omega)*O42*(wy*I42-wz*(H42-V42))/Z42)</f>
        <v>0</v>
      </c>
      <c r="AB42" s="5">
        <f>IF(M42=0,0,const*($T42/omega)*O42*(wz*(G42-U42)-wx*I42)/Z42)</f>
        <v>-5.0636863727787373</v>
      </c>
      <c r="AC42" s="5">
        <f>IF(M42=0,0,const*($T42/omega)*O42*(wx*(H42-V42)-wy*(G42-U42))/Z42)</f>
        <v>26.305989042995563</v>
      </c>
      <c r="AD42" s="5">
        <f t="shared" si="14"/>
        <v>0</v>
      </c>
      <c r="AE42" s="5">
        <f t="shared" si="14"/>
        <v>-49.817097822488982</v>
      </c>
      <c r="AF42" s="5">
        <f t="shared" si="15"/>
        <v>-14.482674306968786</v>
      </c>
      <c r="AG42">
        <f t="shared" si="26"/>
        <v>0</v>
      </c>
    </row>
    <row r="43" spans="1:33" x14ac:dyDescent="0.2">
      <c r="A43">
        <f t="shared" si="16"/>
        <v>0.10999999999999999</v>
      </c>
      <c r="B43" s="5">
        <f t="shared" si="17"/>
        <v>0</v>
      </c>
      <c r="C43" s="5">
        <f t="shared" si="18"/>
        <v>25.034336029398759</v>
      </c>
      <c r="D43" s="5">
        <f t="shared" si="19"/>
        <v>4.8412415295075029</v>
      </c>
      <c r="E43" s="2">
        <f t="shared" si="0"/>
        <v>8.3447786764662535</v>
      </c>
      <c r="F43" s="2">
        <f t="shared" si="20"/>
        <v>0</v>
      </c>
      <c r="G43" s="3">
        <f t="shared" si="21"/>
        <v>0</v>
      </c>
      <c r="H43" s="3">
        <f t="shared" si="22"/>
        <v>224.80660727133053</v>
      </c>
      <c r="I43" s="3">
        <f t="shared" si="23"/>
        <v>43.224488642849501</v>
      </c>
      <c r="J43" s="2">
        <f t="shared" si="1"/>
        <v>228.92436980645391</v>
      </c>
      <c r="K43" s="2">
        <f t="shared" si="24"/>
        <v>156.04933183807356</v>
      </c>
      <c r="L43" s="5">
        <f t="shared" si="2"/>
        <v>15.286355551362501</v>
      </c>
      <c r="M43" s="3">
        <f t="shared" si="3"/>
        <v>21.829846747480328</v>
      </c>
      <c r="N43" s="2">
        <v>0</v>
      </c>
      <c r="O43" s="2">
        <f t="shared" si="4"/>
        <v>228.92436980645391</v>
      </c>
      <c r="P43" s="2">
        <f t="shared" si="5"/>
        <v>156.04933183807356</v>
      </c>
      <c r="Q43" s="5">
        <f t="shared" si="6"/>
        <v>1.9293681025908174</v>
      </c>
      <c r="R43" s="5">
        <f t="shared" si="7"/>
        <v>0.15238335411012691</v>
      </c>
      <c r="S43" s="4">
        <f t="shared" si="25"/>
        <v>9.5358335007917946E-2</v>
      </c>
      <c r="T43" s="5">
        <f t="shared" si="8"/>
        <v>8.9609688554335862E-2</v>
      </c>
      <c r="U43" s="4">
        <f t="shared" si="9"/>
        <v>0</v>
      </c>
      <c r="V43" s="4">
        <f t="shared" si="10"/>
        <v>0</v>
      </c>
      <c r="W43" s="5">
        <f t="shared" si="11"/>
        <v>0</v>
      </c>
      <c r="X43" s="5">
        <f t="shared" si="12"/>
        <v>-44.563312520209017</v>
      </c>
      <c r="Y43" s="5">
        <f t="shared" si="13"/>
        <v>-8.5683709179982728</v>
      </c>
      <c r="Z43" s="5">
        <f>1</f>
        <v>1</v>
      </c>
      <c r="AA43" s="5">
        <f>IF(M43=0,0,const*($T43/omega)*O43*(wy*I43-wz*(H43-V43))/Z43)</f>
        <v>0</v>
      </c>
      <c r="AB43" s="5">
        <f>IF(M43=0,0,const*($T43/omega)*O43*(wz*(G43-U43)-wx*I43)/Z43)</f>
        <v>-5.0386674703653087</v>
      </c>
      <c r="AC43" s="5">
        <f>IF(M43=0,0,const*($T43/omega)*O43*(wx*(H43-V43)-wy*(G43-U43))/Z43)</f>
        <v>26.205648111666576</v>
      </c>
      <c r="AD43" s="5">
        <f t="shared" si="14"/>
        <v>0</v>
      </c>
      <c r="AE43" s="5">
        <f t="shared" si="14"/>
        <v>-49.601979990574328</v>
      </c>
      <c r="AF43" s="5">
        <f t="shared" si="15"/>
        <v>-14.536722806331696</v>
      </c>
      <c r="AG43">
        <f t="shared" si="26"/>
        <v>0</v>
      </c>
    </row>
    <row r="44" spans="1:33" x14ac:dyDescent="0.2">
      <c r="A44">
        <f t="shared" si="16"/>
        <v>0.11999999999999998</v>
      </c>
      <c r="B44" s="5">
        <f t="shared" si="17"/>
        <v>0</v>
      </c>
      <c r="C44" s="5">
        <f t="shared" si="18"/>
        <v>27.279922003112539</v>
      </c>
      <c r="D44" s="5">
        <f t="shared" si="19"/>
        <v>5.2727595797956814</v>
      </c>
      <c r="E44" s="2">
        <f t="shared" si="0"/>
        <v>9.0933073343708468</v>
      </c>
      <c r="F44" s="2">
        <f t="shared" si="20"/>
        <v>0</v>
      </c>
      <c r="G44" s="3">
        <f t="shared" si="21"/>
        <v>0</v>
      </c>
      <c r="H44" s="3">
        <f t="shared" si="22"/>
        <v>224.31058747142478</v>
      </c>
      <c r="I44" s="3">
        <f t="shared" si="23"/>
        <v>43.079121414786187</v>
      </c>
      <c r="J44" s="2">
        <f t="shared" si="1"/>
        <v>228.40982980958941</v>
      </c>
      <c r="K44" s="2">
        <f t="shared" si="24"/>
        <v>155.6985888272593</v>
      </c>
      <c r="L44" s="5">
        <f t="shared" si="2"/>
        <v>15.320791203033117</v>
      </c>
      <c r="M44" s="3">
        <f t="shared" si="3"/>
        <v>21.815955732283818</v>
      </c>
      <c r="N44" s="2">
        <v>0</v>
      </c>
      <c r="O44" s="2">
        <f t="shared" si="4"/>
        <v>228.40982980958941</v>
      </c>
      <c r="P44" s="2">
        <f t="shared" si="5"/>
        <v>155.6985888272593</v>
      </c>
      <c r="Q44" s="5">
        <f t="shared" si="6"/>
        <v>1.9250315740757589</v>
      </c>
      <c r="R44" s="5">
        <f t="shared" si="7"/>
        <v>0.152415496845035</v>
      </c>
      <c r="S44" s="4">
        <f t="shared" si="25"/>
        <v>9.5512333030808597E-2</v>
      </c>
      <c r="T44" s="5">
        <f t="shared" si="8"/>
        <v>8.9667546254580066E-2</v>
      </c>
      <c r="U44" s="4">
        <f t="shared" si="9"/>
        <v>0</v>
      </c>
      <c r="V44" s="4">
        <f t="shared" si="10"/>
        <v>0</v>
      </c>
      <c r="W44" s="5">
        <f t="shared" si="11"/>
        <v>0</v>
      </c>
      <c r="X44" s="5">
        <f t="shared" si="12"/>
        <v>-44.374403441727402</v>
      </c>
      <c r="Y44" s="5">
        <f t="shared" si="13"/>
        <v>-8.5221582053874432</v>
      </c>
      <c r="Z44" s="5">
        <f>1</f>
        <v>1</v>
      </c>
      <c r="AA44" s="5">
        <f>IF(M44=0,0,const*($T44/omega)*O44*(wy*I44-wz*(H44-V44))/Z44)</f>
        <v>0</v>
      </c>
      <c r="AB44" s="5">
        <f>IF(M44=0,0,const*($T44/omega)*O44*(wz*(G44-U44)-wx*I44)/Z44)</f>
        <v>-5.0136700721933227</v>
      </c>
      <c r="AC44" s="5">
        <f>IF(M44=0,0,const*($T44/omega)*O44*(wx*(H44-V44)-wy*(G44-U44))/Z44)</f>
        <v>26.105901010682594</v>
      </c>
      <c r="AD44" s="5">
        <f t="shared" si="14"/>
        <v>0</v>
      </c>
      <c r="AE44" s="5">
        <f t="shared" si="14"/>
        <v>-49.388073513920723</v>
      </c>
      <c r="AF44" s="5">
        <f t="shared" si="15"/>
        <v>-14.590257194704847</v>
      </c>
      <c r="AG44">
        <f t="shared" si="26"/>
        <v>0</v>
      </c>
    </row>
    <row r="45" spans="1:33" x14ac:dyDescent="0.2">
      <c r="A45">
        <f t="shared" si="16"/>
        <v>0.12999999999999998</v>
      </c>
      <c r="B45" s="5">
        <f t="shared" si="17"/>
        <v>0</v>
      </c>
      <c r="C45" s="5">
        <f t="shared" si="18"/>
        <v>29.520558474151091</v>
      </c>
      <c r="D45" s="5">
        <f t="shared" si="19"/>
        <v>5.7028212810838088</v>
      </c>
      <c r="E45" s="2">
        <f t="shared" si="0"/>
        <v>9.8401861580503631</v>
      </c>
      <c r="F45" s="2">
        <f t="shared" si="20"/>
        <v>0</v>
      </c>
      <c r="G45" s="3">
        <f t="shared" si="21"/>
        <v>0</v>
      </c>
      <c r="H45" s="3">
        <f t="shared" si="22"/>
        <v>223.81670673628557</v>
      </c>
      <c r="I45" s="3">
        <f t="shared" si="23"/>
        <v>42.933218842839139</v>
      </c>
      <c r="J45" s="2">
        <f t="shared" si="1"/>
        <v>227.89730032293838</v>
      </c>
      <c r="K45" s="2">
        <f t="shared" si="24"/>
        <v>155.3492163073881</v>
      </c>
      <c r="L45" s="5">
        <f t="shared" si="2"/>
        <v>15.355246886532882</v>
      </c>
      <c r="M45" s="3">
        <f t="shared" si="3"/>
        <v>21.802136041817405</v>
      </c>
      <c r="N45" s="2">
        <v>0</v>
      </c>
      <c r="O45" s="2">
        <f t="shared" si="4"/>
        <v>227.89730032293838</v>
      </c>
      <c r="P45" s="2">
        <f t="shared" si="5"/>
        <v>155.3492163073881</v>
      </c>
      <c r="Q45" s="5">
        <f t="shared" si="6"/>
        <v>1.9207119900838148</v>
      </c>
      <c r="R45" s="5">
        <f t="shared" si="7"/>
        <v>0.15244767389064867</v>
      </c>
      <c r="S45" s="4">
        <f t="shared" si="25"/>
        <v>9.5666495438616522E-2</v>
      </c>
      <c r="T45" s="5">
        <f t="shared" si="8"/>
        <v>8.9725409680750032E-2</v>
      </c>
      <c r="U45" s="4">
        <f t="shared" si="9"/>
        <v>0</v>
      </c>
      <c r="V45" s="4">
        <f t="shared" si="10"/>
        <v>0</v>
      </c>
      <c r="W45" s="5">
        <f t="shared" si="11"/>
        <v>0</v>
      </c>
      <c r="X45" s="5">
        <f t="shared" si="12"/>
        <v>-44.186674967185922</v>
      </c>
      <c r="Y45" s="5">
        <f t="shared" si="13"/>
        <v>-8.4760258247336537</v>
      </c>
      <c r="Z45" s="5">
        <f>1</f>
        <v>1</v>
      </c>
      <c r="AA45" s="5">
        <f>IF(M45=0,0,const*($T45/omega)*O45*(wy*I45-wz*(H45-V45))/Z45)</f>
        <v>0</v>
      </c>
      <c r="AB45" s="5">
        <f>IF(M45=0,0,const*($T45/omega)*O45*(wz*(G45-U45)-wx*I45)/Z45)</f>
        <v>-4.9886946135653387</v>
      </c>
      <c r="AC45" s="5">
        <f>IF(M45=0,0,const*($T45/omega)*O45*(wx*(H45-V45)-wy*(G45-U45))/Z45)</f>
        <v>26.006743249521612</v>
      </c>
      <c r="AD45" s="5">
        <f t="shared" si="14"/>
        <v>0</v>
      </c>
      <c r="AE45" s="5">
        <f t="shared" si="14"/>
        <v>-49.175369580751259</v>
      </c>
      <c r="AF45" s="5">
        <f t="shared" si="15"/>
        <v>-14.643282575212041</v>
      </c>
      <c r="AG45">
        <f t="shared" si="26"/>
        <v>0</v>
      </c>
    </row>
    <row r="46" spans="1:33" x14ac:dyDescent="0.2">
      <c r="A46">
        <f t="shared" si="16"/>
        <v>0.13999999999999999</v>
      </c>
      <c r="B46" s="5">
        <f t="shared" si="17"/>
        <v>0</v>
      </c>
      <c r="C46" s="5">
        <f t="shared" si="18"/>
        <v>31.756266773034909</v>
      </c>
      <c r="D46" s="5">
        <f t="shared" si="19"/>
        <v>6.1314213053834399</v>
      </c>
      <c r="E46" s="2">
        <f t="shared" si="0"/>
        <v>10.585422257678303</v>
      </c>
      <c r="F46" s="2">
        <f t="shared" si="20"/>
        <v>0</v>
      </c>
      <c r="G46" s="3">
        <f t="shared" si="21"/>
        <v>0</v>
      </c>
      <c r="H46" s="3">
        <f t="shared" si="22"/>
        <v>223.32495304047805</v>
      </c>
      <c r="I46" s="3">
        <f t="shared" si="23"/>
        <v>42.786786017087017</v>
      </c>
      <c r="J46" s="2">
        <f t="shared" si="1"/>
        <v>227.38677118118309</v>
      </c>
      <c r="K46" s="2">
        <f t="shared" si="24"/>
        <v>155.00120734913639</v>
      </c>
      <c r="L46" s="5">
        <f t="shared" si="2"/>
        <v>15.389722511362331</v>
      </c>
      <c r="M46" s="3">
        <f t="shared" si="3"/>
        <v>21.788387185029489</v>
      </c>
      <c r="N46" s="2">
        <v>0</v>
      </c>
      <c r="O46" s="2">
        <f t="shared" si="4"/>
        <v>227.38677118118309</v>
      </c>
      <c r="P46" s="2">
        <f t="shared" si="5"/>
        <v>155.00120734913639</v>
      </c>
      <c r="Q46" s="5">
        <f t="shared" si="6"/>
        <v>1.9164092649419768</v>
      </c>
      <c r="R46" s="5">
        <f t="shared" si="7"/>
        <v>0.1524798850688176</v>
      </c>
      <c r="S46" s="4">
        <f t="shared" si="25"/>
        <v>9.5820821377811713E-2</v>
      </c>
      <c r="T46" s="5">
        <f t="shared" si="8"/>
        <v>8.9783278478313605E-2</v>
      </c>
      <c r="U46" s="4">
        <f t="shared" si="9"/>
        <v>0</v>
      </c>
      <c r="V46" s="4">
        <f t="shared" si="10"/>
        <v>0</v>
      </c>
      <c r="W46" s="5">
        <f t="shared" si="11"/>
        <v>0</v>
      </c>
      <c r="X46" s="5">
        <f t="shared" si="12"/>
        <v>-44.000117939138747</v>
      </c>
      <c r="Y46" s="5">
        <f t="shared" si="13"/>
        <v>-8.4299743730262531</v>
      </c>
      <c r="Z46" s="5">
        <f>1</f>
        <v>1</v>
      </c>
      <c r="AA46" s="5">
        <f>IF(M46=0,0,const*($T46/omega)*O46*(wy*I46-wz*(H46-V46))/Z46)</f>
        <v>0</v>
      </c>
      <c r="AB46" s="5">
        <f>IF(M46=0,0,const*($T46/omega)*O46*(wz*(G46-U46)-wx*I46)/Z46)</f>
        <v>-4.963741521426714</v>
      </c>
      <c r="AC46" s="5">
        <f>IF(M46=0,0,const*($T46/omega)*O46*(wx*(H46-V46)-wy*(G46-U46))/Z46)</f>
        <v>25.908170380803984</v>
      </c>
      <c r="AD46" s="5">
        <f t="shared" si="14"/>
        <v>0</v>
      </c>
      <c r="AE46" s="5">
        <f t="shared" si="14"/>
        <v>-48.963859460565459</v>
      </c>
      <c r="AF46" s="5">
        <f t="shared" si="15"/>
        <v>-14.695803992222267</v>
      </c>
      <c r="AG46">
        <f t="shared" si="26"/>
        <v>0</v>
      </c>
    </row>
    <row r="47" spans="1:33" x14ac:dyDescent="0.2">
      <c r="A47">
        <f t="shared" si="16"/>
        <v>0.15</v>
      </c>
      <c r="B47" s="5">
        <f t="shared" si="17"/>
        <v>0</v>
      </c>
      <c r="C47" s="5">
        <f t="shared" si="18"/>
        <v>33.987068110466659</v>
      </c>
      <c r="D47" s="5">
        <f t="shared" si="19"/>
        <v>6.5585543753546993</v>
      </c>
      <c r="E47" s="2">
        <f t="shared" si="0"/>
        <v>11.329022703488887</v>
      </c>
      <c r="F47" s="2">
        <f t="shared" si="20"/>
        <v>0</v>
      </c>
      <c r="G47" s="3">
        <f t="shared" si="21"/>
        <v>0</v>
      </c>
      <c r="H47" s="3">
        <f t="shared" si="22"/>
        <v>222.8353144458724</v>
      </c>
      <c r="I47" s="3">
        <f t="shared" si="23"/>
        <v>42.639827977164792</v>
      </c>
      <c r="J47" s="2">
        <f t="shared" si="1"/>
        <v>226.87823230559832</v>
      </c>
      <c r="K47" s="2">
        <f t="shared" si="24"/>
        <v>154.65455508220742</v>
      </c>
      <c r="L47" s="5">
        <f t="shared" si="2"/>
        <v>15.424217985440901</v>
      </c>
      <c r="M47" s="3">
        <f t="shared" si="3"/>
        <v>21.77470867492908</v>
      </c>
      <c r="N47" s="2">
        <v>0</v>
      </c>
      <c r="O47" s="2">
        <f t="shared" si="4"/>
        <v>226.87823230559832</v>
      </c>
      <c r="P47" s="2">
        <f t="shared" si="5"/>
        <v>154.65455508220742</v>
      </c>
      <c r="Q47" s="5">
        <f t="shared" si="6"/>
        <v>1.912123313707033</v>
      </c>
      <c r="R47" s="5">
        <f t="shared" si="7"/>
        <v>0.15251213019983909</v>
      </c>
      <c r="S47" s="4">
        <f t="shared" si="25"/>
        <v>9.5975309987426149E-2</v>
      </c>
      <c r="T47" s="5">
        <f t="shared" si="8"/>
        <v>8.9841152291317131E-2</v>
      </c>
      <c r="U47" s="4">
        <f t="shared" si="9"/>
        <v>0</v>
      </c>
      <c r="V47" s="4">
        <f t="shared" si="10"/>
        <v>0</v>
      </c>
      <c r="W47" s="5">
        <f t="shared" si="11"/>
        <v>0</v>
      </c>
      <c r="X47" s="5">
        <f t="shared" si="12"/>
        <v>-43.81472328873997</v>
      </c>
      <c r="Y47" s="5">
        <f t="shared" si="13"/>
        <v>-8.3840044319041471</v>
      </c>
      <c r="Z47" s="5">
        <f>1</f>
        <v>1</v>
      </c>
      <c r="AA47" s="5">
        <f>IF(M47=0,0,const*($T47/omega)*O47*(wy*I47-wz*(H47-V47))/Z47)</f>
        <v>0</v>
      </c>
      <c r="AB47" s="5">
        <f>IF(M47=0,0,const*($T47/omega)*O47*(wz*(G47-U47)-wx*I47)/Z47)</f>
        <v>-4.9388112144969103</v>
      </c>
      <c r="AC47" s="5">
        <f>IF(M47=0,0,const*($T47/omega)*O47*(wx*(H47-V47)-wy*(G47-U47))/Z47)</f>
        <v>25.810177999794011</v>
      </c>
      <c r="AD47" s="5">
        <f t="shared" si="14"/>
        <v>0</v>
      </c>
      <c r="AE47" s="5">
        <f t="shared" si="14"/>
        <v>-48.753534503236878</v>
      </c>
      <c r="AF47" s="5">
        <f t="shared" si="15"/>
        <v>-14.747826432110138</v>
      </c>
      <c r="AG47">
        <f t="shared" si="26"/>
        <v>0</v>
      </c>
    </row>
    <row r="48" spans="1:33" x14ac:dyDescent="0.2">
      <c r="A48">
        <f t="shared" si="16"/>
        <v>0.16</v>
      </c>
      <c r="B48" s="5">
        <f t="shared" si="17"/>
        <v>0</v>
      </c>
      <c r="C48" s="5">
        <f t="shared" si="18"/>
        <v>36.212983578200216</v>
      </c>
      <c r="D48" s="5">
        <f t="shared" si="19"/>
        <v>6.9842152638047423</v>
      </c>
      <c r="E48" s="2">
        <f t="shared" si="0"/>
        <v>12.070994526066739</v>
      </c>
      <c r="F48" s="2">
        <f t="shared" si="20"/>
        <v>0</v>
      </c>
      <c r="G48" s="3">
        <f t="shared" si="21"/>
        <v>0</v>
      </c>
      <c r="H48" s="3">
        <f t="shared" si="22"/>
        <v>222.34777910084003</v>
      </c>
      <c r="I48" s="3">
        <f t="shared" si="23"/>
        <v>42.492349712843691</v>
      </c>
      <c r="J48" s="2">
        <f t="shared" si="1"/>
        <v>226.37167370321438</v>
      </c>
      <c r="K48" s="2">
        <f t="shared" si="24"/>
        <v>154.309252694761</v>
      </c>
      <c r="L48" s="5">
        <f t="shared" si="2"/>
        <v>15.458733215097304</v>
      </c>
      <c r="M48" s="3">
        <f t="shared" si="3"/>
        <v>21.761100028538401</v>
      </c>
      <c r="N48" s="2">
        <v>0</v>
      </c>
      <c r="O48" s="2">
        <f t="shared" si="4"/>
        <v>226.37167370321438</v>
      </c>
      <c r="P48" s="2">
        <f t="shared" si="5"/>
        <v>154.309252694761</v>
      </c>
      <c r="Q48" s="5">
        <f t="shared" si="6"/>
        <v>1.907854052158519</v>
      </c>
      <c r="R48" s="5">
        <f t="shared" si="7"/>
        <v>0.15254440910244027</v>
      </c>
      <c r="S48" s="4">
        <f t="shared" si="25"/>
        <v>9.6129960398969302E-2</v>
      </c>
      <c r="T48" s="5">
        <f t="shared" si="8"/>
        <v>8.9899030762362123E-2</v>
      </c>
      <c r="U48" s="4">
        <f t="shared" si="9"/>
        <v>0</v>
      </c>
      <c r="V48" s="4">
        <f t="shared" si="10"/>
        <v>0</v>
      </c>
      <c r="W48" s="5">
        <f t="shared" si="11"/>
        <v>0</v>
      </c>
      <c r="X48" s="5">
        <f t="shared" si="12"/>
        <v>-43.630482034723777</v>
      </c>
      <c r="Y48" s="5">
        <f t="shared" si="13"/>
        <v>-8.3381165679132359</v>
      </c>
      <c r="Z48" s="5">
        <f>1</f>
        <v>1</v>
      </c>
      <c r="AA48" s="5">
        <f>IF(M48=0,0,const*($T48/omega)*O48*(wy*I48-wz*(H48-V48))/Z48)</f>
        <v>0</v>
      </c>
      <c r="AB48" s="5">
        <f>IF(M48=0,0,const*($T48/omega)*O48*(wz*(G48-U48)-wx*I48)/Z48)</f>
        <v>-4.9139041033985826</v>
      </c>
      <c r="AC48" s="5">
        <f>IF(M48=0,0,const*($T48/omega)*O48*(wx*(H48-V48)-wy*(G48-U48))/Z48)</f>
        <v>25.712761743908281</v>
      </c>
      <c r="AD48" s="5">
        <f t="shared" ref="AD48:AE111" si="27">W48+AA48</f>
        <v>0</v>
      </c>
      <c r="AE48" s="5">
        <f t="shared" si="27"/>
        <v>-48.544386138122363</v>
      </c>
      <c r="AF48" s="5">
        <f t="shared" si="15"/>
        <v>-14.799354824004954</v>
      </c>
      <c r="AG48">
        <f t="shared" si="26"/>
        <v>0</v>
      </c>
    </row>
    <row r="49" spans="1:33" x14ac:dyDescent="0.2">
      <c r="A49">
        <f t="shared" si="16"/>
        <v>0.17</v>
      </c>
      <c r="B49" s="5">
        <f t="shared" si="17"/>
        <v>0</v>
      </c>
      <c r="C49" s="5">
        <f t="shared" si="18"/>
        <v>38.434034149901706</v>
      </c>
      <c r="D49" s="5">
        <f t="shared" si="19"/>
        <v>7.4083987931919788</v>
      </c>
      <c r="E49" s="2">
        <f t="shared" si="0"/>
        <v>12.811344716633903</v>
      </c>
      <c r="F49" s="2">
        <f t="shared" si="20"/>
        <v>0</v>
      </c>
      <c r="G49" s="3">
        <f t="shared" si="21"/>
        <v>0</v>
      </c>
      <c r="H49" s="3">
        <f t="shared" si="22"/>
        <v>221.86233523945882</v>
      </c>
      <c r="I49" s="3">
        <f t="shared" si="23"/>
        <v>42.344356164603639</v>
      </c>
      <c r="J49" s="2">
        <f t="shared" si="1"/>
        <v>225.86708546598996</v>
      </c>
      <c r="K49" s="2">
        <f t="shared" si="24"/>
        <v>153.96529343284931</v>
      </c>
      <c r="L49" s="5">
        <f t="shared" si="2"/>
        <v>15.493268105059849</v>
      </c>
      <c r="M49" s="3">
        <f t="shared" si="3"/>
        <v>21.747560766846011</v>
      </c>
      <c r="N49" s="2">
        <v>0</v>
      </c>
      <c r="O49" s="2">
        <f t="shared" si="4"/>
        <v>225.86708546598996</v>
      </c>
      <c r="P49" s="2">
        <f t="shared" si="5"/>
        <v>153.96529343284931</v>
      </c>
      <c r="Q49" s="5">
        <f t="shared" si="6"/>
        <v>1.9036013967917422</v>
      </c>
      <c r="R49" s="5">
        <f t="shared" si="7"/>
        <v>0.15257672159376048</v>
      </c>
      <c r="S49" s="4">
        <f t="shared" si="25"/>
        <v>9.6284771736343408E-2</v>
      </c>
      <c r="T49" s="5">
        <f t="shared" si="8"/>
        <v>8.9956913532581992E-2</v>
      </c>
      <c r="U49" s="4">
        <f t="shared" si="9"/>
        <v>0</v>
      </c>
      <c r="V49" s="4">
        <f t="shared" si="10"/>
        <v>0</v>
      </c>
      <c r="W49" s="5">
        <f t="shared" si="11"/>
        <v>0</v>
      </c>
      <c r="X49" s="5">
        <f t="shared" si="12"/>
        <v>-43.447385282398216</v>
      </c>
      <c r="Y49" s="5">
        <f t="shared" si="13"/>
        <v>-8.2923113327593949</v>
      </c>
      <c r="Z49" s="5">
        <f>1</f>
        <v>1</v>
      </c>
      <c r="AA49" s="5">
        <f>IF(M49=0,0,const*($T49/omega)*O49*(wy*I49-wz*(H49-V49))/Z49)</f>
        <v>0</v>
      </c>
      <c r="AB49" s="5">
        <f>IF(M49=0,0,const*($T49/omega)*O49*(wz*(G49-U49)-wx*I49)/Z49)</f>
        <v>-4.8890205907844839</v>
      </c>
      <c r="AC49" s="5">
        <f>IF(M49=0,0,const*($T49/omega)*O49*(wx*(H49-V49)-wy*(G49-U49))/Z49)</f>
        <v>25.615917292230659</v>
      </c>
      <c r="AD49" s="5">
        <f t="shared" si="27"/>
        <v>0</v>
      </c>
      <c r="AE49" s="5">
        <f t="shared" si="27"/>
        <v>-48.336405873182699</v>
      </c>
      <c r="AF49" s="5">
        <f t="shared" si="15"/>
        <v>-14.850394040528734</v>
      </c>
      <c r="AG49">
        <f t="shared" si="26"/>
        <v>0</v>
      </c>
    </row>
    <row r="50" spans="1:33" x14ac:dyDescent="0.2">
      <c r="A50">
        <f t="shared" si="16"/>
        <v>0.18000000000000002</v>
      </c>
      <c r="B50" s="5">
        <f t="shared" si="17"/>
        <v>0</v>
      </c>
      <c r="C50" s="5">
        <f t="shared" si="18"/>
        <v>40.650240682002632</v>
      </c>
      <c r="D50" s="5">
        <f t="shared" si="19"/>
        <v>7.8310998351359888</v>
      </c>
      <c r="E50" s="2">
        <f t="shared" si="0"/>
        <v>13.550080227334211</v>
      </c>
      <c r="F50" s="2">
        <f t="shared" si="20"/>
        <v>0</v>
      </c>
      <c r="G50" s="3">
        <f t="shared" si="21"/>
        <v>0</v>
      </c>
      <c r="H50" s="3">
        <f t="shared" si="22"/>
        <v>221.37897118072698</v>
      </c>
      <c r="I50" s="3">
        <f t="shared" si="23"/>
        <v>42.195852224198354</v>
      </c>
      <c r="J50" s="2">
        <f t="shared" si="1"/>
        <v>225.36445776999426</v>
      </c>
      <c r="K50" s="2">
        <f t="shared" si="24"/>
        <v>153.62267059985976</v>
      </c>
      <c r="L50" s="5">
        <f t="shared" si="2"/>
        <v>15.527822558446804</v>
      </c>
      <c r="M50" s="3">
        <f t="shared" si="3"/>
        <v>21.734090414760669</v>
      </c>
      <c r="N50" s="2">
        <v>0</v>
      </c>
      <c r="O50" s="2">
        <f t="shared" si="4"/>
        <v>225.36445776999426</v>
      </c>
      <c r="P50" s="2">
        <f t="shared" si="5"/>
        <v>153.62267059985976</v>
      </c>
      <c r="Q50" s="5">
        <f t="shared" si="6"/>
        <v>1.8993652648108936</v>
      </c>
      <c r="R50" s="5">
        <f t="shared" si="7"/>
        <v>0.15260906748933378</v>
      </c>
      <c r="S50" s="4">
        <f t="shared" si="25"/>
        <v>9.6439743115759466E-2</v>
      </c>
      <c r="T50" s="5">
        <f t="shared" si="8"/>
        <v>9.0014800241619078E-2</v>
      </c>
      <c r="U50" s="4">
        <f t="shared" si="9"/>
        <v>0</v>
      </c>
      <c r="V50" s="4">
        <f t="shared" si="10"/>
        <v>0</v>
      </c>
      <c r="W50" s="5">
        <f t="shared" si="11"/>
        <v>0</v>
      </c>
      <c r="X50" s="5">
        <f t="shared" si="12"/>
        <v>-43.265424222652527</v>
      </c>
      <c r="Y50" s="5">
        <f t="shared" si="13"/>
        <v>-8.2465892635570928</v>
      </c>
      <c r="Z50" s="5">
        <f>1</f>
        <v>1</v>
      </c>
      <c r="AA50" s="5">
        <f>IF(M50=0,0,const*($T50/omega)*O50*(wy*I50-wz*(H50-V50))/Z50)</f>
        <v>0</v>
      </c>
      <c r="AB50" s="5">
        <f>IF(M50=0,0,const*($T50/omega)*O50*(wz*(G50-U50)-wx*I50)/Z50)</f>
        <v>-4.864161071462247</v>
      </c>
      <c r="AC50" s="5">
        <f>IF(M50=0,0,const*($T50/omega)*O50*(wx*(H50-V50)-wy*(G50-U50))/Z50)</f>
        <v>25.51964036503383</v>
      </c>
      <c r="AD50" s="5">
        <f t="shared" si="27"/>
        <v>0</v>
      </c>
      <c r="AE50" s="5">
        <f t="shared" si="27"/>
        <v>-48.129585294114776</v>
      </c>
      <c r="AF50" s="5">
        <f t="shared" si="15"/>
        <v>-14.900948898523261</v>
      </c>
      <c r="AG50">
        <f t="shared" si="26"/>
        <v>0</v>
      </c>
    </row>
    <row r="51" spans="1:33" x14ac:dyDescent="0.2">
      <c r="A51">
        <f t="shared" si="16"/>
        <v>0.19000000000000003</v>
      </c>
      <c r="B51" s="5">
        <f t="shared" si="17"/>
        <v>0</v>
      </c>
      <c r="C51" s="5">
        <f t="shared" si="18"/>
        <v>42.861623914545198</v>
      </c>
      <c r="D51" s="5">
        <f t="shared" si="19"/>
        <v>8.2523133099330455</v>
      </c>
      <c r="E51" s="2">
        <f t="shared" si="0"/>
        <v>14.287207971515066</v>
      </c>
      <c r="F51" s="2">
        <f t="shared" si="20"/>
        <v>0</v>
      </c>
      <c r="G51" s="3">
        <f t="shared" si="21"/>
        <v>0</v>
      </c>
      <c r="H51" s="3">
        <f t="shared" si="22"/>
        <v>220.89767532778583</v>
      </c>
      <c r="I51" s="3">
        <f t="shared" si="23"/>
        <v>42.046842735213119</v>
      </c>
      <c r="J51" s="2">
        <f t="shared" si="1"/>
        <v>224.86378087459889</v>
      </c>
      <c r="K51" s="2">
        <f t="shared" si="24"/>
        <v>153.28137755596379</v>
      </c>
      <c r="L51" s="5">
        <f t="shared" si="2"/>
        <v>15.562396476756703</v>
      </c>
      <c r="M51" s="3">
        <f t="shared" si="3"/>
        <v>21.720688501065698</v>
      </c>
      <c r="N51" s="2">
        <v>0</v>
      </c>
      <c r="O51" s="2">
        <f t="shared" si="4"/>
        <v>224.86378087459889</v>
      </c>
      <c r="P51" s="2">
        <f t="shared" si="5"/>
        <v>153.28137755596379</v>
      </c>
      <c r="Q51" s="5">
        <f t="shared" si="6"/>
        <v>1.8951455741222318</v>
      </c>
      <c r="R51" s="5">
        <f t="shared" si="7"/>
        <v>0.15264144660307125</v>
      </c>
      <c r="S51" s="4">
        <f t="shared" si="25"/>
        <v>9.659487364565307E-2</v>
      </c>
      <c r="T51" s="5">
        <f t="shared" si="8"/>
        <v>9.0072690527601862E-2</v>
      </c>
      <c r="U51" s="4">
        <f t="shared" si="9"/>
        <v>0</v>
      </c>
      <c r="V51" s="4">
        <f t="shared" si="10"/>
        <v>0</v>
      </c>
      <c r="W51" s="5">
        <f t="shared" si="11"/>
        <v>0</v>
      </c>
      <c r="X51" s="5">
        <f t="shared" si="12"/>
        <v>-43.084590130977581</v>
      </c>
      <c r="Y51" s="5">
        <f t="shared" si="13"/>
        <v>-8.2009508830736841</v>
      </c>
      <c r="Z51" s="5">
        <f>1</f>
        <v>1</v>
      </c>
      <c r="AA51" s="5">
        <f>IF(M51=0,0,const*($T51/omega)*O51*(wy*I51-wz*(H51-V51))/Z51)</f>
        <v>0</v>
      </c>
      <c r="AB51" s="5">
        <f>IF(M51=0,0,const*($T51/omega)*O51*(wz*(G51-U51)-wx*I51)/Z51)</f>
        <v>-4.839325932517049</v>
      </c>
      <c r="AC51" s="5">
        <f>IF(M51=0,0,const*($T51/omega)*O51*(wx*(H51-V51)-wy*(G51-U51))/Z51)</f>
        <v>25.423926723307332</v>
      </c>
      <c r="AD51" s="5">
        <f t="shared" si="27"/>
        <v>0</v>
      </c>
      <c r="AE51" s="5">
        <f t="shared" si="27"/>
        <v>-47.92391606349463</v>
      </c>
      <c r="AF51" s="5">
        <f t="shared" si="15"/>
        <v>-14.951024159766352</v>
      </c>
      <c r="AG51">
        <f t="shared" si="26"/>
        <v>0</v>
      </c>
    </row>
    <row r="52" spans="1:33" x14ac:dyDescent="0.2">
      <c r="A52">
        <f t="shared" si="16"/>
        <v>0.20000000000000004</v>
      </c>
      <c r="B52" s="5">
        <f t="shared" si="17"/>
        <v>0</v>
      </c>
      <c r="C52" s="5">
        <f t="shared" si="18"/>
        <v>45.068204472019886</v>
      </c>
      <c r="D52" s="5">
        <f t="shared" si="19"/>
        <v>8.6720341860771892</v>
      </c>
      <c r="E52" s="2">
        <f t="shared" si="0"/>
        <v>15.022734824006628</v>
      </c>
      <c r="F52" s="2">
        <f t="shared" si="20"/>
        <v>0</v>
      </c>
      <c r="G52" s="3">
        <f t="shared" si="21"/>
        <v>0</v>
      </c>
      <c r="H52" s="3">
        <f t="shared" si="22"/>
        <v>220.4184361671509</v>
      </c>
      <c r="I52" s="3">
        <f t="shared" si="23"/>
        <v>41.897332493615458</v>
      </c>
      <c r="J52" s="2">
        <f t="shared" si="1"/>
        <v>224.36504512167875</v>
      </c>
      <c r="K52" s="2">
        <f t="shared" si="24"/>
        <v>152.94140771757242</v>
      </c>
      <c r="L52" s="5">
        <f t="shared" si="2"/>
        <v>15.596989759858657</v>
      </c>
      <c r="M52" s="3">
        <f t="shared" si="3"/>
        <v>21.707354558374035</v>
      </c>
      <c r="N52" s="2">
        <v>0</v>
      </c>
      <c r="O52" s="2">
        <f t="shared" si="4"/>
        <v>224.36504512167875</v>
      </c>
      <c r="P52" s="2">
        <f t="shared" si="5"/>
        <v>152.94140771757242</v>
      </c>
      <c r="Q52" s="5">
        <f t="shared" si="6"/>
        <v>1.8909422433273528</v>
      </c>
      <c r="R52" s="5">
        <f t="shared" si="7"/>
        <v>0.15267385874724371</v>
      </c>
      <c r="S52" s="4">
        <f t="shared" si="25"/>
        <v>9.6750162426600797E-2</v>
      </c>
      <c r="T52" s="5">
        <f t="shared" si="8"/>
        <v>9.0130584027122373E-2</v>
      </c>
      <c r="U52" s="4">
        <f t="shared" si="9"/>
        <v>0</v>
      </c>
      <c r="V52" s="4">
        <f t="shared" si="10"/>
        <v>0</v>
      </c>
      <c r="W52" s="5">
        <f t="shared" si="11"/>
        <v>0</v>
      </c>
      <c r="X52" s="5">
        <f t="shared" si="12"/>
        <v>-42.904874366499527</v>
      </c>
      <c r="Y52" s="5">
        <f t="shared" si="13"/>
        <v>-8.1553966999695415</v>
      </c>
      <c r="Z52" s="5">
        <f>1</f>
        <v>1</v>
      </c>
      <c r="AA52" s="5">
        <f>IF(M52=0,0,const*($T52/omega)*O52*(wy*I52-wz*(H52-V52))/Z52)</f>
        <v>0</v>
      </c>
      <c r="AB52" s="5">
        <f>IF(M52=0,0,const*($T52/omega)*O52*(wz*(G52-U52)-wx*I52)/Z52)</f>
        <v>-4.814515553432237</v>
      </c>
      <c r="AC52" s="5">
        <f>IF(M52=0,0,const*($T52/omega)*O52*(wx*(H52-V52)-wy*(G52-U52))/Z52)</f>
        <v>25.328772168291891</v>
      </c>
      <c r="AD52" s="5">
        <f t="shared" si="27"/>
        <v>0</v>
      </c>
      <c r="AE52" s="5">
        <f t="shared" si="27"/>
        <v>-47.719389919931764</v>
      </c>
      <c r="AF52" s="5">
        <f t="shared" si="15"/>
        <v>-15.000624531677651</v>
      </c>
      <c r="AG52">
        <f t="shared" si="26"/>
        <v>0</v>
      </c>
    </row>
    <row r="53" spans="1:33" x14ac:dyDescent="0.2">
      <c r="A53">
        <f t="shared" si="16"/>
        <v>0.21000000000000005</v>
      </c>
      <c r="B53" s="5">
        <f t="shared" si="17"/>
        <v>0</v>
      </c>
      <c r="C53" s="5">
        <f t="shared" si="18"/>
        <v>47.270002864195398</v>
      </c>
      <c r="D53" s="5">
        <f t="shared" si="19"/>
        <v>9.090257479786759</v>
      </c>
      <c r="E53" s="2">
        <f t="shared" si="0"/>
        <v>15.756667621398465</v>
      </c>
      <c r="F53" s="2">
        <f t="shared" si="20"/>
        <v>0</v>
      </c>
      <c r="G53" s="3">
        <f t="shared" si="21"/>
        <v>0</v>
      </c>
      <c r="H53" s="3">
        <f t="shared" si="22"/>
        <v>219.94124226795159</v>
      </c>
      <c r="I53" s="3">
        <f t="shared" si="23"/>
        <v>41.747326248298684</v>
      </c>
      <c r="J53" s="2">
        <f t="shared" si="1"/>
        <v>223.86824093482232</v>
      </c>
      <c r="K53" s="2">
        <f t="shared" si="24"/>
        <v>152.60275455679775</v>
      </c>
      <c r="L53" s="5">
        <f t="shared" si="2"/>
        <v>15.631602305982653</v>
      </c>
      <c r="M53" s="3">
        <f t="shared" si="3"/>
        <v>21.694088123083816</v>
      </c>
      <c r="N53" s="2">
        <v>0</v>
      </c>
      <c r="O53" s="2">
        <f t="shared" si="4"/>
        <v>223.86824093482232</v>
      </c>
      <c r="P53" s="2">
        <f t="shared" si="5"/>
        <v>152.60275455679775</v>
      </c>
      <c r="Q53" s="5">
        <f t="shared" si="6"/>
        <v>1.8867551917165315</v>
      </c>
      <c r="R53" s="5">
        <f t="shared" si="7"/>
        <v>0.15270630373246413</v>
      </c>
      <c r="S53" s="4">
        <f t="shared" si="25"/>
        <v>9.6905608551236616E-2</v>
      </c>
      <c r="T53" s="5">
        <f t="shared" si="8"/>
        <v>9.0188480375213848E-2</v>
      </c>
      <c r="U53" s="4">
        <f t="shared" si="9"/>
        <v>0</v>
      </c>
      <c r="V53" s="4">
        <f t="shared" si="10"/>
        <v>0</v>
      </c>
      <c r="W53" s="5">
        <f t="shared" si="11"/>
        <v>0</v>
      </c>
      <c r="X53" s="5">
        <f t="shared" si="12"/>
        <v>-42.726268371026165</v>
      </c>
      <c r="Y53" s="5">
        <f t="shared" si="13"/>
        <v>-8.1099272090339767</v>
      </c>
      <c r="Z53" s="5">
        <f>1</f>
        <v>1</v>
      </c>
      <c r="AA53" s="5">
        <f>IF(M53=0,0,const*($T53/omega)*O53*(wy*I53-wz*(H53-V53))/Z53)</f>
        <v>0</v>
      </c>
      <c r="AB53" s="5">
        <f>IF(M53=0,0,const*($T53/omega)*O53*(wz*(G53-U53)-wx*I53)/Z53)</f>
        <v>-4.7897303062079111</v>
      </c>
      <c r="AC53" s="5">
        <f>IF(M53=0,0,const*($T53/omega)*O53*(wx*(H53-V53)-wy*(G53-U53))/Z53)</f>
        <v>25.234172541020047</v>
      </c>
      <c r="AD53" s="5">
        <f t="shared" si="27"/>
        <v>0</v>
      </c>
      <c r="AE53" s="5">
        <f t="shared" si="27"/>
        <v>-47.51599867723408</v>
      </c>
      <c r="AF53" s="5">
        <f t="shared" si="15"/>
        <v>-15.049754668013929</v>
      </c>
      <c r="AG53">
        <f t="shared" si="26"/>
        <v>0</v>
      </c>
    </row>
    <row r="54" spans="1:33" x14ac:dyDescent="0.2">
      <c r="A54">
        <f t="shared" si="16"/>
        <v>0.22000000000000006</v>
      </c>
      <c r="B54" s="5">
        <f t="shared" si="17"/>
        <v>0</v>
      </c>
      <c r="C54" s="5">
        <f t="shared" si="18"/>
        <v>49.467039486941054</v>
      </c>
      <c r="D54" s="5">
        <f t="shared" si="19"/>
        <v>9.5069782545363459</v>
      </c>
      <c r="E54" s="2">
        <f t="shared" si="0"/>
        <v>16.489013162313686</v>
      </c>
      <c r="F54" s="2">
        <f t="shared" si="20"/>
        <v>0</v>
      </c>
      <c r="G54" s="3">
        <f t="shared" si="21"/>
        <v>0</v>
      </c>
      <c r="H54" s="3">
        <f t="shared" si="22"/>
        <v>219.46608228117924</v>
      </c>
      <c r="I54" s="3">
        <f t="shared" si="23"/>
        <v>41.596828701618541</v>
      </c>
      <c r="J54" s="2">
        <f t="shared" si="1"/>
        <v>223.373358818551</v>
      </c>
      <c r="K54" s="2">
        <f t="shared" si="24"/>
        <v>152.26541160092091</v>
      </c>
      <c r="L54" s="5">
        <f t="shared" si="2"/>
        <v>15.666234011709834</v>
      </c>
      <c r="M54" s="3">
        <f t="shared" si="3"/>
        <v>21.680888735334584</v>
      </c>
      <c r="N54" s="2">
        <v>0</v>
      </c>
      <c r="O54" s="2">
        <f t="shared" si="4"/>
        <v>223.373358818551</v>
      </c>
      <c r="P54" s="2">
        <f t="shared" si="5"/>
        <v>152.26541160092091</v>
      </c>
      <c r="Q54" s="5">
        <f t="shared" si="6"/>
        <v>1.8825843392621433</v>
      </c>
      <c r="R54" s="5">
        <f t="shared" si="7"/>
        <v>0.15273878136767033</v>
      </c>
      <c r="S54" s="4">
        <f t="shared" si="25"/>
        <v>9.7061211104168627E-2</v>
      </c>
      <c r="T54" s="5">
        <f t="shared" si="8"/>
        <v>9.0246379205328492E-2</v>
      </c>
      <c r="U54" s="4">
        <f t="shared" si="9"/>
        <v>0</v>
      </c>
      <c r="V54" s="4">
        <f t="shared" si="10"/>
        <v>0</v>
      </c>
      <c r="W54" s="5">
        <f t="shared" si="11"/>
        <v>0</v>
      </c>
      <c r="X54" s="5">
        <f t="shared" si="12"/>
        <v>-42.548763668106041</v>
      </c>
      <c r="Y54" s="5">
        <f t="shared" si="13"/>
        <v>-8.06454289141716</v>
      </c>
      <c r="Z54" s="5">
        <f>1</f>
        <v>1</v>
      </c>
      <c r="AA54" s="5">
        <f>IF(M54=0,0,const*($T54/omega)*O54*(wy*I54-wz*(H54-V54))/Z54)</f>
        <v>0</v>
      </c>
      <c r="AB54" s="5">
        <f>IF(M54=0,0,const*($T54/omega)*O54*(wz*(G54-U54)-wx*I54)/Z54)</f>
        <v>-4.7649705554775315</v>
      </c>
      <c r="AC54" s="5">
        <f>IF(M54=0,0,const*($T54/omega)*O54*(wx*(H54-V54)-wy*(G54-U54))/Z54)</f>
        <v>25.14012372186291</v>
      </c>
      <c r="AD54" s="5">
        <f t="shared" si="27"/>
        <v>0</v>
      </c>
      <c r="AE54" s="5">
        <f t="shared" si="27"/>
        <v>-47.313734223583573</v>
      </c>
      <c r="AF54" s="5">
        <f t="shared" si="15"/>
        <v>-15.098419169554248</v>
      </c>
      <c r="AG54">
        <f t="shared" si="26"/>
        <v>0</v>
      </c>
    </row>
    <row r="55" spans="1:33" x14ac:dyDescent="0.2">
      <c r="A55">
        <f t="shared" si="16"/>
        <v>0.23000000000000007</v>
      </c>
      <c r="B55" s="5">
        <f t="shared" si="17"/>
        <v>0</v>
      </c>
      <c r="C55" s="5">
        <f t="shared" si="18"/>
        <v>51.659334623041666</v>
      </c>
      <c r="D55" s="5">
        <f t="shared" si="19"/>
        <v>9.9221916205940541</v>
      </c>
      <c r="E55" s="2">
        <f t="shared" si="0"/>
        <v>17.219778207680555</v>
      </c>
      <c r="F55" s="2">
        <f t="shared" si="20"/>
        <v>0</v>
      </c>
      <c r="G55" s="3">
        <f t="shared" si="21"/>
        <v>0</v>
      </c>
      <c r="H55" s="3">
        <f t="shared" si="22"/>
        <v>218.9929449389434</v>
      </c>
      <c r="I55" s="3">
        <f t="shared" si="23"/>
        <v>41.445844509922999</v>
      </c>
      <c r="J55" s="2">
        <f t="shared" si="1"/>
        <v>222.88038935754713</v>
      </c>
      <c r="K55" s="2">
        <f t="shared" si="24"/>
        <v>151.9293724318658</v>
      </c>
      <c r="L55" s="5">
        <f t="shared" si="2"/>
        <v>15.700884771962787</v>
      </c>
      <c r="M55" s="3">
        <f t="shared" si="3"/>
        <v>21.667755938964039</v>
      </c>
      <c r="N55" s="2">
        <v>0</v>
      </c>
      <c r="O55" s="2">
        <f t="shared" si="4"/>
        <v>222.88038935754713</v>
      </c>
      <c r="P55" s="2">
        <f t="shared" si="5"/>
        <v>151.9293724318658</v>
      </c>
      <c r="Q55" s="5">
        <f t="shared" si="6"/>
        <v>1.8784296066121577</v>
      </c>
      <c r="R55" s="5">
        <f t="shared" si="7"/>
        <v>0.15277129146010759</v>
      </c>
      <c r="S55" s="4">
        <f t="shared" si="25"/>
        <v>9.7216969161896025E-2</v>
      </c>
      <c r="T55" s="5">
        <f t="shared" si="8"/>
        <v>9.0304280149315616E-2</v>
      </c>
      <c r="U55" s="4">
        <f t="shared" si="9"/>
        <v>0</v>
      </c>
      <c r="V55" s="4">
        <f t="shared" si="10"/>
        <v>0</v>
      </c>
      <c r="W55" s="5">
        <f t="shared" si="11"/>
        <v>0</v>
      </c>
      <c r="X55" s="5">
        <f t="shared" si="12"/>
        <v>-42.372351862099961</v>
      </c>
      <c r="Y55" s="5">
        <f t="shared" si="13"/>
        <v>-8.0192442148580128</v>
      </c>
      <c r="Z55" s="5">
        <f>1</f>
        <v>1</v>
      </c>
      <c r="AA55" s="5">
        <f>IF(M55=0,0,const*($T55/omega)*O55*(wy*I55-wz*(H55-V55))/Z55)</f>
        <v>0</v>
      </c>
      <c r="AB55" s="5">
        <f>IF(M55=0,0,const*($T55/omega)*O55*(wz*(G55-U55)-wx*I55)/Z55)</f>
        <v>-4.740236658622579</v>
      </c>
      <c r="AC55" s="5">
        <f>IF(M55=0,0,const*($T55/omega)*O55*(wx*(H55-V55)-wy*(G55-U55))/Z55)</f>
        <v>25.046621630083031</v>
      </c>
      <c r="AD55" s="5">
        <f t="shared" si="27"/>
        <v>0</v>
      </c>
      <c r="AE55" s="5">
        <f t="shared" si="27"/>
        <v>-47.112588520722539</v>
      </c>
      <c r="AF55" s="5">
        <f t="shared" si="15"/>
        <v>-15.146622584774981</v>
      </c>
      <c r="AG55">
        <f t="shared" si="26"/>
        <v>0</v>
      </c>
    </row>
    <row r="56" spans="1:33" x14ac:dyDescent="0.2">
      <c r="A56">
        <f t="shared" si="16"/>
        <v>0.24000000000000007</v>
      </c>
      <c r="B56" s="5">
        <f t="shared" si="17"/>
        <v>0</v>
      </c>
      <c r="C56" s="5">
        <f t="shared" si="18"/>
        <v>53.846908443005063</v>
      </c>
      <c r="D56" s="5">
        <f t="shared" si="19"/>
        <v>10.335892734564046</v>
      </c>
      <c r="E56" s="2">
        <f t="shared" si="0"/>
        <v>17.948969481001686</v>
      </c>
      <c r="F56" s="2">
        <f t="shared" si="20"/>
        <v>0</v>
      </c>
      <c r="G56" s="3">
        <f t="shared" si="21"/>
        <v>0</v>
      </c>
      <c r="H56" s="3">
        <f t="shared" si="22"/>
        <v>218.52181905373618</v>
      </c>
      <c r="I56" s="3">
        <f t="shared" si="23"/>
        <v>41.29437828407525</v>
      </c>
      <c r="J56" s="2">
        <f t="shared" si="1"/>
        <v>222.38932321589121</v>
      </c>
      <c r="K56" s="2">
        <f t="shared" si="24"/>
        <v>151.59463068567908</v>
      </c>
      <c r="L56" s="5">
        <f t="shared" si="2"/>
        <v>15.735554479995791</v>
      </c>
      <c r="M56" s="3">
        <f t="shared" si="3"/>
        <v>21.654689281465373</v>
      </c>
      <c r="N56" s="2">
        <v>0</v>
      </c>
      <c r="O56" s="2">
        <f t="shared" si="4"/>
        <v>222.38932321589121</v>
      </c>
      <c r="P56" s="2">
        <f t="shared" si="5"/>
        <v>151.59463068567908</v>
      </c>
      <c r="Q56" s="5">
        <f t="shared" si="6"/>
        <v>1.8742909150837099</v>
      </c>
      <c r="R56" s="5">
        <f t="shared" si="7"/>
        <v>0.15280383381531149</v>
      </c>
      <c r="S56" s="4">
        <f t="shared" si="25"/>
        <v>9.7372881792726282E-2</v>
      </c>
      <c r="T56" s="5">
        <f t="shared" si="8"/>
        <v>9.0362182837399774E-2</v>
      </c>
      <c r="U56" s="4">
        <f t="shared" si="9"/>
        <v>0</v>
      </c>
      <c r="V56" s="4">
        <f t="shared" si="10"/>
        <v>0</v>
      </c>
      <c r="W56" s="5">
        <f t="shared" si="11"/>
        <v>0</v>
      </c>
      <c r="X56" s="5">
        <f t="shared" si="12"/>
        <v>-42.197024637264853</v>
      </c>
      <c r="Y56" s="5">
        <f t="shared" si="13"/>
        <v>-7.9740316339082096</v>
      </c>
      <c r="Z56" s="5">
        <f>1</f>
        <v>1</v>
      </c>
      <c r="AA56" s="5">
        <f>IF(M56=0,0,const*($T56/omega)*O56*(wy*I56-wz*(H56-V56))/Z56)</f>
        <v>0</v>
      </c>
      <c r="AB56" s="5">
        <f>IF(M56=0,0,const*($T56/omega)*O56*(wz*(G56-U56)-wx*I56)/Z56)</f>
        <v>-4.7155289658852899</v>
      </c>
      <c r="AC56" s="5">
        <f>IF(M56=0,0,const*($T56/omega)*O56*(wx*(H56-V56)-wy*(G56-U56))/Z56)</f>
        <v>24.953662223393195</v>
      </c>
      <c r="AD56" s="5">
        <f t="shared" si="27"/>
        <v>0</v>
      </c>
      <c r="AE56" s="5">
        <f t="shared" si="27"/>
        <v>-46.912553603150144</v>
      </c>
      <c r="AF56" s="5">
        <f t="shared" si="15"/>
        <v>-15.194369410515016</v>
      </c>
      <c r="AG56">
        <f t="shared" si="26"/>
        <v>0</v>
      </c>
    </row>
    <row r="57" spans="1:33" x14ac:dyDescent="0.2">
      <c r="A57">
        <f t="shared" si="16"/>
        <v>0.25000000000000006</v>
      </c>
      <c r="B57" s="5">
        <f t="shared" si="17"/>
        <v>0</v>
      </c>
      <c r="C57" s="5">
        <f t="shared" si="18"/>
        <v>56.029781005862269</v>
      </c>
      <c r="D57" s="5">
        <f t="shared" si="19"/>
        <v>10.748076798934273</v>
      </c>
      <c r="E57" s="2">
        <f t="shared" si="0"/>
        <v>18.676593668620757</v>
      </c>
      <c r="F57" s="2">
        <f t="shared" si="20"/>
        <v>0</v>
      </c>
      <c r="G57" s="3">
        <f t="shared" si="21"/>
        <v>0</v>
      </c>
      <c r="H57" s="3">
        <f t="shared" si="22"/>
        <v>218.05269351770468</v>
      </c>
      <c r="I57" s="3">
        <f t="shared" si="23"/>
        <v>41.142434589970101</v>
      </c>
      <c r="J57" s="2">
        <f t="shared" si="1"/>
        <v>221.9001511363073</v>
      </c>
      <c r="K57" s="2">
        <f t="shared" si="24"/>
        <v>151.26118005201587</v>
      </c>
      <c r="L57" s="5">
        <f t="shared" si="2"/>
        <v>15.770243027385094</v>
      </c>
      <c r="M57" s="3">
        <f t="shared" si="3"/>
        <v>21.641688313945156</v>
      </c>
      <c r="N57" s="2">
        <v>0</v>
      </c>
      <c r="O57" s="2">
        <f t="shared" si="4"/>
        <v>221.9001511363073</v>
      </c>
      <c r="P57" s="2">
        <f t="shared" si="5"/>
        <v>151.26118005201587</v>
      </c>
      <c r="Q57" s="5">
        <f t="shared" si="6"/>
        <v>1.8701681866567401</v>
      </c>
      <c r="R57" s="5">
        <f t="shared" si="7"/>
        <v>0.15283640823709047</v>
      </c>
      <c r="S57" s="4">
        <f t="shared" si="25"/>
        <v>9.7528948056692613E-2</v>
      </c>
      <c r="T57" s="5">
        <f t="shared" si="8"/>
        <v>9.0420086898159238E-2</v>
      </c>
      <c r="U57" s="4">
        <f t="shared" si="9"/>
        <v>0</v>
      </c>
      <c r="V57" s="4">
        <f t="shared" si="10"/>
        <v>0</v>
      </c>
      <c r="W57" s="5">
        <f t="shared" si="11"/>
        <v>0</v>
      </c>
      <c r="X57" s="5">
        <f t="shared" si="12"/>
        <v>-42.022773756849567</v>
      </c>
      <c r="Y57" s="5">
        <f t="shared" si="13"/>
        <v>-7.9289055901523025</v>
      </c>
      <c r="Z57" s="5">
        <f>1</f>
        <v>1</v>
      </c>
      <c r="AA57" s="5">
        <f>IF(M57=0,0,const*($T57/omega)*O57*(wy*I57-wz*(H57-V57))/Z57)</f>
        <v>0</v>
      </c>
      <c r="AB57" s="5">
        <f>IF(M57=0,0,const*($T57/omega)*O57*(wz*(G57-U57)-wx*I57)/Z57)</f>
        <v>-4.6908478204795054</v>
      </c>
      <c r="AC57" s="5">
        <f>IF(M57=0,0,const*($T57/omega)*O57*(wx*(H57-V57)-wy*(G57-U57))/Z57)</f>
        <v>24.86124149752106</v>
      </c>
      <c r="AD57" s="5">
        <f t="shared" si="27"/>
        <v>0</v>
      </c>
      <c r="AE57" s="5">
        <f t="shared" si="27"/>
        <v>-46.713621577329071</v>
      </c>
      <c r="AF57" s="5">
        <f t="shared" si="15"/>
        <v>-15.24166409263124</v>
      </c>
      <c r="AG57">
        <f t="shared" si="26"/>
        <v>0</v>
      </c>
    </row>
    <row r="58" spans="1:33" x14ac:dyDescent="0.2">
      <c r="A58">
        <f t="shared" si="16"/>
        <v>0.26000000000000006</v>
      </c>
      <c r="B58" s="5">
        <f t="shared" si="17"/>
        <v>0</v>
      </c>
      <c r="C58" s="5">
        <f t="shared" si="18"/>
        <v>58.207972259960449</v>
      </c>
      <c r="D58" s="5">
        <f t="shared" si="19"/>
        <v>11.15873906162934</v>
      </c>
      <c r="E58" s="2">
        <f t="shared" si="0"/>
        <v>19.402657419986816</v>
      </c>
      <c r="F58" s="2">
        <f t="shared" si="20"/>
        <v>0</v>
      </c>
      <c r="G58" s="3">
        <f t="shared" si="21"/>
        <v>0</v>
      </c>
      <c r="H58" s="3">
        <f t="shared" si="22"/>
        <v>217.5855573019314</v>
      </c>
      <c r="I58" s="3">
        <f t="shared" si="23"/>
        <v>40.990017949043789</v>
      </c>
      <c r="J58" s="2">
        <f t="shared" si="1"/>
        <v>221.41286393941749</v>
      </c>
      <c r="K58" s="2">
        <f t="shared" si="24"/>
        <v>150.92901427363154</v>
      </c>
      <c r="L58" s="5">
        <f t="shared" si="2"/>
        <v>15.804950304019158</v>
      </c>
      <c r="M58" s="3">
        <f t="shared" si="3"/>
        <v>21.628752591081774</v>
      </c>
      <c r="N58" s="2">
        <v>0</v>
      </c>
      <c r="O58" s="2">
        <f t="shared" si="4"/>
        <v>221.41286393941749</v>
      </c>
      <c r="P58" s="2">
        <f t="shared" si="5"/>
        <v>150.92901427363154</v>
      </c>
      <c r="Q58" s="5">
        <f t="shared" si="6"/>
        <v>1.8660613439677114</v>
      </c>
      <c r="R58" s="5">
        <f t="shared" si="7"/>
        <v>0.15286901452750884</v>
      </c>
      <c r="S58" s="4">
        <f t="shared" si="25"/>
        <v>9.7685167005471668E-2</v>
      </c>
      <c r="T58" s="5">
        <f t="shared" si="8"/>
        <v>9.0477991958504644E-2</v>
      </c>
      <c r="U58" s="4">
        <f t="shared" si="9"/>
        <v>0</v>
      </c>
      <c r="V58" s="4">
        <f t="shared" si="10"/>
        <v>0</v>
      </c>
      <c r="W58" s="5">
        <f t="shared" si="11"/>
        <v>0</v>
      </c>
      <c r="X58" s="5">
        <f t="shared" si="12"/>
        <v>-41.849591062202769</v>
      </c>
      <c r="Y58" s="5">
        <f t="shared" si="13"/>
        <v>-7.8838665124241096</v>
      </c>
      <c r="Z58" s="5">
        <f>1</f>
        <v>1</v>
      </c>
      <c r="AA58" s="5">
        <f>IF(M58=0,0,const*($T58/omega)*O58*(wy*I58-wz*(H58-V58))/Z58)</f>
        <v>0</v>
      </c>
      <c r="AB58" s="5">
        <f>IF(M58=0,0,const*($T58/omega)*O58*(wz*(G58-U58)-wx*I58)/Z58)</f>
        <v>-4.6661935586996997</v>
      </c>
      <c r="AC58" s="5">
        <f>IF(M58=0,0,const*($T58/omega)*O58*(wx*(H58-V58)-wy*(G58-U58))/Z58)</f>
        <v>24.769355485779712</v>
      </c>
      <c r="AD58" s="5">
        <f t="shared" si="27"/>
        <v>0</v>
      </c>
      <c r="AE58" s="5">
        <f t="shared" si="27"/>
        <v>-46.515784620902465</v>
      </c>
      <c r="AF58" s="5">
        <f t="shared" si="15"/>
        <v>-15.288511026644397</v>
      </c>
      <c r="AG58">
        <f t="shared" si="26"/>
        <v>0</v>
      </c>
    </row>
    <row r="59" spans="1:33" x14ac:dyDescent="0.2">
      <c r="A59">
        <f t="shared" si="16"/>
        <v>0.27000000000000007</v>
      </c>
      <c r="B59" s="5">
        <f t="shared" si="17"/>
        <v>0</v>
      </c>
      <c r="C59" s="5">
        <f t="shared" si="18"/>
        <v>60.381502043748718</v>
      </c>
      <c r="D59" s="5">
        <f t="shared" si="19"/>
        <v>11.567874815568445</v>
      </c>
      <c r="E59" s="2">
        <f t="shared" si="0"/>
        <v>20.127167347916238</v>
      </c>
      <c r="F59" s="2">
        <f t="shared" si="20"/>
        <v>0</v>
      </c>
      <c r="G59" s="3">
        <f t="shared" si="21"/>
        <v>0</v>
      </c>
      <c r="H59" s="3">
        <f t="shared" si="22"/>
        <v>217.12039945572238</v>
      </c>
      <c r="I59" s="3">
        <f t="shared" si="23"/>
        <v>40.837132838777343</v>
      </c>
      <c r="J59" s="2">
        <f t="shared" si="1"/>
        <v>220.92745252300446</v>
      </c>
      <c r="K59" s="2">
        <f t="shared" si="24"/>
        <v>150.59812714587898</v>
      </c>
      <c r="L59" s="5">
        <f t="shared" si="2"/>
        <v>15.839676198088895</v>
      </c>
      <c r="M59" s="3">
        <f t="shared" si="3"/>
        <v>21.615881671084399</v>
      </c>
      <c r="N59" s="2">
        <v>0</v>
      </c>
      <c r="O59" s="2">
        <f t="shared" si="4"/>
        <v>220.92745252300446</v>
      </c>
      <c r="P59" s="2">
        <f t="shared" si="5"/>
        <v>150.59812714587898</v>
      </c>
      <c r="Q59" s="5">
        <f t="shared" si="6"/>
        <v>1.8619703103033944</v>
      </c>
      <c r="R59" s="5">
        <f t="shared" si="7"/>
        <v>0.15290165248686957</v>
      </c>
      <c r="S59" s="4">
        <f t="shared" si="25"/>
        <v>9.7841537682301416E-2</v>
      </c>
      <c r="T59" s="5">
        <f t="shared" si="8"/>
        <v>9.0535897643657756E-2</v>
      </c>
      <c r="U59" s="4">
        <f t="shared" si="9"/>
        <v>0</v>
      </c>
      <c r="V59" s="4">
        <f t="shared" si="10"/>
        <v>0</v>
      </c>
      <c r="W59" s="5">
        <f t="shared" si="11"/>
        <v>0</v>
      </c>
      <c r="X59" s="5">
        <f t="shared" si="12"/>
        <v>-41.677468471892432</v>
      </c>
      <c r="Y59" s="5">
        <f t="shared" si="13"/>
        <v>-7.8389148170193668</v>
      </c>
      <c r="Z59" s="5">
        <f>1</f>
        <v>1</v>
      </c>
      <c r="AA59" s="5">
        <f>IF(M59=0,0,const*($T59/omega)*O59*(wy*I59-wz*(H59-V59))/Z59)</f>
        <v>0</v>
      </c>
      <c r="AB59" s="5">
        <f>IF(M59=0,0,const*($T59/omega)*O59*(wz*(G59-U59)-wx*I59)/Z59)</f>
        <v>-4.6415665100281593</v>
      </c>
      <c r="AC59" s="5">
        <f>IF(M59=0,0,const*($T59/omega)*O59*(wx*(H59-V59)-wy*(G59-U59))/Z59)</f>
        <v>24.678000258643767</v>
      </c>
      <c r="AD59" s="5">
        <f t="shared" si="27"/>
        <v>0</v>
      </c>
      <c r="AE59" s="5">
        <f t="shared" si="27"/>
        <v>-46.319034981920595</v>
      </c>
      <c r="AF59" s="5">
        <f t="shared" si="15"/>
        <v>-15.334914558375601</v>
      </c>
      <c r="AG59">
        <f t="shared" si="26"/>
        <v>0</v>
      </c>
    </row>
    <row r="60" spans="1:33" x14ac:dyDescent="0.2">
      <c r="A60">
        <f t="shared" si="16"/>
        <v>0.28000000000000008</v>
      </c>
      <c r="B60" s="5">
        <f t="shared" si="17"/>
        <v>0</v>
      </c>
      <c r="C60" s="5">
        <f t="shared" si="18"/>
        <v>62.550390086556845</v>
      </c>
      <c r="D60" s="5">
        <f t="shared" si="19"/>
        <v>11.975479398228298</v>
      </c>
      <c r="E60" s="2">
        <f t="shared" si="0"/>
        <v>20.850130028852281</v>
      </c>
      <c r="F60" s="2">
        <f t="shared" si="20"/>
        <v>0</v>
      </c>
      <c r="G60" s="3">
        <f t="shared" si="21"/>
        <v>0</v>
      </c>
      <c r="H60" s="3">
        <f t="shared" si="22"/>
        <v>216.65720910590318</v>
      </c>
      <c r="I60" s="3">
        <f t="shared" si="23"/>
        <v>40.68378369319359</v>
      </c>
      <c r="J60" s="2">
        <f t="shared" si="1"/>
        <v>220.44390786128253</v>
      </c>
      <c r="K60" s="2">
        <f t="shared" si="24"/>
        <v>150.26851251621167</v>
      </c>
      <c r="L60" s="5">
        <f t="shared" si="2"/>
        <v>15.874420596077931</v>
      </c>
      <c r="M60" s="3">
        <f t="shared" si="3"/>
        <v>21.603075115652491</v>
      </c>
      <c r="N60" s="2">
        <v>0</v>
      </c>
      <c r="O60" s="2">
        <f t="shared" si="4"/>
        <v>220.44390786128253</v>
      </c>
      <c r="P60" s="2">
        <f t="shared" si="5"/>
        <v>150.26851251621167</v>
      </c>
      <c r="Q60" s="5">
        <f t="shared" si="6"/>
        <v>1.8578950095947233</v>
      </c>
      <c r="R60" s="5">
        <f t="shared" si="7"/>
        <v>0.15293432191369724</v>
      </c>
      <c r="S60" s="4">
        <f t="shared" si="25"/>
        <v>9.7998059121899322E-2</v>
      </c>
      <c r="T60" s="5">
        <f t="shared" si="8"/>
        <v>9.0593803577130594E-2</v>
      </c>
      <c r="U60" s="4">
        <f t="shared" si="9"/>
        <v>0</v>
      </c>
      <c r="V60" s="4">
        <f t="shared" si="10"/>
        <v>0</v>
      </c>
      <c r="W60" s="5">
        <f t="shared" si="11"/>
        <v>0</v>
      </c>
      <c r="X60" s="5">
        <f t="shared" si="12"/>
        <v>-41.506397980836923</v>
      </c>
      <c r="Y60" s="5">
        <f t="shared" si="13"/>
        <v>-7.7940509079047624</v>
      </c>
      <c r="Z60" s="5">
        <f>1</f>
        <v>1</v>
      </c>
      <c r="AA60" s="5">
        <f>IF(M60=0,0,const*($T60/omega)*O60*(wy*I60-wz*(H60-V60))/Z60)</f>
        <v>0</v>
      </c>
      <c r="AB60" s="5">
        <f>IF(M60=0,0,const*($T60/omega)*O60*(wz*(G60-U60)-wx*I60)/Z60)</f>
        <v>-4.6169669972404064</v>
      </c>
      <c r="AC60" s="5">
        <f>IF(M60=0,0,const*($T60/omega)*O60*(wx*(H60-V60)-wy*(G60-U60))/Z60)</f>
        <v>24.587171923331187</v>
      </c>
      <c r="AD60" s="5">
        <f t="shared" si="27"/>
        <v>0</v>
      </c>
      <c r="AE60" s="5">
        <f t="shared" si="27"/>
        <v>-46.123364978077326</v>
      </c>
      <c r="AF60" s="5">
        <f t="shared" si="15"/>
        <v>-15.380878984573574</v>
      </c>
      <c r="AG60">
        <f t="shared" si="26"/>
        <v>0</v>
      </c>
    </row>
    <row r="61" spans="1:33" x14ac:dyDescent="0.2">
      <c r="A61">
        <f t="shared" si="16"/>
        <v>0.29000000000000009</v>
      </c>
      <c r="B61" s="5">
        <f t="shared" si="17"/>
        <v>0</v>
      </c>
      <c r="C61" s="5">
        <f t="shared" si="18"/>
        <v>64.714656009366976</v>
      </c>
      <c r="D61" s="5">
        <f t="shared" si="19"/>
        <v>12.381548191211007</v>
      </c>
      <c r="E61" s="2">
        <f t="shared" si="0"/>
        <v>21.571552003122324</v>
      </c>
      <c r="F61" s="2">
        <f t="shared" si="20"/>
        <v>0</v>
      </c>
      <c r="G61" s="3">
        <f t="shared" si="21"/>
        <v>0</v>
      </c>
      <c r="H61" s="3">
        <f t="shared" si="22"/>
        <v>216.1959754561224</v>
      </c>
      <c r="I61" s="3">
        <f t="shared" si="23"/>
        <v>40.529974903347856</v>
      </c>
      <c r="J61" s="2">
        <f t="shared" si="1"/>
        <v>219.96222100417674</v>
      </c>
      <c r="K61" s="2">
        <f t="shared" si="24"/>
        <v>149.94016428369238</v>
      </c>
      <c r="L61" s="5">
        <f t="shared" si="2"/>
        <v>15.909183382752808</v>
      </c>
      <c r="M61" s="3">
        <f t="shared" si="3"/>
        <v>21.59033248993584</v>
      </c>
      <c r="N61" s="2">
        <v>0</v>
      </c>
      <c r="O61" s="2">
        <f t="shared" si="4"/>
        <v>219.96222100417674</v>
      </c>
      <c r="P61" s="2">
        <f t="shared" si="5"/>
        <v>149.94016428369238</v>
      </c>
      <c r="Q61" s="5">
        <f t="shared" si="6"/>
        <v>1.8538353664107194</v>
      </c>
      <c r="R61" s="5">
        <f t="shared" si="7"/>
        <v>0.15296702260472092</v>
      </c>
      <c r="S61" s="4">
        <f t="shared" si="25"/>
        <v>9.8154730350380817E-2</v>
      </c>
      <c r="T61" s="5">
        <f t="shared" si="8"/>
        <v>9.0651709380704534E-2</v>
      </c>
      <c r="U61" s="4">
        <f t="shared" si="9"/>
        <v>0</v>
      </c>
      <c r="V61" s="4">
        <f t="shared" si="10"/>
        <v>0</v>
      </c>
      <c r="W61" s="5">
        <f t="shared" si="11"/>
        <v>0</v>
      </c>
      <c r="X61" s="5">
        <f t="shared" si="12"/>
        <v>-41.336371659447423</v>
      </c>
      <c r="Y61" s="5">
        <f t="shared" si="13"/>
        <v>-7.749275176923371</v>
      </c>
      <c r="Z61" s="5">
        <f>1</f>
        <v>1</v>
      </c>
      <c r="AA61" s="5">
        <f>IF(M61=0,0,const*($T61/omega)*O61*(wy*I61-wz*(H61-V61))/Z61)</f>
        <v>0</v>
      </c>
      <c r="AB61" s="5">
        <f>IF(M61=0,0,const*($T61/omega)*O61*(wz*(G61-U61)-wx*I61)/Z61)</f>
        <v>-4.5923953365088561</v>
      </c>
      <c r="AC61" s="5">
        <f>IF(M61=0,0,const*($T61/omega)*O61*(wx*(H61-V61)-wy*(G61-U61))/Z61)</f>
        <v>24.49686662339057</v>
      </c>
      <c r="AD61" s="5">
        <f t="shared" si="27"/>
        <v>0</v>
      </c>
      <c r="AE61" s="5">
        <f t="shared" si="27"/>
        <v>-45.928766995956281</v>
      </c>
      <c r="AF61" s="5">
        <f t="shared" si="15"/>
        <v>-15.426408553532802</v>
      </c>
      <c r="AG61">
        <f t="shared" si="26"/>
        <v>0</v>
      </c>
    </row>
    <row r="62" spans="1:33" x14ac:dyDescent="0.2">
      <c r="A62">
        <f t="shared" si="16"/>
        <v>0.3000000000000001</v>
      </c>
      <c r="B62" s="5">
        <f t="shared" si="17"/>
        <v>0</v>
      </c>
      <c r="C62" s="5">
        <f t="shared" si="18"/>
        <v>66.874319325578398</v>
      </c>
      <c r="D62" s="5">
        <f t="shared" si="19"/>
        <v>12.786076619816809</v>
      </c>
      <c r="E62" s="2">
        <f t="shared" si="0"/>
        <v>22.291439775192799</v>
      </c>
      <c r="F62" s="2">
        <f t="shared" si="20"/>
        <v>0</v>
      </c>
      <c r="G62" s="3">
        <f t="shared" si="21"/>
        <v>0</v>
      </c>
      <c r="H62" s="3">
        <f t="shared" si="22"/>
        <v>215.73668778616283</v>
      </c>
      <c r="I62" s="3">
        <f t="shared" si="23"/>
        <v>40.375710817812525</v>
      </c>
      <c r="J62" s="2">
        <f t="shared" si="1"/>
        <v>219.48238307661032</v>
      </c>
      <c r="K62" s="2">
        <f t="shared" si="24"/>
        <v>149.61307639850736</v>
      </c>
      <c r="L62" s="5">
        <f t="shared" si="2"/>
        <v>15.943964441153241</v>
      </c>
      <c r="M62" s="3">
        <f t="shared" si="3"/>
        <v>21.577653362495109</v>
      </c>
      <c r="N62" s="2">
        <v>0</v>
      </c>
      <c r="O62" s="2">
        <f t="shared" si="4"/>
        <v>219.48238307661032</v>
      </c>
      <c r="P62" s="2">
        <f t="shared" si="5"/>
        <v>149.61307639850736</v>
      </c>
      <c r="Q62" s="5">
        <f t="shared" si="6"/>
        <v>1.8497913059524875</v>
      </c>
      <c r="R62" s="5">
        <f t="shared" si="7"/>
        <v>0.15299975435485738</v>
      </c>
      <c r="S62" s="4">
        <f t="shared" si="25"/>
        <v>9.831155038517797E-2</v>
      </c>
      <c r="T62" s="5">
        <f t="shared" si="8"/>
        <v>9.0709614674409841E-2</v>
      </c>
      <c r="U62" s="4">
        <f t="shared" si="9"/>
        <v>0</v>
      </c>
      <c r="V62" s="4">
        <f t="shared" si="10"/>
        <v>0</v>
      </c>
      <c r="W62" s="5">
        <f t="shared" si="11"/>
        <v>0</v>
      </c>
      <c r="X62" s="5">
        <f t="shared" si="12"/>
        <v>-41.16738165278165</v>
      </c>
      <c r="Y62" s="5">
        <f t="shared" si="13"/>
        <v>-7.704588003996613</v>
      </c>
      <c r="Z62" s="5">
        <f>1</f>
        <v>1</v>
      </c>
      <c r="AA62" s="5">
        <f>IF(M62=0,0,const*($T62/omega)*O62*(wy*I62-wz*(H62-V62))/Z62)</f>
        <v>0</v>
      </c>
      <c r="AB62" s="5">
        <f>IF(M62=0,0,const*($T62/omega)*O62*(wz*(G62-U62)-wx*I62)/Z62)</f>
        <v>-4.5678518375047661</v>
      </c>
      <c r="AC62" s="5">
        <f>IF(M62=0,0,const*($T62/omega)*O62*(wx*(H62-V62)-wy*(G62-U62))/Z62)</f>
        <v>24.407080538293936</v>
      </c>
      <c r="AD62" s="5">
        <f t="shared" si="27"/>
        <v>0</v>
      </c>
      <c r="AE62" s="5">
        <f t="shared" si="27"/>
        <v>-45.735233490286419</v>
      </c>
      <c r="AF62" s="5">
        <f t="shared" si="15"/>
        <v>-15.471507465702675</v>
      </c>
      <c r="AG62">
        <f t="shared" si="26"/>
        <v>0</v>
      </c>
    </row>
    <row r="63" spans="1:33" x14ac:dyDescent="0.2">
      <c r="A63">
        <f t="shared" si="16"/>
        <v>0.31000000000000011</v>
      </c>
      <c r="B63" s="5">
        <f t="shared" si="17"/>
        <v>0</v>
      </c>
      <c r="C63" s="5">
        <f t="shared" si="18"/>
        <v>69.02939944176552</v>
      </c>
      <c r="D63" s="5">
        <f t="shared" si="19"/>
        <v>13.189060152621648</v>
      </c>
      <c r="E63" s="2">
        <f t="shared" si="0"/>
        <v>23.009799813921841</v>
      </c>
      <c r="F63" s="2">
        <f t="shared" si="20"/>
        <v>0</v>
      </c>
      <c r="G63" s="3">
        <f t="shared" si="21"/>
        <v>0</v>
      </c>
      <c r="H63" s="3">
        <f t="shared" si="22"/>
        <v>215.27933545125998</v>
      </c>
      <c r="I63" s="3">
        <f t="shared" si="23"/>
        <v>40.220995743155498</v>
      </c>
      <c r="J63" s="2">
        <f t="shared" si="1"/>
        <v>219.0043852778</v>
      </c>
      <c r="K63" s="2">
        <f t="shared" si="24"/>
        <v>149.28724286148602</v>
      </c>
      <c r="L63" s="5">
        <f t="shared" si="2"/>
        <v>15.978763652582337</v>
      </c>
      <c r="M63" s="3">
        <f t="shared" si="3"/>
        <v>21.56503730526288</v>
      </c>
      <c r="N63" s="2">
        <v>0</v>
      </c>
      <c r="O63" s="2">
        <f t="shared" si="4"/>
        <v>219.0043852778</v>
      </c>
      <c r="P63" s="2">
        <f t="shared" si="5"/>
        <v>149.28724286148602</v>
      </c>
      <c r="Q63" s="5">
        <f t="shared" si="6"/>
        <v>1.8457627540472756</v>
      </c>
      <c r="R63" s="5">
        <f t="shared" si="7"/>
        <v>0.15303251695719394</v>
      </c>
      <c r="S63" s="4">
        <f t="shared" si="25"/>
        <v>9.8468518234958294E-2</v>
      </c>
      <c r="T63" s="5">
        <f t="shared" si="8"/>
        <v>9.076751907650521E-2</v>
      </c>
      <c r="U63" s="4">
        <f t="shared" si="9"/>
        <v>0</v>
      </c>
      <c r="V63" s="4">
        <f t="shared" si="10"/>
        <v>0</v>
      </c>
      <c r="W63" s="5">
        <f t="shared" si="11"/>
        <v>0</v>
      </c>
      <c r="X63" s="5">
        <f t="shared" si="12"/>
        <v>-40.999420179708494</v>
      </c>
      <c r="Y63" s="5">
        <f t="shared" si="13"/>
        <v>-7.6599897573227462</v>
      </c>
      <c r="Z63" s="5">
        <f>1</f>
        <v>1</v>
      </c>
      <c r="AA63" s="5">
        <f>IF(M63=0,0,const*($T63/omega)*O63*(wy*I63-wz*(H63-V63))/Z63)</f>
        <v>0</v>
      </c>
      <c r="AB63" s="5">
        <f>IF(M63=0,0,const*($T63/omega)*O63*(wz*(G63-U63)-wx*I63)/Z63)</f>
        <v>-4.5433368034984971</v>
      </c>
      <c r="AC63" s="5">
        <f>IF(M63=0,0,const*($T63/omega)*O63*(wx*(H63-V63)-wy*(G63-U63))/Z63)</f>
        <v>24.317809883034819</v>
      </c>
      <c r="AD63" s="5">
        <f t="shared" si="27"/>
        <v>0</v>
      </c>
      <c r="AE63" s="5">
        <f t="shared" si="27"/>
        <v>-45.542756983206992</v>
      </c>
      <c r="AF63" s="5">
        <f t="shared" si="15"/>
        <v>-15.516179874287928</v>
      </c>
      <c r="AG63">
        <f t="shared" si="26"/>
        <v>0</v>
      </c>
    </row>
    <row r="64" spans="1:33" x14ac:dyDescent="0.2">
      <c r="A64">
        <f t="shared" si="16"/>
        <v>0.32000000000000012</v>
      </c>
      <c r="B64" s="5">
        <f t="shared" si="17"/>
        <v>0</v>
      </c>
      <c r="C64" s="5">
        <f t="shared" si="18"/>
        <v>71.179915658428953</v>
      </c>
      <c r="D64" s="5">
        <f t="shared" si="19"/>
        <v>13.59049430105949</v>
      </c>
      <c r="E64" s="2">
        <f t="shared" si="0"/>
        <v>23.72663855280965</v>
      </c>
      <c r="F64" s="2">
        <f t="shared" si="20"/>
        <v>0</v>
      </c>
      <c r="G64" s="3">
        <f t="shared" si="21"/>
        <v>0</v>
      </c>
      <c r="H64" s="3">
        <f t="shared" si="22"/>
        <v>214.82390788142791</v>
      </c>
      <c r="I64" s="3">
        <f t="shared" si="23"/>
        <v>40.065833944412617</v>
      </c>
      <c r="J64" s="2">
        <f t="shared" si="1"/>
        <v>218.52821888055894</v>
      </c>
      <c r="K64" s="2">
        <f t="shared" si="24"/>
        <v>148.96265772362571</v>
      </c>
      <c r="L64" s="5">
        <f t="shared" si="2"/>
        <v>16.013580896596828</v>
      </c>
      <c r="M64" s="3">
        <f t="shared" si="3"/>
        <v>21.552483893505219</v>
      </c>
      <c r="N64" s="2">
        <v>0</v>
      </c>
      <c r="O64" s="2">
        <f t="shared" si="4"/>
        <v>218.52821888055894</v>
      </c>
      <c r="P64" s="2">
        <f t="shared" si="5"/>
        <v>148.96265772362571</v>
      </c>
      <c r="Q64" s="5">
        <f t="shared" si="6"/>
        <v>1.8417496371425999</v>
      </c>
      <c r="R64" s="5">
        <f t="shared" si="7"/>
        <v>0.15306531020297182</v>
      </c>
      <c r="S64" s="4">
        <f t="shared" si="25"/>
        <v>9.8625632899544055E-2</v>
      </c>
      <c r="T64" s="5">
        <f t="shared" si="8"/>
        <v>9.0825422203457601E-2</v>
      </c>
      <c r="U64" s="4">
        <f t="shared" si="9"/>
        <v>0</v>
      </c>
      <c r="V64" s="4">
        <f t="shared" si="10"/>
        <v>0</v>
      </c>
      <c r="W64" s="5">
        <f t="shared" si="11"/>
        <v>0</v>
      </c>
      <c r="X64" s="5">
        <f t="shared" si="12"/>
        <v>-40.832479532083632</v>
      </c>
      <c r="Y64" s="5">
        <f t="shared" si="13"/>
        <v>-7.6154807935719768</v>
      </c>
      <c r="Z64" s="5">
        <f>1</f>
        <v>1</v>
      </c>
      <c r="AA64" s="5">
        <f>IF(M64=0,0,const*($T64/omega)*O64*(wy*I64-wz*(H64-V64))/Z64)</f>
        <v>0</v>
      </c>
      <c r="AB64" s="5">
        <f>IF(M64=0,0,const*($T64/omega)*O64*(wz*(G64-U64)-wx*I64)/Z64)</f>
        <v>-4.5188505314580931</v>
      </c>
      <c r="AC64" s="5">
        <f>IF(M64=0,0,const*($T64/omega)*O64*(wx*(H64-V64)-wy*(G64-U64))/Z64)</f>
        <v>24.229050907731622</v>
      </c>
      <c r="AD64" s="5">
        <f t="shared" si="27"/>
        <v>0</v>
      </c>
      <c r="AE64" s="5">
        <f t="shared" si="27"/>
        <v>-45.351330063541724</v>
      </c>
      <c r="AF64" s="5">
        <f t="shared" si="15"/>
        <v>-15.560429885840353</v>
      </c>
      <c r="AG64">
        <f t="shared" si="26"/>
        <v>0</v>
      </c>
    </row>
    <row r="65" spans="1:33" x14ac:dyDescent="0.2">
      <c r="A65">
        <f t="shared" si="16"/>
        <v>0.33000000000000013</v>
      </c>
      <c r="B65" s="5">
        <f t="shared" si="17"/>
        <v>0</v>
      </c>
      <c r="C65" s="5">
        <f t="shared" si="18"/>
        <v>73.32588717074006</v>
      </c>
      <c r="D65" s="5">
        <f t="shared" si="19"/>
        <v>13.990374619009325</v>
      </c>
      <c r="E65" s="2">
        <f t="shared" si="0"/>
        <v>24.441962390246687</v>
      </c>
      <c r="F65" s="2">
        <f t="shared" si="20"/>
        <v>0</v>
      </c>
      <c r="G65" s="3">
        <f t="shared" si="21"/>
        <v>0</v>
      </c>
      <c r="H65" s="3">
        <f t="shared" si="22"/>
        <v>214.37039458079249</v>
      </c>
      <c r="I65" s="3">
        <f t="shared" si="23"/>
        <v>39.91022964555421</v>
      </c>
      <c r="J65" s="2">
        <f t="shared" si="1"/>
        <v>218.05387523060796</v>
      </c>
      <c r="K65" s="2">
        <f t="shared" si="24"/>
        <v>148.63931508562231</v>
      </c>
      <c r="L65" s="5">
        <f t="shared" si="2"/>
        <v>16.048416050997286</v>
      </c>
      <c r="M65" s="3">
        <f t="shared" si="3"/>
        <v>21.539992705783728</v>
      </c>
      <c r="N65" s="2">
        <v>0</v>
      </c>
      <c r="O65" s="2">
        <f t="shared" si="4"/>
        <v>218.05387523060796</v>
      </c>
      <c r="P65" s="2">
        <f t="shared" si="5"/>
        <v>148.63931508562231</v>
      </c>
      <c r="Q65" s="5">
        <f t="shared" si="6"/>
        <v>1.8377518823004411</v>
      </c>
      <c r="R65" s="5">
        <f t="shared" si="7"/>
        <v>0.15309813388156909</v>
      </c>
      <c r="S65" s="4">
        <f t="shared" si="25"/>
        <v>9.878289336983169E-2</v>
      </c>
      <c r="T65" s="5">
        <f t="shared" si="8"/>
        <v>9.0883323669922245E-2</v>
      </c>
      <c r="U65" s="4">
        <f t="shared" si="9"/>
        <v>0</v>
      </c>
      <c r="V65" s="4">
        <f t="shared" si="10"/>
        <v>0</v>
      </c>
      <c r="W65" s="5">
        <f t="shared" si="11"/>
        <v>0</v>
      </c>
      <c r="X65" s="5">
        <f t="shared" si="12"/>
        <v>-40.666552073935762</v>
      </c>
      <c r="Y65" s="5">
        <f t="shared" si="13"/>
        <v>-7.571061458078252</v>
      </c>
      <c r="Z65" s="5">
        <f>1</f>
        <v>1</v>
      </c>
      <c r="AA65" s="5">
        <f>IF(M65=0,0,const*($T65/omega)*O65*(wy*I65-wz*(H65-V65))/Z65)</f>
        <v>0</v>
      </c>
      <c r="AB65" s="5">
        <f>IF(M65=0,0,const*($T65/omega)*O65*(wz*(G65-U65)-wx*I65)/Z65)</f>
        <v>-4.4943933121462756</v>
      </c>
      <c r="AC65" s="5">
        <f>IF(M65=0,0,const*($T65/omega)*O65*(wx*(H65-V65)-wy*(G65-U65))/Z65)</f>
        <v>24.140799897236295</v>
      </c>
      <c r="AD65" s="5">
        <f t="shared" si="27"/>
        <v>0</v>
      </c>
      <c r="AE65" s="5">
        <f t="shared" si="27"/>
        <v>-45.160945386082034</v>
      </c>
      <c r="AF65" s="5">
        <f t="shared" si="15"/>
        <v>-15.604261560841955</v>
      </c>
      <c r="AG65">
        <f t="shared" si="26"/>
        <v>0</v>
      </c>
    </row>
    <row r="66" spans="1:33" x14ac:dyDescent="0.2">
      <c r="A66">
        <f t="shared" si="16"/>
        <v>0.34000000000000014</v>
      </c>
      <c r="B66" s="5">
        <f t="shared" si="17"/>
        <v>0</v>
      </c>
      <c r="C66" s="5">
        <f t="shared" si="18"/>
        <v>75.467333069278681</v>
      </c>
      <c r="D66" s="5">
        <f t="shared" si="19"/>
        <v>14.388696702386826</v>
      </c>
      <c r="E66" s="2">
        <f t="shared" si="0"/>
        <v>25.15577768975956</v>
      </c>
      <c r="F66" s="2">
        <f t="shared" si="20"/>
        <v>0</v>
      </c>
      <c r="G66" s="3">
        <f t="shared" si="21"/>
        <v>0</v>
      </c>
      <c r="H66" s="3">
        <f t="shared" si="22"/>
        <v>213.91878512693168</v>
      </c>
      <c r="I66" s="3">
        <f t="shared" si="23"/>
        <v>39.75418702994579</v>
      </c>
      <c r="J66" s="2">
        <f t="shared" si="1"/>
        <v>217.58134574589403</v>
      </c>
      <c r="K66" s="2">
        <f t="shared" si="24"/>
        <v>148.31720909740559</v>
      </c>
      <c r="L66" s="5">
        <f t="shared" si="2"/>
        <v>16.083268991818368</v>
      </c>
      <c r="M66" s="3">
        <f t="shared" si="3"/>
        <v>21.52756332391807</v>
      </c>
      <c r="N66" s="2">
        <v>0</v>
      </c>
      <c r="O66" s="2">
        <f t="shared" si="4"/>
        <v>217.58134574589403</v>
      </c>
      <c r="P66" s="2">
        <f t="shared" si="5"/>
        <v>148.31720909740559</v>
      </c>
      <c r="Q66" s="5">
        <f t="shared" si="6"/>
        <v>1.8337694171914989</v>
      </c>
      <c r="R66" s="5">
        <f t="shared" si="7"/>
        <v>0.15313098778048415</v>
      </c>
      <c r="S66" s="4">
        <f t="shared" si="25"/>
        <v>9.8940298627711365E-2</v>
      </c>
      <c r="T66" s="5">
        <f t="shared" si="8"/>
        <v>9.0941223088722767E-2</v>
      </c>
      <c r="U66" s="4">
        <f t="shared" si="9"/>
        <v>0</v>
      </c>
      <c r="V66" s="4">
        <f t="shared" si="10"/>
        <v>0</v>
      </c>
      <c r="W66" s="5">
        <f t="shared" si="11"/>
        <v>0</v>
      </c>
      <c r="X66" s="5">
        <f t="shared" si="12"/>
        <v>-40.501630240663502</v>
      </c>
      <c r="Y66" s="5">
        <f t="shared" si="13"/>
        <v>-7.5267320850278043</v>
      </c>
      <c r="Z66" s="5">
        <f>1</f>
        <v>1</v>
      </c>
      <c r="AA66" s="5">
        <f>IF(M66=0,0,const*($T66/omega)*O66*(wy*I66-wz*(H66-V66))/Z66)</f>
        <v>0</v>
      </c>
      <c r="AB66" s="5">
        <f>IF(M66=0,0,const*($T66/omega)*O66*(wz*(G66-U66)-wx*I66)/Z66)</f>
        <v>-4.4699654302157921</v>
      </c>
      <c r="AC66" s="5">
        <f>IF(M66=0,0,const*($T66/omega)*O66*(wx*(H66-V66)-wy*(G66-U66))/Z66)</f>
        <v>24.053053170747955</v>
      </c>
      <c r="AD66" s="5">
        <f t="shared" si="27"/>
        <v>0</v>
      </c>
      <c r="AE66" s="5">
        <f t="shared" si="27"/>
        <v>-44.971595670879296</v>
      </c>
      <c r="AF66" s="5">
        <f t="shared" si="15"/>
        <v>-15.647678914279851</v>
      </c>
      <c r="AG66">
        <f t="shared" si="26"/>
        <v>0</v>
      </c>
    </row>
    <row r="67" spans="1:33" x14ac:dyDescent="0.2">
      <c r="A67">
        <f t="shared" si="16"/>
        <v>0.35000000000000014</v>
      </c>
      <c r="B67" s="5">
        <f t="shared" si="17"/>
        <v>0</v>
      </c>
      <c r="C67" s="5">
        <f t="shared" si="18"/>
        <v>77.604272340764453</v>
      </c>
      <c r="D67" s="5">
        <f t="shared" si="19"/>
        <v>14.78545618874057</v>
      </c>
      <c r="E67" s="2">
        <f t="shared" si="0"/>
        <v>25.868090780254818</v>
      </c>
      <c r="F67" s="2">
        <f t="shared" si="20"/>
        <v>0</v>
      </c>
      <c r="G67" s="3">
        <f t="shared" si="21"/>
        <v>0</v>
      </c>
      <c r="H67" s="3">
        <f t="shared" si="22"/>
        <v>213.46906917022289</v>
      </c>
      <c r="I67" s="3">
        <f t="shared" si="23"/>
        <v>39.597710240802989</v>
      </c>
      <c r="J67" s="2">
        <f t="shared" si="1"/>
        <v>217.1106219159164</v>
      </c>
      <c r="K67" s="2">
        <f t="shared" si="24"/>
        <v>147.99633395767989</v>
      </c>
      <c r="L67" s="5">
        <f t="shared" si="2"/>
        <v>16.118139593319022</v>
      </c>
      <c r="M67" s="3">
        <f t="shared" si="3"/>
        <v>21.515195332948988</v>
      </c>
      <c r="N67" s="2">
        <v>0</v>
      </c>
      <c r="O67" s="2">
        <f t="shared" si="4"/>
        <v>217.1106219159164</v>
      </c>
      <c r="P67" s="2">
        <f t="shared" si="5"/>
        <v>147.99633395767989</v>
      </c>
      <c r="Q67" s="5">
        <f t="shared" si="6"/>
        <v>1.8298021700895151</v>
      </c>
      <c r="R67" s="5">
        <f t="shared" si="7"/>
        <v>0.15316387168531884</v>
      </c>
      <c r="S67" s="4">
        <f t="shared" si="25"/>
        <v>9.9097847645987086E-2</v>
      </c>
      <c r="T67" s="5">
        <f t="shared" si="8"/>
        <v>9.0999120070831691E-2</v>
      </c>
      <c r="U67" s="4">
        <f t="shared" si="9"/>
        <v>0</v>
      </c>
      <c r="V67" s="4">
        <f t="shared" si="10"/>
        <v>0</v>
      </c>
      <c r="W67" s="5">
        <f t="shared" si="11"/>
        <v>0</v>
      </c>
      <c r="X67" s="5">
        <f t="shared" si="12"/>
        <v>-40.337706538242578</v>
      </c>
      <c r="Y67" s="5">
        <f t="shared" si="13"/>
        <v>-7.4824929976444601</v>
      </c>
      <c r="Z67" s="5">
        <f>1</f>
        <v>1</v>
      </c>
      <c r="AA67" s="5">
        <f>IF(M67=0,0,const*($T67/omega)*O67*(wy*I67-wz*(H67-V67))/Z67)</f>
        <v>0</v>
      </c>
      <c r="AB67" s="5">
        <f>IF(M67=0,0,const*($T67/omega)*O67*(wz*(G67-U67)-wx*I67)/Z67)</f>
        <v>-4.4455671643032231</v>
      </c>
      <c r="AC67" s="5">
        <f>IF(M67=0,0,const*($T67/omega)*O67*(wx*(H67-V67)-wy*(G67-U67))/Z67)</f>
        <v>23.965807081431688</v>
      </c>
      <c r="AD67" s="5">
        <f t="shared" si="27"/>
        <v>0</v>
      </c>
      <c r="AE67" s="5">
        <f t="shared" si="27"/>
        <v>-44.783273702545799</v>
      </c>
      <c r="AF67" s="5">
        <f t="shared" si="15"/>
        <v>-15.690685916212772</v>
      </c>
      <c r="AG67">
        <f t="shared" si="26"/>
        <v>0</v>
      </c>
    </row>
    <row r="68" spans="1:33" x14ac:dyDescent="0.2">
      <c r="A68">
        <f t="shared" si="16"/>
        <v>0.36000000000000015</v>
      </c>
      <c r="B68" s="5">
        <f t="shared" si="17"/>
        <v>0</v>
      </c>
      <c r="C68" s="5">
        <f t="shared" si="18"/>
        <v>79.736723868781553</v>
      </c>
      <c r="D68" s="5">
        <f t="shared" si="19"/>
        <v>15.18064875685279</v>
      </c>
      <c r="E68" s="2">
        <f t="shared" si="0"/>
        <v>26.578907956260519</v>
      </c>
      <c r="F68" s="2">
        <f t="shared" si="20"/>
        <v>0</v>
      </c>
      <c r="G68" s="3">
        <f t="shared" si="21"/>
        <v>0</v>
      </c>
      <c r="H68" s="3">
        <f t="shared" si="22"/>
        <v>213.02123643319743</v>
      </c>
      <c r="I68" s="3">
        <f t="shared" si="23"/>
        <v>39.440803381640862</v>
      </c>
      <c r="J68" s="2">
        <f t="shared" si="1"/>
        <v>216.64169530106028</v>
      </c>
      <c r="K68" s="2">
        <f t="shared" si="24"/>
        <v>147.67668391346984</v>
      </c>
      <c r="L68" s="5">
        <f t="shared" si="2"/>
        <v>16.153027727972741</v>
      </c>
      <c r="M68" s="3">
        <f t="shared" si="3"/>
        <v>21.502888321101793</v>
      </c>
      <c r="N68" s="2">
        <v>0</v>
      </c>
      <c r="O68" s="2">
        <f t="shared" si="4"/>
        <v>216.64169530106028</v>
      </c>
      <c r="P68" s="2">
        <f t="shared" si="5"/>
        <v>147.67668391346984</v>
      </c>
      <c r="Q68" s="5">
        <f t="shared" si="6"/>
        <v>1.8258500698656541</v>
      </c>
      <c r="R68" s="5">
        <f t="shared" si="7"/>
        <v>0.15319678537976192</v>
      </c>
      <c r="S68" s="4">
        <f t="shared" si="25"/>
        <v>9.9255539388296843E-2</v>
      </c>
      <c r="T68" s="5">
        <f t="shared" si="8"/>
        <v>9.1057014225350813E-2</v>
      </c>
      <c r="U68" s="4">
        <f t="shared" si="9"/>
        <v>0</v>
      </c>
      <c r="V68" s="4">
        <f t="shared" si="10"/>
        <v>0</v>
      </c>
      <c r="W68" s="5">
        <f t="shared" si="11"/>
        <v>0</v>
      </c>
      <c r="X68" s="5">
        <f t="shared" si="12"/>
        <v>-40.174773542443283</v>
      </c>
      <c r="Y68" s="5">
        <f t="shared" si="13"/>
        <v>-7.4383445083718369</v>
      </c>
      <c r="Z68" s="5">
        <f>1</f>
        <v>1</v>
      </c>
      <c r="AA68" s="5">
        <f>IF(M68=0,0,const*($T68/omega)*O68*(wy*I68-wz*(H68-V68))/Z68)</f>
        <v>0</v>
      </c>
      <c r="AB68" s="5">
        <f>IF(M68=0,0,const*($T68/omega)*O68*(wz*(G68-U68)-wx*I68)/Z68)</f>
        <v>-4.4211987871212282</v>
      </c>
      <c r="AC68" s="5">
        <f>IF(M68=0,0,const*($T68/omega)*O68*(wx*(H68-V68)-wy*(G68-U68))/Z68)</f>
        <v>23.879058016042233</v>
      </c>
      <c r="AD68" s="5">
        <f t="shared" si="27"/>
        <v>0</v>
      </c>
      <c r="AE68" s="5">
        <f t="shared" si="27"/>
        <v>-44.595972329564511</v>
      </c>
      <c r="AF68" s="5">
        <f t="shared" si="15"/>
        <v>-15.733286492329604</v>
      </c>
      <c r="AG68">
        <f t="shared" si="26"/>
        <v>0</v>
      </c>
    </row>
    <row r="69" spans="1:33" x14ac:dyDescent="0.2">
      <c r="A69">
        <f t="shared" si="16"/>
        <v>0.37000000000000016</v>
      </c>
      <c r="B69" s="5">
        <f t="shared" si="17"/>
        <v>0</v>
      </c>
      <c r="C69" s="5">
        <f t="shared" si="18"/>
        <v>81.864706434497037</v>
      </c>
      <c r="D69" s="5">
        <f t="shared" si="19"/>
        <v>15.574270126344581</v>
      </c>
      <c r="E69" s="2">
        <f t="shared" si="0"/>
        <v>27.288235478165678</v>
      </c>
      <c r="F69" s="2">
        <f t="shared" si="20"/>
        <v>0</v>
      </c>
      <c r="G69" s="3">
        <f t="shared" si="21"/>
        <v>0</v>
      </c>
      <c r="H69" s="3">
        <f t="shared" si="22"/>
        <v>212.57527670990177</v>
      </c>
      <c r="I69" s="3">
        <f t="shared" si="23"/>
        <v>39.283470516717564</v>
      </c>
      <c r="J69" s="2">
        <f t="shared" si="1"/>
        <v>216.17455753193786</v>
      </c>
      <c r="K69" s="2">
        <f t="shared" si="24"/>
        <v>147.35825325967133</v>
      </c>
      <c r="L69" s="5">
        <f t="shared" si="2"/>
        <v>16.187933266457783</v>
      </c>
      <c r="M69" s="3">
        <f t="shared" si="3"/>
        <v>21.490641879750321</v>
      </c>
      <c r="N69" s="2">
        <v>0</v>
      </c>
      <c r="O69" s="2">
        <f t="shared" si="4"/>
        <v>216.17455753193786</v>
      </c>
      <c r="P69" s="2">
        <f t="shared" si="5"/>
        <v>147.35825325967133</v>
      </c>
      <c r="Q69" s="5">
        <f t="shared" si="6"/>
        <v>1.8219130459829531</v>
      </c>
      <c r="R69" s="5">
        <f t="shared" si="7"/>
        <v>0.15322972864557233</v>
      </c>
      <c r="S69" s="4">
        <f t="shared" si="25"/>
        <v>9.9413372809033132E-2</v>
      </c>
      <c r="T69" s="5">
        <f t="shared" si="8"/>
        <v>9.1114905159492277E-2</v>
      </c>
      <c r="U69" s="4">
        <f t="shared" si="9"/>
        <v>0</v>
      </c>
      <c r="V69" s="4">
        <f t="shared" si="10"/>
        <v>0</v>
      </c>
      <c r="W69" s="5">
        <f t="shared" si="11"/>
        <v>0</v>
      </c>
      <c r="X69" s="5">
        <f t="shared" si="12"/>
        <v>-40.012823898058073</v>
      </c>
      <c r="Y69" s="5">
        <f t="shared" si="13"/>
        <v>-7.3942869190524254</v>
      </c>
      <c r="Z69" s="5">
        <f>1</f>
        <v>1</v>
      </c>
      <c r="AA69" s="5">
        <f>IF(M69=0,0,const*($T69/omega)*O69*(wy*I69-wz*(H69-V69))/Z69)</f>
        <v>0</v>
      </c>
      <c r="AB69" s="5">
        <f>IF(M69=0,0,const*($T69/omega)*O69*(wz*(G69-U69)-wx*I69)/Z69)</f>
        <v>-4.3968605655492947</v>
      </c>
      <c r="AC69" s="5">
        <f>IF(M69=0,0,const*($T69/omega)*O69*(wx*(H69-V69)-wy*(G69-U69))/Z69)</f>
        <v>23.792802394552663</v>
      </c>
      <c r="AD69" s="5">
        <f t="shared" si="27"/>
        <v>0</v>
      </c>
      <c r="AE69" s="5">
        <f t="shared" si="27"/>
        <v>-44.40968446360737</v>
      </c>
      <c r="AF69" s="5">
        <f t="shared" si="15"/>
        <v>-15.775484524499763</v>
      </c>
      <c r="AG69">
        <f t="shared" si="26"/>
        <v>0</v>
      </c>
    </row>
    <row r="70" spans="1:33" x14ac:dyDescent="0.2">
      <c r="A70">
        <f t="shared" si="16"/>
        <v>0.38000000000000017</v>
      </c>
      <c r="B70" s="5">
        <f t="shared" si="17"/>
        <v>0</v>
      </c>
      <c r="C70" s="5">
        <f t="shared" si="18"/>
        <v>83.988238717372866</v>
      </c>
      <c r="D70" s="5">
        <f t="shared" si="19"/>
        <v>15.966316057285532</v>
      </c>
      <c r="E70" s="2">
        <f t="shared" si="0"/>
        <v>27.996079572457621</v>
      </c>
      <c r="F70" s="2">
        <f t="shared" si="20"/>
        <v>0</v>
      </c>
      <c r="G70" s="3">
        <f t="shared" si="21"/>
        <v>0</v>
      </c>
      <c r="H70" s="3">
        <f t="shared" si="22"/>
        <v>212.13117986526569</v>
      </c>
      <c r="I70" s="3">
        <f t="shared" si="23"/>
        <v>39.12571567147257</v>
      </c>
      <c r="J70" s="2">
        <f t="shared" si="1"/>
        <v>215.70920030873651</v>
      </c>
      <c r="K70" s="2">
        <f t="shared" si="24"/>
        <v>147.04103633860703</v>
      </c>
      <c r="L70" s="5">
        <f t="shared" si="2"/>
        <v>16.22285607764741</v>
      </c>
      <c r="M70" s="3">
        <f t="shared" si="3"/>
        <v>21.478455603381313</v>
      </c>
      <c r="N70" s="2">
        <v>0</v>
      </c>
      <c r="O70" s="2">
        <f t="shared" si="4"/>
        <v>215.70920030873651</v>
      </c>
      <c r="P70" s="2">
        <f t="shared" si="5"/>
        <v>147.04103633860703</v>
      </c>
      <c r="Q70" s="5">
        <f t="shared" si="6"/>
        <v>1.8179910284908272</v>
      </c>
      <c r="R70" s="5">
        <f t="shared" si="7"/>
        <v>0.15326270126256278</v>
      </c>
      <c r="S70" s="4">
        <f t="shared" si="25"/>
        <v>9.9571346853263576E-2</v>
      </c>
      <c r="T70" s="5">
        <f t="shared" si="8"/>
        <v>9.1172792478559181E-2</v>
      </c>
      <c r="U70" s="4">
        <f t="shared" si="9"/>
        <v>0</v>
      </c>
      <c r="V70" s="4">
        <f t="shared" si="10"/>
        <v>0</v>
      </c>
      <c r="W70" s="5">
        <f t="shared" si="11"/>
        <v>0</v>
      </c>
      <c r="X70" s="5">
        <f t="shared" si="12"/>
        <v>-39.851850318139071</v>
      </c>
      <c r="Y70" s="5">
        <f t="shared" si="13"/>
        <v>-7.3503205211036544</v>
      </c>
      <c r="Z70" s="5">
        <f>1</f>
        <v>1</v>
      </c>
      <c r="AA70" s="5">
        <f>IF(M70=0,0,const*($T70/omega)*O70*(wy*I70-wz*(H70-V70))/Z70)</f>
        <v>0</v>
      </c>
      <c r="AB70" s="5">
        <f>IF(M70=0,0,const*($T70/omega)*O70*(wz*(G70-U70)-wx*I70)/Z70)</f>
        <v>-4.3725527607229688</v>
      </c>
      <c r="AC70" s="5">
        <f>IF(M70=0,0,const*($T70/omega)*O70*(wx*(H70-V70)-wy*(G70-U70))/Z70)</f>
        <v>23.707036669787716</v>
      </c>
      <c r="AD70" s="5">
        <f t="shared" si="27"/>
        <v>0</v>
      </c>
      <c r="AE70" s="5">
        <f t="shared" si="27"/>
        <v>-44.224403078862039</v>
      </c>
      <c r="AF70" s="5">
        <f t="shared" si="15"/>
        <v>-15.817283851315938</v>
      </c>
      <c r="AG70">
        <f t="shared" si="26"/>
        <v>0</v>
      </c>
    </row>
    <row r="71" spans="1:33" x14ac:dyDescent="0.2">
      <c r="A71">
        <f t="shared" si="16"/>
        <v>0.39000000000000018</v>
      </c>
      <c r="B71" s="5">
        <f t="shared" si="17"/>
        <v>0</v>
      </c>
      <c r="C71" s="5">
        <f t="shared" si="18"/>
        <v>86.107339295871583</v>
      </c>
      <c r="D71" s="5">
        <f t="shared" si="19"/>
        <v>16.356782349807691</v>
      </c>
      <c r="E71" s="2">
        <f t="shared" si="0"/>
        <v>28.702446431957195</v>
      </c>
      <c r="F71" s="2">
        <f t="shared" si="20"/>
        <v>0</v>
      </c>
      <c r="G71" s="3">
        <f t="shared" si="21"/>
        <v>0</v>
      </c>
      <c r="H71" s="3">
        <f t="shared" si="22"/>
        <v>211.68893583447706</v>
      </c>
      <c r="I71" s="3">
        <f t="shared" si="23"/>
        <v>38.96754283295941</v>
      </c>
      <c r="J71" s="2">
        <f t="shared" si="1"/>
        <v>215.24561540057414</v>
      </c>
      <c r="K71" s="2">
        <f t="shared" si="24"/>
        <v>146.72502753958699</v>
      </c>
      <c r="L71" s="5">
        <f t="shared" si="2"/>
        <v>16.257796028600147</v>
      </c>
      <c r="M71" s="3">
        <f t="shared" si="3"/>
        <v>21.466329089559327</v>
      </c>
      <c r="N71" s="2">
        <v>0</v>
      </c>
      <c r="O71" s="2">
        <f t="shared" si="4"/>
        <v>215.24561540057414</v>
      </c>
      <c r="P71" s="2">
        <f t="shared" si="5"/>
        <v>146.72502753958699</v>
      </c>
      <c r="Q71" s="5">
        <f t="shared" si="6"/>
        <v>1.8140839480196336</v>
      </c>
      <c r="R71" s="5">
        <f t="shared" si="7"/>
        <v>0.15329570300858322</v>
      </c>
      <c r="S71" s="4">
        <f t="shared" si="25"/>
        <v>9.9729460456652208E-2</v>
      </c>
      <c r="T71" s="5">
        <f t="shared" si="8"/>
        <v>9.1230675785926973E-2</v>
      </c>
      <c r="U71" s="4">
        <f t="shared" si="9"/>
        <v>0</v>
      </c>
      <c r="V71" s="4">
        <f t="shared" si="10"/>
        <v>0</v>
      </c>
      <c r="W71" s="5">
        <f t="shared" si="11"/>
        <v>0</v>
      </c>
      <c r="X71" s="5">
        <f t="shared" si="12"/>
        <v>-39.691845583245318</v>
      </c>
      <c r="Y71" s="5">
        <f t="shared" si="13"/>
        <v>-7.3064455956909669</v>
      </c>
      <c r="Z71" s="5">
        <f>1</f>
        <v>1</v>
      </c>
      <c r="AA71" s="5">
        <f>IF(M71=0,0,const*($T71/omega)*O71*(wy*I71-wz*(H71-V71))/Z71)</f>
        <v>0</v>
      </c>
      <c r="AB71" s="5">
        <f>IF(M71=0,0,const*($T71/omega)*O71*(wz*(G71-U71)-wx*I71)/Z71)</f>
        <v>-4.3482756281216464</v>
      </c>
      <c r="AC71" s="5">
        <f>IF(M71=0,0,const*($T71/omega)*O71*(wx*(H71-V71)-wy*(G71-U71))/Z71)</f>
        <v>23.62175732706206</v>
      </c>
      <c r="AD71" s="5">
        <f t="shared" si="27"/>
        <v>0</v>
      </c>
      <c r="AE71" s="5">
        <f t="shared" si="27"/>
        <v>-44.040121211366966</v>
      </c>
      <c r="AF71" s="5">
        <f t="shared" si="15"/>
        <v>-15.858688268628907</v>
      </c>
      <c r="AG71">
        <f t="shared" si="26"/>
        <v>0</v>
      </c>
    </row>
    <row r="72" spans="1:33" x14ac:dyDescent="0.2">
      <c r="A72">
        <f t="shared" si="16"/>
        <v>0.40000000000000019</v>
      </c>
      <c r="B72" s="5">
        <f t="shared" si="17"/>
        <v>0</v>
      </c>
      <c r="C72" s="5">
        <f t="shared" si="18"/>
        <v>88.222026648155776</v>
      </c>
      <c r="D72" s="5">
        <f t="shared" si="19"/>
        <v>16.745664843723851</v>
      </c>
      <c r="E72" s="2">
        <f t="shared" si="0"/>
        <v>29.407342216051926</v>
      </c>
      <c r="F72" s="2">
        <f t="shared" si="20"/>
        <v>0</v>
      </c>
      <c r="G72" s="3">
        <f t="shared" si="21"/>
        <v>0</v>
      </c>
      <c r="H72" s="3">
        <f t="shared" si="22"/>
        <v>211.24853462236339</v>
      </c>
      <c r="I72" s="3">
        <f t="shared" si="23"/>
        <v>38.808955950273123</v>
      </c>
      <c r="J72" s="2">
        <f t="shared" si="1"/>
        <v>214.78379464486167</v>
      </c>
      <c r="K72" s="2">
        <f t="shared" si="24"/>
        <v>146.4102212984742</v>
      </c>
      <c r="L72" s="5">
        <f t="shared" si="2"/>
        <v>16.29275298455002</v>
      </c>
      <c r="M72" s="3">
        <f t="shared" si="3"/>
        <v>21.454261938891985</v>
      </c>
      <c r="N72" s="2">
        <v>0</v>
      </c>
      <c r="O72" s="2">
        <f t="shared" si="4"/>
        <v>214.78379464486167</v>
      </c>
      <c r="P72" s="2">
        <f t="shared" si="5"/>
        <v>146.4102212984742</v>
      </c>
      <c r="Q72" s="5">
        <f t="shared" si="6"/>
        <v>1.8101917357753048</v>
      </c>
      <c r="R72" s="5">
        <f t="shared" si="7"/>
        <v>0.15332873365950436</v>
      </c>
      <c r="S72" s="4">
        <f t="shared" si="25"/>
        <v>9.9887712545380536E-2</v>
      </c>
      <c r="T72" s="5">
        <f t="shared" si="8"/>
        <v>9.1288554683024659E-2</v>
      </c>
      <c r="U72" s="4">
        <f t="shared" si="9"/>
        <v>0</v>
      </c>
      <c r="V72" s="4">
        <f t="shared" si="10"/>
        <v>0</v>
      </c>
      <c r="W72" s="5">
        <f t="shared" si="11"/>
        <v>0</v>
      </c>
      <c r="X72" s="5">
        <f t="shared" si="12"/>
        <v>-39.532802540699734</v>
      </c>
      <c r="Y72" s="5">
        <f t="shared" si="13"/>
        <v>-7.2626624138979636</v>
      </c>
      <c r="Z72" s="5">
        <f>1</f>
        <v>1</v>
      </c>
      <c r="AA72" s="5">
        <f>IF(M72=0,0,const*($T72/omega)*O72*(wy*I72-wz*(H72-V72))/Z72)</f>
        <v>0</v>
      </c>
      <c r="AB72" s="5">
        <f>IF(M72=0,0,const*($T72/omega)*O72*(wz*(G72-U72)-wx*I72)/Z72)</f>
        <v>-4.3240294176549146</v>
      </c>
      <c r="AC72" s="5">
        <f>IF(M72=0,0,const*($T72/omega)*O72*(wx*(H72-V72)-wy*(G72-U72))/Z72)</f>
        <v>23.536960883823095</v>
      </c>
      <c r="AD72" s="5">
        <f t="shared" si="27"/>
        <v>0</v>
      </c>
      <c r="AE72" s="5">
        <f t="shared" si="27"/>
        <v>-43.856831958354647</v>
      </c>
      <c r="AF72" s="5">
        <f t="shared" si="15"/>
        <v>-15.899701530074868</v>
      </c>
      <c r="AG72">
        <f t="shared" si="26"/>
        <v>0</v>
      </c>
    </row>
    <row r="73" spans="1:33" x14ac:dyDescent="0.2">
      <c r="A73">
        <f t="shared" si="16"/>
        <v>0.4100000000000002</v>
      </c>
      <c r="B73" s="5">
        <f t="shared" si="17"/>
        <v>0</v>
      </c>
      <c r="C73" s="5">
        <f t="shared" si="18"/>
        <v>90.332319152781494</v>
      </c>
      <c r="D73" s="5">
        <f t="shared" si="19"/>
        <v>17.13295941815008</v>
      </c>
      <c r="E73" s="2">
        <f t="shared" si="0"/>
        <v>30.110773050927165</v>
      </c>
      <c r="F73" s="2">
        <f t="shared" si="20"/>
        <v>0</v>
      </c>
      <c r="G73" s="3">
        <f t="shared" si="21"/>
        <v>0</v>
      </c>
      <c r="H73" s="3">
        <f t="shared" si="22"/>
        <v>210.80996630277986</v>
      </c>
      <c r="I73" s="3">
        <f t="shared" si="23"/>
        <v>38.649958934972375</v>
      </c>
      <c r="J73" s="2">
        <f t="shared" si="1"/>
        <v>214.32372994667256</v>
      </c>
      <c r="K73" s="2">
        <f t="shared" si="24"/>
        <v>146.09661209725462</v>
      </c>
      <c r="L73" s="5">
        <f t="shared" si="2"/>
        <v>16.327726808896827</v>
      </c>
      <c r="M73" s="3">
        <f t="shared" si="3"/>
        <v>21.442253754995761</v>
      </c>
      <c r="N73" s="2">
        <v>0</v>
      </c>
      <c r="O73" s="2">
        <f t="shared" si="4"/>
        <v>214.32372994667256</v>
      </c>
      <c r="P73" s="2">
        <f t="shared" si="5"/>
        <v>146.09661209725462</v>
      </c>
      <c r="Q73" s="5">
        <f t="shared" si="6"/>
        <v>1.8063143235340275</v>
      </c>
      <c r="R73" s="5">
        <f t="shared" si="7"/>
        <v>0.15336179298920144</v>
      </c>
      <c r="S73" s="4">
        <f t="shared" si="25"/>
        <v>0.10004610203606928</v>
      </c>
      <c r="T73" s="5">
        <f t="shared" si="8"/>
        <v>9.1346428769316368E-2</v>
      </c>
      <c r="U73" s="4">
        <f t="shared" si="9"/>
        <v>0</v>
      </c>
      <c r="V73" s="4">
        <f t="shared" si="10"/>
        <v>0</v>
      </c>
      <c r="W73" s="5">
        <f t="shared" si="11"/>
        <v>0</v>
      </c>
      <c r="X73" s="5">
        <f t="shared" si="12"/>
        <v>-39.374714103855631</v>
      </c>
      <c r="Y73" s="5">
        <f t="shared" si="13"/>
        <v>-7.2189712368936991</v>
      </c>
      <c r="Z73" s="5">
        <f>1</f>
        <v>1</v>
      </c>
      <c r="AA73" s="5">
        <f>IF(M73=0,0,const*($T73/omega)*O73*(wy*I73-wz*(H73-V73))/Z73)</f>
        <v>0</v>
      </c>
      <c r="AB73" s="5">
        <f>IF(M73=0,0,const*($T73/omega)*O73*(wz*(G73-U73)-wx*I73)/Z73)</f>
        <v>-4.2998143737474805</v>
      </c>
      <c r="AC73" s="5">
        <f>IF(M73=0,0,const*($T73/omega)*O73*(wx*(H73-V73)-wy*(G73-U73))/Z73)</f>
        <v>23.452643889298422</v>
      </c>
      <c r="AD73" s="5">
        <f t="shared" si="27"/>
        <v>0</v>
      </c>
      <c r="AE73" s="5">
        <f t="shared" si="27"/>
        <v>-43.674528477603111</v>
      </c>
      <c r="AF73" s="5">
        <f t="shared" si="15"/>
        <v>-15.940327347595279</v>
      </c>
      <c r="AG73">
        <f t="shared" si="26"/>
        <v>0</v>
      </c>
    </row>
    <row r="74" spans="1:33" x14ac:dyDescent="0.2">
      <c r="A74">
        <f t="shared" si="16"/>
        <v>0.42000000000000021</v>
      </c>
      <c r="B74" s="5">
        <f t="shared" si="17"/>
        <v>0</v>
      </c>
      <c r="C74" s="5">
        <f t="shared" si="18"/>
        <v>92.438235089385415</v>
      </c>
      <c r="D74" s="5">
        <f t="shared" si="19"/>
        <v>17.518661991132426</v>
      </c>
      <c r="E74" s="2">
        <f t="shared" si="0"/>
        <v>30.812745029795138</v>
      </c>
      <c r="F74" s="2">
        <f t="shared" si="20"/>
        <v>0</v>
      </c>
      <c r="G74" s="3">
        <f t="shared" si="21"/>
        <v>0</v>
      </c>
      <c r="H74" s="3">
        <f t="shared" si="22"/>
        <v>210.37322101800382</v>
      </c>
      <c r="I74" s="3">
        <f t="shared" si="23"/>
        <v>38.490555661496423</v>
      </c>
      <c r="J74" s="2">
        <f t="shared" si="1"/>
        <v>213.86541327811898</v>
      </c>
      <c r="K74" s="2">
        <f t="shared" si="24"/>
        <v>145.78419446361212</v>
      </c>
      <c r="L74" s="5">
        <f t="shared" si="2"/>
        <v>16.362717363196388</v>
      </c>
      <c r="M74" s="3">
        <f t="shared" si="3"/>
        <v>21.430304144462127</v>
      </c>
      <c r="N74" s="2">
        <v>0</v>
      </c>
      <c r="O74" s="2">
        <f t="shared" si="4"/>
        <v>213.86541327811898</v>
      </c>
      <c r="P74" s="2">
        <f t="shared" si="5"/>
        <v>145.78419446361212</v>
      </c>
      <c r="Q74" s="5">
        <f t="shared" si="6"/>
        <v>1.8024516436369922</v>
      </c>
      <c r="R74" s="5">
        <f t="shared" si="7"/>
        <v>0.15339488076953775</v>
      </c>
      <c r="S74" s="4">
        <f t="shared" si="25"/>
        <v>0.10020462783570019</v>
      </c>
      <c r="T74" s="5">
        <f t="shared" si="8"/>
        <v>9.1404297642283083E-2</v>
      </c>
      <c r="U74" s="4">
        <f t="shared" si="9"/>
        <v>0</v>
      </c>
      <c r="V74" s="4">
        <f t="shared" si="10"/>
        <v>0</v>
      </c>
      <c r="W74" s="5">
        <f t="shared" si="11"/>
        <v>0</v>
      </c>
      <c r="X74" s="5">
        <f t="shared" si="12"/>
        <v>-39.21757325137245</v>
      </c>
      <c r="Y74" s="5">
        <f t="shared" si="13"/>
        <v>-7.175372316097115</v>
      </c>
      <c r="Z74" s="5">
        <f>1</f>
        <v>1</v>
      </c>
      <c r="AA74" s="5">
        <f>IF(M74=0,0,const*($T74/omega)*O74*(wy*I74-wz*(H74-V74))/Z74)</f>
        <v>0</v>
      </c>
      <c r="AB74" s="5">
        <f>IF(M74=0,0,const*($T74/omega)*O74*(wz*(G74-U74)-wx*I74)/Z74)</f>
        <v>-4.2756307354227188</v>
      </c>
      <c r="AC74" s="5">
        <f>IF(M74=0,0,const*($T74/omega)*O74*(wx*(H74-V74)-wy*(G74-U74))/Z74)</f>
        <v>23.368802924147865</v>
      </c>
      <c r="AD74" s="5">
        <f t="shared" si="27"/>
        <v>0</v>
      </c>
      <c r="AE74" s="5">
        <f t="shared" si="27"/>
        <v>-43.493203986795166</v>
      </c>
      <c r="AF74" s="5">
        <f t="shared" si="15"/>
        <v>-15.980569391949249</v>
      </c>
      <c r="AG74">
        <f t="shared" si="26"/>
        <v>0</v>
      </c>
    </row>
    <row r="75" spans="1:33" x14ac:dyDescent="0.2">
      <c r="A75">
        <f t="shared" si="16"/>
        <v>0.43000000000000022</v>
      </c>
      <c r="B75" s="5">
        <f t="shared" si="17"/>
        <v>0</v>
      </c>
      <c r="C75" s="5">
        <f t="shared" si="18"/>
        <v>94.539792639366112</v>
      </c>
      <c r="D75" s="5">
        <f t="shared" si="19"/>
        <v>17.902768519277792</v>
      </c>
      <c r="E75" s="2">
        <f t="shared" si="0"/>
        <v>31.513264213122039</v>
      </c>
      <c r="F75" s="2">
        <f t="shared" si="20"/>
        <v>0</v>
      </c>
      <c r="G75" s="3">
        <f t="shared" si="21"/>
        <v>0</v>
      </c>
      <c r="H75" s="3">
        <f t="shared" si="22"/>
        <v>209.93828897813586</v>
      </c>
      <c r="I75" s="3">
        <f t="shared" si="23"/>
        <v>38.330749967576928</v>
      </c>
      <c r="J75" s="2">
        <f t="shared" si="1"/>
        <v>213.40883667773502</v>
      </c>
      <c r="K75" s="2">
        <f t="shared" si="24"/>
        <v>145.47296297050784</v>
      </c>
      <c r="L75" s="5">
        <f t="shared" si="2"/>
        <v>16.397724507150851</v>
      </c>
      <c r="M75" s="3">
        <f t="shared" si="3"/>
        <v>21.418412716824182</v>
      </c>
      <c r="N75" s="2">
        <v>0</v>
      </c>
      <c r="O75" s="2">
        <f t="shared" si="4"/>
        <v>213.40883667773502</v>
      </c>
      <c r="P75" s="2">
        <f t="shared" si="5"/>
        <v>145.47296297050784</v>
      </c>
      <c r="Q75" s="5">
        <f t="shared" si="6"/>
        <v>1.7986036289851883</v>
      </c>
      <c r="R75" s="5">
        <f t="shared" si="7"/>
        <v>0.15342799677034852</v>
      </c>
      <c r="S75" s="4">
        <f t="shared" si="25"/>
        <v>0.10036328884153825</v>
      </c>
      <c r="T75" s="5">
        <f t="shared" si="8"/>
        <v>9.1462160897404485E-2</v>
      </c>
      <c r="U75" s="4">
        <f t="shared" si="9"/>
        <v>0</v>
      </c>
      <c r="V75" s="4">
        <f t="shared" si="10"/>
        <v>0</v>
      </c>
      <c r="W75" s="5">
        <f t="shared" si="11"/>
        <v>0</v>
      </c>
      <c r="X75" s="5">
        <f t="shared" si="12"/>
        <v>-39.061373026500895</v>
      </c>
      <c r="Y75" s="5">
        <f t="shared" si="13"/>
        <v>-7.1318658933387402</v>
      </c>
      <c r="Z75" s="5">
        <f>1</f>
        <v>1</v>
      </c>
      <c r="AA75" s="5">
        <f>IF(M75=0,0,const*($T75/omega)*O75*(wy*I75-wz*(H75-V75))/Z75)</f>
        <v>0</v>
      </c>
      <c r="AB75" s="5">
        <f>IF(M75=0,0,const*($T75/omega)*O75*(wz*(G75-U75)-wx*I75)/Z75)</f>
        <v>-4.2514787363848434</v>
      </c>
      <c r="AC75" s="5">
        <f>IF(M75=0,0,const*($T75/omega)*O75*(wx*(H75-V75)-wy*(G75-U75))/Z75)</f>
        <v>23.285434600119913</v>
      </c>
      <c r="AD75" s="5">
        <f t="shared" si="27"/>
        <v>0</v>
      </c>
      <c r="AE75" s="5">
        <f t="shared" si="27"/>
        <v>-43.312851762885742</v>
      </c>
      <c r="AF75" s="5">
        <f t="shared" si="15"/>
        <v>-16.020431293218827</v>
      </c>
      <c r="AG75">
        <f t="shared" si="26"/>
        <v>0</v>
      </c>
    </row>
    <row r="76" spans="1:33" x14ac:dyDescent="0.2">
      <c r="A76">
        <f t="shared" si="16"/>
        <v>0.44000000000000022</v>
      </c>
      <c r="B76" s="5">
        <f t="shared" si="17"/>
        <v>0</v>
      </c>
      <c r="C76" s="5">
        <f t="shared" si="18"/>
        <v>96.637009886559326</v>
      </c>
      <c r="D76" s="5">
        <f t="shared" si="19"/>
        <v>18.2852749973889</v>
      </c>
      <c r="E76" s="2">
        <f t="shared" si="0"/>
        <v>32.212336628853109</v>
      </c>
      <c r="F76" s="2">
        <f t="shared" si="20"/>
        <v>0</v>
      </c>
      <c r="G76" s="3">
        <f t="shared" si="21"/>
        <v>0</v>
      </c>
      <c r="H76" s="3">
        <f t="shared" si="22"/>
        <v>209.505160460507</v>
      </c>
      <c r="I76" s="3">
        <f t="shared" si="23"/>
        <v>38.170545654644741</v>
      </c>
      <c r="J76" s="2">
        <f t="shared" si="1"/>
        <v>212.95399224986627</v>
      </c>
      <c r="K76" s="2">
        <f t="shared" si="24"/>
        <v>145.16291223576431</v>
      </c>
      <c r="L76" s="5">
        <f t="shared" si="2"/>
        <v>16.432748098598964</v>
      </c>
      <c r="M76" s="3">
        <f t="shared" si="3"/>
        <v>21.406579084523642</v>
      </c>
      <c r="N76" s="2">
        <v>0</v>
      </c>
      <c r="O76" s="2">
        <f t="shared" si="4"/>
        <v>212.95399224986627</v>
      </c>
      <c r="P76" s="2">
        <f t="shared" si="5"/>
        <v>145.16291223576431</v>
      </c>
      <c r="Q76" s="5">
        <f t="shared" si="6"/>
        <v>1.7947702130342649</v>
      </c>
      <c r="R76" s="5">
        <f t="shared" si="7"/>
        <v>0.15346114075942474</v>
      </c>
      <c r="S76" s="4">
        <f t="shared" si="25"/>
        <v>0.10052208394105409</v>
      </c>
      <c r="T76" s="5">
        <f t="shared" si="8"/>
        <v>9.1520018128141034E-2</v>
      </c>
      <c r="U76" s="4">
        <f t="shared" si="9"/>
        <v>0</v>
      </c>
      <c r="V76" s="4">
        <f t="shared" si="10"/>
        <v>0</v>
      </c>
      <c r="W76" s="5">
        <f t="shared" si="11"/>
        <v>0</v>
      </c>
      <c r="X76" s="5">
        <f t="shared" si="12"/>
        <v>-38.906106536377038</v>
      </c>
      <c r="Y76" s="5">
        <f t="shared" si="13"/>
        <v>-7.0884522010196314</v>
      </c>
      <c r="Z76" s="5">
        <f>1</f>
        <v>1</v>
      </c>
      <c r="AA76" s="5">
        <f>IF(M76=0,0,const*($T76/omega)*O76*(wy*I76-wz*(H76-V76))/Z76)</f>
        <v>0</v>
      </c>
      <c r="AB76" s="5">
        <f>IF(M76=0,0,const*($T76/omega)*O76*(wz*(G76-U76)-wx*I76)/Z76)</f>
        <v>-4.2273586050997487</v>
      </c>
      <c r="AC76" s="5">
        <f>IF(M76=0,0,const*($T76/omega)*O76*(wx*(H76-V76)-wy*(G76-U76))/Z76)</f>
        <v>23.202535559712601</v>
      </c>
      <c r="AD76" s="5">
        <f t="shared" si="27"/>
        <v>0</v>
      </c>
      <c r="AE76" s="5">
        <f t="shared" si="27"/>
        <v>-43.13346514147679</v>
      </c>
      <c r="AF76" s="5">
        <f t="shared" si="15"/>
        <v>-16.05991664130703</v>
      </c>
      <c r="AG76">
        <f t="shared" si="26"/>
        <v>0</v>
      </c>
    </row>
    <row r="77" spans="1:33" x14ac:dyDescent="0.2">
      <c r="A77">
        <f t="shared" si="16"/>
        <v>0.45000000000000023</v>
      </c>
      <c r="B77" s="5">
        <f t="shared" si="17"/>
        <v>0</v>
      </c>
      <c r="C77" s="5">
        <f t="shared" si="18"/>
        <v>98.729904817907325</v>
      </c>
      <c r="D77" s="5">
        <f t="shared" si="19"/>
        <v>18.666177458103284</v>
      </c>
      <c r="E77" s="2">
        <f t="shared" si="0"/>
        <v>32.909968272635773</v>
      </c>
      <c r="F77" s="2">
        <f t="shared" si="20"/>
        <v>0</v>
      </c>
      <c r="G77" s="3">
        <f t="shared" si="21"/>
        <v>0</v>
      </c>
      <c r="H77" s="3">
        <f t="shared" si="22"/>
        <v>209.07382580909223</v>
      </c>
      <c r="I77" s="3">
        <f t="shared" si="23"/>
        <v>38.00994648823167</v>
      </c>
      <c r="J77" s="2">
        <f t="shared" si="1"/>
        <v>212.50087216406635</v>
      </c>
      <c r="K77" s="2">
        <f t="shared" si="24"/>
        <v>144.85403692165394</v>
      </c>
      <c r="L77" s="5">
        <f t="shared" si="2"/>
        <v>16.467787993506391</v>
      </c>
      <c r="M77" s="3">
        <f t="shared" si="3"/>
        <v>21.394802862878286</v>
      </c>
      <c r="N77" s="2">
        <v>0</v>
      </c>
      <c r="O77" s="2">
        <f t="shared" si="4"/>
        <v>212.50087216406635</v>
      </c>
      <c r="P77" s="2">
        <f t="shared" si="5"/>
        <v>144.85403692165394</v>
      </c>
      <c r="Q77" s="5">
        <f t="shared" si="6"/>
        <v>1.7909513297894417</v>
      </c>
      <c r="R77" s="5">
        <f t="shared" si="7"/>
        <v>0.15349431250249687</v>
      </c>
      <c r="S77" s="4">
        <f t="shared" si="25"/>
        <v>0.1006810120118468</v>
      </c>
      <c r="T77" s="5">
        <f t="shared" si="8"/>
        <v>9.1577868925916378E-2</v>
      </c>
      <c r="U77" s="4">
        <f t="shared" si="9"/>
        <v>0</v>
      </c>
      <c r="V77" s="4">
        <f t="shared" si="10"/>
        <v>0</v>
      </c>
      <c r="W77" s="5">
        <f t="shared" si="11"/>
        <v>0</v>
      </c>
      <c r="X77" s="5">
        <f t="shared" si="12"/>
        <v>-38.751766951325443</v>
      </c>
      <c r="Y77" s="5">
        <f t="shared" si="13"/>
        <v>-7.0451314622676628</v>
      </c>
      <c r="Z77" s="5">
        <f>1</f>
        <v>1</v>
      </c>
      <c r="AA77" s="5">
        <f>IF(M77=0,0,const*($T77/omega)*O77*(wy*I77-wz*(H77-V77))/Z77)</f>
        <v>0</v>
      </c>
      <c r="AB77" s="5">
        <f>IF(M77=0,0,const*($T77/omega)*O77*(wz*(G77-U77)-wx*I77)/Z77)</f>
        <v>-4.2032705648745292</v>
      </c>
      <c r="AC77" s="5">
        <f>IF(M77=0,0,const*($T77/omega)*O77*(wx*(H77-V77)-wy*(G77-U77))/Z77)</f>
        <v>23.120102475838713</v>
      </c>
      <c r="AD77" s="5">
        <f t="shared" si="27"/>
        <v>0</v>
      </c>
      <c r="AE77" s="5">
        <f t="shared" si="27"/>
        <v>-42.955037516199972</v>
      </c>
      <c r="AF77" s="5">
        <f t="shared" si="15"/>
        <v>-16.099028986428948</v>
      </c>
      <c r="AG77">
        <f t="shared" si="26"/>
        <v>0</v>
      </c>
    </row>
    <row r="78" spans="1:33" x14ac:dyDescent="0.2">
      <c r="A78">
        <f t="shared" si="16"/>
        <v>0.46000000000000024</v>
      </c>
      <c r="B78" s="5">
        <f t="shared" si="17"/>
        <v>0</v>
      </c>
      <c r="C78" s="5">
        <f t="shared" si="18"/>
        <v>100.81849532412244</v>
      </c>
      <c r="D78" s="5">
        <f t="shared" si="19"/>
        <v>19.04547197153628</v>
      </c>
      <c r="E78" s="2">
        <f t="shared" si="0"/>
        <v>33.606165108040813</v>
      </c>
      <c r="F78" s="2">
        <f t="shared" si="20"/>
        <v>0</v>
      </c>
      <c r="G78" s="3">
        <f t="shared" si="21"/>
        <v>0</v>
      </c>
      <c r="H78" s="3">
        <f t="shared" si="22"/>
        <v>208.64427543393023</v>
      </c>
      <c r="I78" s="3">
        <f t="shared" si="23"/>
        <v>37.848956198367382</v>
      </c>
      <c r="J78" s="2">
        <f t="shared" si="1"/>
        <v>212.04946865449975</v>
      </c>
      <c r="K78" s="2">
        <f t="shared" si="24"/>
        <v>144.54633173449199</v>
      </c>
      <c r="L78" s="5">
        <f t="shared" si="2"/>
        <v>16.502844045956021</v>
      </c>
      <c r="M78" s="3">
        <f t="shared" si="3"/>
        <v>21.383083670049817</v>
      </c>
      <c r="N78" s="2">
        <v>0</v>
      </c>
      <c r="O78" s="2">
        <f t="shared" si="4"/>
        <v>212.04946865449975</v>
      </c>
      <c r="P78" s="2">
        <f t="shared" si="5"/>
        <v>144.54633173449199</v>
      </c>
      <c r="Q78" s="5">
        <f t="shared" si="6"/>
        <v>1.787146913800477</v>
      </c>
      <c r="R78" s="5">
        <f t="shared" si="7"/>
        <v>0.15352751176321902</v>
      </c>
      <c r="S78" s="4">
        <f t="shared" si="25"/>
        <v>0.10084007192156698</v>
      </c>
      <c r="T78" s="5">
        <f t="shared" si="8"/>
        <v>9.1635712880099612E-2</v>
      </c>
      <c r="U78" s="4">
        <f t="shared" si="9"/>
        <v>0</v>
      </c>
      <c r="V78" s="4">
        <f t="shared" si="10"/>
        <v>0</v>
      </c>
      <c r="W78" s="5">
        <f t="shared" si="11"/>
        <v>0</v>
      </c>
      <c r="X78" s="5">
        <f t="shared" si="12"/>
        <v>-38.598347504171151</v>
      </c>
      <c r="Y78" s="5">
        <f t="shared" si="13"/>
        <v>-7.0019038910911835</v>
      </c>
      <c r="Z78" s="5">
        <f>1</f>
        <v>1</v>
      </c>
      <c r="AA78" s="5">
        <f>IF(M78=0,0,const*($T78/omega)*O78*(wy*I78-wz*(H78-V78))/Z78)</f>
        <v>0</v>
      </c>
      <c r="AB78" s="5">
        <f>IF(M78=0,0,const*($T78/omega)*O78*(wz*(G78-U78)-wx*I78)/Z78)</f>
        <v>-4.179214833935708</v>
      </c>
      <c r="AC78" s="5">
        <f>IF(M78=0,0,const*($T78/omega)*O78*(wx*(H78-V78)-wy*(G78-U78))/Z78)</f>
        <v>23.038132051495296</v>
      </c>
      <c r="AD78" s="5">
        <f t="shared" si="27"/>
        <v>0</v>
      </c>
      <c r="AE78" s="5">
        <f t="shared" si="27"/>
        <v>-42.777562338106861</v>
      </c>
      <c r="AF78" s="5">
        <f t="shared" si="15"/>
        <v>-16.137771839595885</v>
      </c>
      <c r="AG78">
        <f t="shared" si="26"/>
        <v>0</v>
      </c>
    </row>
    <row r="79" spans="1:33" x14ac:dyDescent="0.2">
      <c r="A79">
        <f t="shared" si="16"/>
        <v>0.47000000000000025</v>
      </c>
      <c r="B79" s="5">
        <f t="shared" si="17"/>
        <v>0</v>
      </c>
      <c r="C79" s="5">
        <f t="shared" si="18"/>
        <v>102.90279920034483</v>
      </c>
      <c r="D79" s="5">
        <f t="shared" si="19"/>
        <v>19.423154644927973</v>
      </c>
      <c r="E79" s="2">
        <f t="shared" si="0"/>
        <v>34.30093306678161</v>
      </c>
      <c r="F79" s="2">
        <f t="shared" si="20"/>
        <v>0</v>
      </c>
      <c r="G79" s="3">
        <f t="shared" si="21"/>
        <v>0</v>
      </c>
      <c r="H79" s="3">
        <f t="shared" si="22"/>
        <v>208.21649981054915</v>
      </c>
      <c r="I79" s="3">
        <f t="shared" si="23"/>
        <v>37.687578479971421</v>
      </c>
      <c r="J79" s="2">
        <f t="shared" si="1"/>
        <v>211.59977401935103</v>
      </c>
      <c r="K79" s="2">
        <f t="shared" si="24"/>
        <v>144.23979142423383</v>
      </c>
      <c r="L79" s="5">
        <f t="shared" si="2"/>
        <v>16.537916108138297</v>
      </c>
      <c r="M79" s="3">
        <f t="shared" si="3"/>
        <v>21.371421127012074</v>
      </c>
      <c r="N79" s="2">
        <v>0</v>
      </c>
      <c r="O79" s="2">
        <f t="shared" si="4"/>
        <v>211.59977401935103</v>
      </c>
      <c r="P79" s="2">
        <f t="shared" si="5"/>
        <v>144.23979142423383</v>
      </c>
      <c r="Q79" s="5">
        <f t="shared" si="6"/>
        <v>1.7833569001566885</v>
      </c>
      <c r="R79" s="5">
        <f t="shared" si="7"/>
        <v>0.15356073830315278</v>
      </c>
      <c r="S79" s="4">
        <f t="shared" si="25"/>
        <v>0.1009992625278401</v>
      </c>
      <c r="T79" s="5">
        <f t="shared" si="8"/>
        <v>9.1693549577988143E-2</v>
      </c>
      <c r="U79" s="4">
        <f t="shared" si="9"/>
        <v>0</v>
      </c>
      <c r="V79" s="4">
        <f t="shared" si="10"/>
        <v>0</v>
      </c>
      <c r="W79" s="5">
        <f t="shared" si="11"/>
        <v>0</v>
      </c>
      <c r="X79" s="5">
        <f t="shared" si="12"/>
        <v>-38.445841489560301</v>
      </c>
      <c r="Y79" s="5">
        <f t="shared" si="13"/>
        <v>-6.9587696925300824</v>
      </c>
      <c r="Z79" s="5">
        <f>1</f>
        <v>1</v>
      </c>
      <c r="AA79" s="5">
        <f>IF(M79=0,0,const*($T79/omega)*O79*(wy*I79-wz*(H79-V79))/Z79)</f>
        <v>0</v>
      </c>
      <c r="AB79" s="5">
        <f>IF(M79=0,0,const*($T79/omega)*O79*(wz*(G79-U79)-wx*I79)/Z79)</f>
        <v>-4.1551916255061929</v>
      </c>
      <c r="AC79" s="5">
        <f>IF(M79=0,0,const*($T79/omega)*O79*(wx*(H79-V79)-wy*(G79-U79))/Z79)</f>
        <v>22.956621019437325</v>
      </c>
      <c r="AD79" s="5">
        <f t="shared" si="27"/>
        <v>0</v>
      </c>
      <c r="AE79" s="5">
        <f t="shared" si="27"/>
        <v>-42.601033115066492</v>
      </c>
      <c r="AF79" s="5">
        <f t="shared" si="15"/>
        <v>-16.176148673092758</v>
      </c>
      <c r="AG79">
        <f t="shared" si="26"/>
        <v>0</v>
      </c>
    </row>
    <row r="80" spans="1:33" x14ac:dyDescent="0.2">
      <c r="A80">
        <f t="shared" si="16"/>
        <v>0.48000000000000026</v>
      </c>
      <c r="B80" s="5">
        <f t="shared" si="17"/>
        <v>0</v>
      </c>
      <c r="C80" s="5">
        <f t="shared" si="18"/>
        <v>104.98283414679457</v>
      </c>
      <c r="D80" s="5">
        <f t="shared" si="19"/>
        <v>19.799221622294034</v>
      </c>
      <c r="E80" s="2">
        <f t="shared" si="0"/>
        <v>34.994278048931527</v>
      </c>
      <c r="F80" s="2">
        <f t="shared" si="20"/>
        <v>0</v>
      </c>
      <c r="G80" s="3">
        <f t="shared" si="21"/>
        <v>0</v>
      </c>
      <c r="H80" s="3">
        <f t="shared" si="22"/>
        <v>207.79048947939847</v>
      </c>
      <c r="I80" s="3">
        <f t="shared" si="23"/>
        <v>37.525816993240497</v>
      </c>
      <c r="J80" s="2">
        <f t="shared" si="1"/>
        <v>211.15178062024054</v>
      </c>
      <c r="K80" s="2">
        <f t="shared" si="24"/>
        <v>143.9344107840767</v>
      </c>
      <c r="L80" s="5">
        <f t="shared" si="2"/>
        <v>16.573004030341586</v>
      </c>
      <c r="M80" s="3">
        <f t="shared" si="3"/>
        <v>21.35981485751968</v>
      </c>
      <c r="N80" s="2">
        <v>0</v>
      </c>
      <c r="O80" s="2">
        <f t="shared" si="4"/>
        <v>211.15178062024054</v>
      </c>
      <c r="P80" s="2">
        <f t="shared" si="5"/>
        <v>143.9344107840767</v>
      </c>
      <c r="Q80" s="5">
        <f t="shared" si="6"/>
        <v>1.7795812244820288</v>
      </c>
      <c r="R80" s="5">
        <f t="shared" si="7"/>
        <v>0.15359399188175138</v>
      </c>
      <c r="S80" s="4">
        <f t="shared" si="25"/>
        <v>0.1011585826781902</v>
      </c>
      <c r="T80" s="5">
        <f t="shared" si="8"/>
        <v>9.1751378604790379E-2</v>
      </c>
      <c r="U80" s="4">
        <f t="shared" si="9"/>
        <v>0</v>
      </c>
      <c r="V80" s="4">
        <f t="shared" si="10"/>
        <v>0</v>
      </c>
      <c r="W80" s="5">
        <f t="shared" si="11"/>
        <v>0</v>
      </c>
      <c r="X80" s="5">
        <f t="shared" si="12"/>
        <v>-38.294242263289391</v>
      </c>
      <c r="Y80" s="5">
        <f t="shared" si="13"/>
        <v>-6.9157290628043304</v>
      </c>
      <c r="Z80" s="5">
        <f>1</f>
        <v>1</v>
      </c>
      <c r="AA80" s="5">
        <f>IF(M80=0,0,const*($T80/omega)*O80*(wy*I80-wz*(H80-V80))/Z80)</f>
        <v>0</v>
      </c>
      <c r="AB80" s="5">
        <f>IF(M80=0,0,const*($T80/omega)*O80*(wz*(G80-U80)-wx*I80)/Z80)</f>
        <v>-4.1312011478809731</v>
      </c>
      <c r="AC80" s="5">
        <f>IF(M80=0,0,const*($T80/omega)*O80*(wx*(H80-V80)-wy*(G80-U80))/Z80)</f>
        <v>22.875566141855558</v>
      </c>
      <c r="AD80" s="5">
        <f t="shared" si="27"/>
        <v>0</v>
      </c>
      <c r="AE80" s="5">
        <f t="shared" si="27"/>
        <v>-42.425443411170363</v>
      </c>
      <c r="AF80" s="5">
        <f t="shared" si="15"/>
        <v>-16.214162920948773</v>
      </c>
      <c r="AG80">
        <f t="shared" si="26"/>
        <v>0</v>
      </c>
    </row>
    <row r="81" spans="1:33" x14ac:dyDescent="0.2">
      <c r="A81">
        <f t="shared" si="16"/>
        <v>0.49000000000000027</v>
      </c>
      <c r="B81" s="5">
        <f t="shared" si="17"/>
        <v>0</v>
      </c>
      <c r="C81" s="5">
        <f t="shared" si="18"/>
        <v>107.05861776941801</v>
      </c>
      <c r="D81" s="5">
        <f t="shared" si="19"/>
        <v>20.173669084080391</v>
      </c>
      <c r="E81" s="2">
        <f t="shared" si="0"/>
        <v>35.686205923139333</v>
      </c>
      <c r="F81" s="2">
        <f t="shared" si="20"/>
        <v>0</v>
      </c>
      <c r="G81" s="3">
        <f t="shared" si="21"/>
        <v>0</v>
      </c>
      <c r="H81" s="3">
        <f t="shared" si="22"/>
        <v>207.36623504528677</v>
      </c>
      <c r="I81" s="3">
        <f t="shared" si="23"/>
        <v>37.36367536403101</v>
      </c>
      <c r="J81" s="2">
        <f t="shared" si="1"/>
        <v>210.70548088164631</v>
      </c>
      <c r="K81" s="2">
        <f t="shared" si="24"/>
        <v>143.63018465006564</v>
      </c>
      <c r="L81" s="5">
        <f t="shared" si="2"/>
        <v>16.608107660942526</v>
      </c>
      <c r="M81" s="3">
        <f t="shared" si="3"/>
        <v>21.348264488077085</v>
      </c>
      <c r="N81" s="2">
        <v>0</v>
      </c>
      <c r="O81" s="2">
        <f t="shared" si="4"/>
        <v>210.70548088164631</v>
      </c>
      <c r="P81" s="2">
        <f t="shared" si="5"/>
        <v>143.63018465006564</v>
      </c>
      <c r="Q81" s="5">
        <f t="shared" si="6"/>
        <v>1.7758198229302136</v>
      </c>
      <c r="R81" s="5">
        <f t="shared" si="7"/>
        <v>0.15362727225634376</v>
      </c>
      <c r="S81" s="4">
        <f t="shared" si="25"/>
        <v>0.10131803120996387</v>
      </c>
      <c r="T81" s="5">
        <f t="shared" si="8"/>
        <v>9.1809199543608777E-2</v>
      </c>
      <c r="U81" s="4">
        <f t="shared" si="9"/>
        <v>0</v>
      </c>
      <c r="V81" s="4">
        <f t="shared" si="10"/>
        <v>0</v>
      </c>
      <c r="W81" s="5">
        <f t="shared" si="11"/>
        <v>0</v>
      </c>
      <c r="X81" s="5">
        <f t="shared" si="12"/>
        <v>-38.143543241642988</v>
      </c>
      <c r="Y81" s="5">
        <f t="shared" si="13"/>
        <v>-6.8727821894600227</v>
      </c>
      <c r="Z81" s="5">
        <f>1</f>
        <v>1</v>
      </c>
      <c r="AA81" s="5">
        <f>IF(M81=0,0,const*($T81/omega)*O81*(wy*I81-wz*(H81-V81))/Z81)</f>
        <v>0</v>
      </c>
      <c r="AB81" s="5">
        <f>IF(M81=0,0,const*($T81/omega)*O81*(wz*(G81-U81)-wx*I81)/Z81)</f>
        <v>-4.107243604501611</v>
      </c>
      <c r="AC81" s="5">
        <f>IF(M81=0,0,const*($T81/omega)*O81*(wx*(H81-V81)-wy*(G81-U81))/Z81)</f>
        <v>22.794964210058513</v>
      </c>
      <c r="AD81" s="5">
        <f t="shared" si="27"/>
        <v>0</v>
      </c>
      <c r="AE81" s="5">
        <f t="shared" si="27"/>
        <v>-42.250786846144599</v>
      </c>
      <c r="AF81" s="5">
        <f t="shared" si="15"/>
        <v>-16.251817979401508</v>
      </c>
      <c r="AG81">
        <f t="shared" si="26"/>
        <v>0</v>
      </c>
    </row>
    <row r="82" spans="1:33" x14ac:dyDescent="0.2">
      <c r="A82">
        <f t="shared" si="16"/>
        <v>0.50000000000000022</v>
      </c>
      <c r="B82" s="5">
        <f t="shared" si="17"/>
        <v>0</v>
      </c>
      <c r="C82" s="5">
        <f t="shared" si="18"/>
        <v>109.13016758052856</v>
      </c>
      <c r="D82" s="5">
        <f t="shared" si="19"/>
        <v>20.546493246821729</v>
      </c>
      <c r="E82" s="2">
        <f t="shared" si="0"/>
        <v>36.376722526842855</v>
      </c>
      <c r="F82" s="2">
        <f t="shared" si="20"/>
        <v>0</v>
      </c>
      <c r="G82" s="3">
        <f t="shared" si="21"/>
        <v>0</v>
      </c>
      <c r="H82" s="3">
        <f t="shared" si="22"/>
        <v>206.94372717682532</v>
      </c>
      <c r="I82" s="3">
        <f t="shared" si="23"/>
        <v>37.201157184236997</v>
      </c>
      <c r="J82" s="2">
        <f t="shared" si="1"/>
        <v>210.26086729033204</v>
      </c>
      <c r="K82" s="2">
        <f t="shared" si="24"/>
        <v>143.32710790070351</v>
      </c>
      <c r="L82" s="5">
        <f t="shared" si="2"/>
        <v>16.64322684639642</v>
      </c>
      <c r="M82" s="3">
        <f t="shared" si="3"/>
        <v>21.336769647907968</v>
      </c>
      <c r="N82" s="2">
        <v>0</v>
      </c>
      <c r="O82" s="2">
        <f t="shared" si="4"/>
        <v>210.26086729033204</v>
      </c>
      <c r="P82" s="2">
        <f t="shared" si="5"/>
        <v>143.32710790070351</v>
      </c>
      <c r="Q82" s="5">
        <f t="shared" si="6"/>
        <v>1.7720726321799001</v>
      </c>
      <c r="R82" s="5">
        <f t="shared" si="7"/>
        <v>0.15366057918211887</v>
      </c>
      <c r="S82" s="4">
        <f t="shared" si="25"/>
        <v>0.10147760695025464</v>
      </c>
      <c r="T82" s="5">
        <f t="shared" si="8"/>
        <v>9.1867011975423157E-2</v>
      </c>
      <c r="U82" s="4">
        <f t="shared" si="9"/>
        <v>0</v>
      </c>
      <c r="V82" s="4">
        <f t="shared" si="10"/>
        <v>0</v>
      </c>
      <c r="W82" s="5">
        <f t="shared" si="11"/>
        <v>0</v>
      </c>
      <c r="X82" s="5">
        <f t="shared" si="12"/>
        <v>-37.993737900739717</v>
      </c>
      <c r="Y82" s="5">
        <f t="shared" si="13"/>
        <v>-6.8299292515129801</v>
      </c>
      <c r="Z82" s="5">
        <f>1</f>
        <v>1</v>
      </c>
      <c r="AA82" s="5">
        <f>IF(M82=0,0,const*($T82/omega)*O82*(wy*I82-wz*(H82-V82))/Z82)</f>
        <v>0</v>
      </c>
      <c r="AB82" s="5">
        <f>IF(M82=0,0,const*($T82/omega)*O82*(wz*(G82-U82)-wx*I82)/Z82)</f>
        <v>-4.0833191940295004</v>
      </c>
      <c r="AC82" s="5">
        <f>IF(M82=0,0,const*($T82/omega)*O82*(wx*(H82-V82)-wy*(G82-U82))/Z82)</f>
        <v>22.714812044158371</v>
      </c>
      <c r="AD82" s="5">
        <f t="shared" si="27"/>
        <v>0</v>
      </c>
      <c r="AE82" s="5">
        <f t="shared" si="27"/>
        <v>-42.077057094769216</v>
      </c>
      <c r="AF82" s="5">
        <f t="shared" si="15"/>
        <v>-16.289117207354607</v>
      </c>
      <c r="AG82">
        <f t="shared" si="26"/>
        <v>0</v>
      </c>
    </row>
    <row r="83" spans="1:33" x14ac:dyDescent="0.2">
      <c r="A83">
        <f t="shared" si="16"/>
        <v>0.51000000000000023</v>
      </c>
      <c r="B83" s="5">
        <f t="shared" si="17"/>
        <v>0</v>
      </c>
      <c r="C83" s="5">
        <f t="shared" si="18"/>
        <v>111.19750099944207</v>
      </c>
      <c r="D83" s="5">
        <f t="shared" si="19"/>
        <v>20.917690362803732</v>
      </c>
      <c r="E83" s="2">
        <f t="shared" si="0"/>
        <v>37.065833666480692</v>
      </c>
      <c r="F83" s="2">
        <f t="shared" si="20"/>
        <v>0</v>
      </c>
      <c r="G83" s="3">
        <f t="shared" si="21"/>
        <v>0</v>
      </c>
      <c r="H83" s="3">
        <f t="shared" si="22"/>
        <v>206.52295660587762</v>
      </c>
      <c r="I83" s="3">
        <f t="shared" si="23"/>
        <v>37.038266012163454</v>
      </c>
      <c r="J83" s="2">
        <f t="shared" si="1"/>
        <v>209.81793239478125</v>
      </c>
      <c r="K83" s="2">
        <f t="shared" si="24"/>
        <v>143.02517545656525</v>
      </c>
      <c r="L83" s="5">
        <f t="shared" si="2"/>
        <v>16.678361431227646</v>
      </c>
      <c r="M83" s="3">
        <f t="shared" si="3"/>
        <v>21.325329968925026</v>
      </c>
      <c r="N83" s="2">
        <v>0</v>
      </c>
      <c r="O83" s="2">
        <f t="shared" si="4"/>
        <v>209.81793239478125</v>
      </c>
      <c r="P83" s="2">
        <f t="shared" si="5"/>
        <v>143.02517545656525</v>
      </c>
      <c r="Q83" s="5">
        <f t="shared" si="6"/>
        <v>1.7683395894299183</v>
      </c>
      <c r="R83" s="5">
        <f t="shared" si="7"/>
        <v>0.15369391241210983</v>
      </c>
      <c r="S83" s="4">
        <f t="shared" si="25"/>
        <v>0.1016373087158276</v>
      </c>
      <c r="T83" s="5">
        <f t="shared" si="8"/>
        <v>9.1924815479074065E-2</v>
      </c>
      <c r="U83" s="4">
        <f t="shared" si="9"/>
        <v>0</v>
      </c>
      <c r="V83" s="4">
        <f t="shared" si="10"/>
        <v>0</v>
      </c>
      <c r="W83" s="5">
        <f t="shared" si="11"/>
        <v>0</v>
      </c>
      <c r="X83" s="5">
        <f t="shared" si="12"/>
        <v>-37.844819775886521</v>
      </c>
      <c r="Y83" s="5">
        <f t="shared" si="13"/>
        <v>-6.7871704195899385</v>
      </c>
      <c r="Z83" s="5">
        <f>1</f>
        <v>1</v>
      </c>
      <c r="AA83" s="5">
        <f>IF(M83=0,0,const*($T83/omega)*O83*(wy*I83-wz*(H83-V83))/Z83)</f>
        <v>0</v>
      </c>
      <c r="AB83" s="5">
        <f>IF(M83=0,0,const*($T83/omega)*O83*(wz*(G83-U83)-wx*I83)/Z83)</f>
        <v>-4.0594281104179624</v>
      </c>
      <c r="AC83" s="5">
        <f>IF(M83=0,0,const*($T83/omega)*O83*(wx*(H83-V83)-wy*(G83-U83))/Z83)</f>
        <v>22.635106492760961</v>
      </c>
      <c r="AD83" s="5">
        <f t="shared" si="27"/>
        <v>0</v>
      </c>
      <c r="AE83" s="5">
        <f t="shared" si="27"/>
        <v>-41.904247886304482</v>
      </c>
      <c r="AF83" s="5">
        <f t="shared" si="15"/>
        <v>-16.326063926828976</v>
      </c>
      <c r="AG83">
        <f t="shared" si="26"/>
        <v>0</v>
      </c>
    </row>
    <row r="84" spans="1:33" x14ac:dyDescent="0.2">
      <c r="A84">
        <f t="shared" si="16"/>
        <v>0.52000000000000024</v>
      </c>
      <c r="B84" s="5">
        <f t="shared" si="17"/>
        <v>0</v>
      </c>
      <c r="C84" s="5">
        <f t="shared" si="18"/>
        <v>113.26063535310654</v>
      </c>
      <c r="D84" s="5">
        <f t="shared" si="19"/>
        <v>21.287256719729026</v>
      </c>
      <c r="E84" s="2">
        <f t="shared" si="0"/>
        <v>37.753545117702181</v>
      </c>
      <c r="F84" s="2">
        <f t="shared" si="20"/>
        <v>0</v>
      </c>
      <c r="G84" s="3">
        <f t="shared" si="21"/>
        <v>0</v>
      </c>
      <c r="H84" s="3">
        <f t="shared" si="22"/>
        <v>206.10391412701458</v>
      </c>
      <c r="I84" s="3">
        <f t="shared" si="23"/>
        <v>36.875005372895167</v>
      </c>
      <c r="J84" s="2">
        <f t="shared" si="1"/>
        <v>209.37666880463746</v>
      </c>
      <c r="K84" s="2">
        <f t="shared" si="24"/>
        <v>142.72438227991645</v>
      </c>
      <c r="L84" s="5">
        <f t="shared" si="2"/>
        <v>16.713511258020077</v>
      </c>
      <c r="M84" s="3">
        <f t="shared" si="3"/>
        <v>21.313945085700155</v>
      </c>
      <c r="N84" s="2">
        <v>0</v>
      </c>
      <c r="O84" s="2">
        <f t="shared" si="4"/>
        <v>209.37666880463746</v>
      </c>
      <c r="P84" s="2">
        <f t="shared" si="5"/>
        <v>142.72438227991645</v>
      </c>
      <c r="Q84" s="5">
        <f t="shared" si="6"/>
        <v>1.7646206323945539</v>
      </c>
      <c r="R84" s="5">
        <f t="shared" si="7"/>
        <v>0.1537272716971784</v>
      </c>
      <c r="S84" s="4">
        <f t="shared" si="25"/>
        <v>0.10179713531304437</v>
      </c>
      <c r="T84" s="5">
        <f t="shared" si="8"/>
        <v>9.198260963124627E-2</v>
      </c>
      <c r="U84" s="4">
        <f t="shared" si="9"/>
        <v>0</v>
      </c>
      <c r="V84" s="4">
        <f t="shared" si="10"/>
        <v>0</v>
      </c>
      <c r="W84" s="5">
        <f t="shared" si="11"/>
        <v>0</v>
      </c>
      <c r="X84" s="5">
        <f t="shared" si="12"/>
        <v>-37.69678246094103</v>
      </c>
      <c r="Y84" s="5">
        <f t="shared" si="13"/>
        <v>-6.7445058560673923</v>
      </c>
      <c r="Z84" s="5">
        <f>1</f>
        <v>1</v>
      </c>
      <c r="AA84" s="5">
        <f>IF(M84=0,0,const*($T84/omega)*O84*(wy*I84-wz*(H84-V84))/Z84)</f>
        <v>0</v>
      </c>
      <c r="AB84" s="5">
        <f>IF(M84=0,0,const*($T84/omega)*O84*(wz*(G84-U84)-wx*I84)/Z84)</f>
        <v>-4.0355705429831552</v>
      </c>
      <c r="AC84" s="5">
        <f>IF(M84=0,0,const*($T84/omega)*O84*(wx*(H84-V84)-wy*(G84-U84))/Z84)</f>
        <v>22.55584443265959</v>
      </c>
      <c r="AD84" s="5">
        <f t="shared" si="27"/>
        <v>0</v>
      </c>
      <c r="AE84" s="5">
        <f t="shared" si="27"/>
        <v>-41.732353003924189</v>
      </c>
      <c r="AF84" s="5">
        <f t="shared" si="15"/>
        <v>-16.3626614234078</v>
      </c>
      <c r="AG84">
        <f t="shared" si="26"/>
        <v>0</v>
      </c>
    </row>
    <row r="85" spans="1:33" x14ac:dyDescent="0.2">
      <c r="A85">
        <f t="shared" si="16"/>
        <v>0.53000000000000025</v>
      </c>
      <c r="B85" s="5">
        <f t="shared" si="17"/>
        <v>0</v>
      </c>
      <c r="C85" s="5">
        <f t="shared" si="18"/>
        <v>115.31958787672649</v>
      </c>
      <c r="D85" s="5">
        <f t="shared" si="19"/>
        <v>21.655188640386807</v>
      </c>
      <c r="E85" s="2">
        <f t="shared" si="0"/>
        <v>38.439862625575493</v>
      </c>
      <c r="F85" s="2">
        <f t="shared" si="20"/>
        <v>0</v>
      </c>
      <c r="G85" s="3">
        <f t="shared" si="21"/>
        <v>0</v>
      </c>
      <c r="H85" s="3">
        <f t="shared" si="22"/>
        <v>205.68659059697532</v>
      </c>
      <c r="I85" s="3">
        <f t="shared" si="23"/>
        <v>36.711378758661091</v>
      </c>
      <c r="J85" s="2">
        <f t="shared" si="1"/>
        <v>208.9370691901502</v>
      </c>
      <c r="K85" s="2">
        <f t="shared" si="24"/>
        <v>142.42472337433551</v>
      </c>
      <c r="L85" s="5">
        <f t="shared" si="2"/>
        <v>16.748676167407538</v>
      </c>
      <c r="M85" s="3">
        <f t="shared" si="3"/>
        <v>21.302614635434963</v>
      </c>
      <c r="N85" s="2">
        <v>0</v>
      </c>
      <c r="O85" s="2">
        <f t="shared" si="4"/>
        <v>208.9370691901502</v>
      </c>
      <c r="P85" s="2">
        <f t="shared" si="5"/>
        <v>142.42472337433551</v>
      </c>
      <c r="Q85" s="5">
        <f t="shared" si="6"/>
        <v>1.7609156992988768</v>
      </c>
      <c r="R85" s="5">
        <f t="shared" si="7"/>
        <v>0.15376065678599923</v>
      </c>
      <c r="S85" s="4">
        <f t="shared" si="25"/>
        <v>0.10195708553778843</v>
      </c>
      <c r="T85" s="5">
        <f t="shared" si="8"/>
        <v>9.2040394006452711E-2</v>
      </c>
      <c r="U85" s="4">
        <f t="shared" si="9"/>
        <v>0</v>
      </c>
      <c r="V85" s="4">
        <f t="shared" si="10"/>
        <v>0</v>
      </c>
      <c r="W85" s="5">
        <f t="shared" si="11"/>
        <v>0</v>
      </c>
      <c r="X85" s="5">
        <f t="shared" si="12"/>
        <v>-37.549619607681812</v>
      </c>
      <c r="Y85" s="5">
        <f t="shared" si="13"/>
        <v>-6.7019357152080934</v>
      </c>
      <c r="Z85" s="5">
        <f>1</f>
        <v>1</v>
      </c>
      <c r="AA85" s="5">
        <f>IF(M85=0,0,const*($T85/omega)*O85*(wy*I85-wz*(H85-V85))/Z85)</f>
        <v>0</v>
      </c>
      <c r="AB85" s="5">
        <f>IF(M85=0,0,const*($T85/omega)*O85*(wz*(G85-U85)-wx*I85)/Z85)</f>
        <v>-4.0117466764738605</v>
      </c>
      <c r="AC85" s="5">
        <f>IF(M85=0,0,const*($T85/omega)*O85*(wx*(H85-V85)-wy*(G85-U85))/Z85)</f>
        <v>22.477022768532759</v>
      </c>
      <c r="AD85" s="5">
        <f t="shared" si="27"/>
        <v>0</v>
      </c>
      <c r="AE85" s="5">
        <f t="shared" si="27"/>
        <v>-41.561366284155675</v>
      </c>
      <c r="AF85" s="5">
        <f t="shared" si="15"/>
        <v>-16.398912946675335</v>
      </c>
      <c r="AG85">
        <f t="shared" si="26"/>
        <v>0</v>
      </c>
    </row>
    <row r="86" spans="1:33" x14ac:dyDescent="0.2">
      <c r="A86">
        <f t="shared" si="16"/>
        <v>0.54000000000000026</v>
      </c>
      <c r="B86" s="5">
        <f t="shared" si="17"/>
        <v>0</v>
      </c>
      <c r="C86" s="5">
        <f t="shared" si="18"/>
        <v>117.37437571438204</v>
      </c>
      <c r="D86" s="5">
        <f t="shared" si="19"/>
        <v>22.021482482326086</v>
      </c>
      <c r="E86" s="2">
        <f t="shared" si="0"/>
        <v>39.124791904794016</v>
      </c>
      <c r="F86" s="2">
        <f t="shared" si="20"/>
        <v>0</v>
      </c>
      <c r="G86" s="3">
        <f t="shared" si="21"/>
        <v>0</v>
      </c>
      <c r="H86" s="3">
        <f t="shared" si="22"/>
        <v>205.27097693413376</v>
      </c>
      <c r="I86" s="3">
        <f t="shared" si="23"/>
        <v>36.547389629194335</v>
      </c>
      <c r="J86" s="2">
        <f t="shared" si="1"/>
        <v>208.49912628162693</v>
      </c>
      <c r="K86" s="2">
        <f t="shared" si="24"/>
        <v>142.1261937843401</v>
      </c>
      <c r="L86" s="5">
        <f t="shared" si="2"/>
        <v>16.783855998064293</v>
      </c>
      <c r="M86" s="3">
        <f t="shared" si="3"/>
        <v>21.291338257931695</v>
      </c>
      <c r="N86" s="2">
        <v>0</v>
      </c>
      <c r="O86" s="2">
        <f t="shared" si="4"/>
        <v>208.49912628162693</v>
      </c>
      <c r="P86" s="2">
        <f t="shared" si="5"/>
        <v>142.1261937843401</v>
      </c>
      <c r="Q86" s="5">
        <f t="shared" si="6"/>
        <v>1.7572247288741245</v>
      </c>
      <c r="R86" s="5">
        <f t="shared" si="7"/>
        <v>0.15379406742504459</v>
      </c>
      <c r="S86" s="4">
        <f t="shared" si="25"/>
        <v>0.10211715817539088</v>
      </c>
      <c r="T86" s="5">
        <f t="shared" si="8"/>
        <v>9.209816817701838E-2</v>
      </c>
      <c r="U86" s="4">
        <f t="shared" si="9"/>
        <v>0</v>
      </c>
      <c r="V86" s="4">
        <f t="shared" si="10"/>
        <v>0</v>
      </c>
      <c r="W86" s="5">
        <f t="shared" si="11"/>
        <v>0</v>
      </c>
      <c r="X86" s="5">
        <f t="shared" si="12"/>
        <v>-37.403324925186624</v>
      </c>
      <c r="Y86" s="5">
        <f t="shared" si="13"/>
        <v>-6.6594601432952949</v>
      </c>
      <c r="Z86" s="5">
        <f>1</f>
        <v>1</v>
      </c>
      <c r="AA86" s="5">
        <f>IF(M86=0,0,const*($T86/omega)*O86*(wy*I86-wz*(H86-V86))/Z86)</f>
        <v>0</v>
      </c>
      <c r="AB86" s="5">
        <f>IF(M86=0,0,const*($T86/omega)*O86*(wz*(G86-U86)-wx*I86)/Z86)</f>
        <v>-3.9879566911401181</v>
      </c>
      <c r="AC86" s="5">
        <f>IF(M86=0,0,const*($T86/omega)*O86*(wx*(H86-V86)-wy*(G86-U86))/Z86)</f>
        <v>22.398638432645658</v>
      </c>
      <c r="AD86" s="5">
        <f t="shared" si="27"/>
        <v>0</v>
      </c>
      <c r="AE86" s="5">
        <f t="shared" si="27"/>
        <v>-41.391281616326744</v>
      </c>
      <c r="AF86" s="5">
        <f t="shared" si="15"/>
        <v>-16.434821710649636</v>
      </c>
      <c r="AG86">
        <f t="shared" si="26"/>
        <v>0</v>
      </c>
    </row>
    <row r="87" spans="1:33" x14ac:dyDescent="0.2">
      <c r="A87">
        <f t="shared" si="16"/>
        <v>0.55000000000000027</v>
      </c>
      <c r="B87" s="5">
        <f t="shared" si="17"/>
        <v>0</v>
      </c>
      <c r="C87" s="5">
        <f t="shared" si="18"/>
        <v>119.42501591964256</v>
      </c>
      <c r="D87" s="5">
        <f t="shared" si="19"/>
        <v>22.386134637532496</v>
      </c>
      <c r="E87" s="2">
        <f t="shared" si="0"/>
        <v>39.808338639880851</v>
      </c>
      <c r="F87" s="2">
        <f t="shared" si="20"/>
        <v>0</v>
      </c>
      <c r="G87" s="3">
        <f t="shared" si="21"/>
        <v>0</v>
      </c>
      <c r="H87" s="3">
        <f t="shared" si="22"/>
        <v>204.85706411797048</v>
      </c>
      <c r="I87" s="3">
        <f t="shared" si="23"/>
        <v>36.383041412087842</v>
      </c>
      <c r="J87" s="2">
        <f t="shared" si="1"/>
        <v>208.06283286889075</v>
      </c>
      <c r="K87" s="2">
        <f t="shared" si="24"/>
        <v>141.82878859501756</v>
      </c>
      <c r="L87" s="5">
        <f t="shared" si="2"/>
        <v>16.819050586695518</v>
      </c>
      <c r="M87" s="3">
        <f t="shared" si="3"/>
        <v>21.280115595564471</v>
      </c>
      <c r="N87" s="2">
        <v>0</v>
      </c>
      <c r="O87" s="2">
        <f t="shared" si="4"/>
        <v>208.06283286889075</v>
      </c>
      <c r="P87" s="2">
        <f t="shared" si="5"/>
        <v>141.82878859501756</v>
      </c>
      <c r="Q87" s="5">
        <f t="shared" si="6"/>
        <v>1.7535476603531306</v>
      </c>
      <c r="R87" s="5">
        <f t="shared" si="7"/>
        <v>0.15382750335856865</v>
      </c>
      <c r="S87" s="4">
        <f t="shared" si="25"/>
        <v>0.10227735200055638</v>
      </c>
      <c r="T87" s="5">
        <f t="shared" si="8"/>
        <v>9.2155931713064479E-2</v>
      </c>
      <c r="U87" s="4">
        <f t="shared" si="9"/>
        <v>0</v>
      </c>
      <c r="V87" s="4">
        <f t="shared" si="10"/>
        <v>0</v>
      </c>
      <c r="W87" s="5">
        <f t="shared" si="11"/>
        <v>0</v>
      </c>
      <c r="X87" s="5">
        <f t="shared" si="12"/>
        <v>-37.257892179218295</v>
      </c>
      <c r="Y87" s="5">
        <f t="shared" si="13"/>
        <v>-6.6170792787647432</v>
      </c>
      <c r="Z87" s="5">
        <f>1</f>
        <v>1</v>
      </c>
      <c r="AA87" s="5">
        <f>IF(M87=0,0,const*($T87/omega)*O87*(wy*I87-wz*(H87-V87))/Z87)</f>
        <v>0</v>
      </c>
      <c r="AB87" s="5">
        <f>IF(M87=0,0,const*($T87/omega)*O87*(wz*(G87-U87)-wx*I87)/Z87)</f>
        <v>-3.9642007628007812</v>
      </c>
      <c r="AC87" s="5">
        <f>IF(M87=0,0,const*($T87/omega)*O87*(wx*(H87-V87)-wy*(G87-U87))/Z87)</f>
        <v>22.3206883845554</v>
      </c>
      <c r="AD87" s="5">
        <f t="shared" si="27"/>
        <v>0</v>
      </c>
      <c r="AE87" s="5">
        <f t="shared" si="27"/>
        <v>-41.222092942019074</v>
      </c>
      <c r="AF87" s="5">
        <f t="shared" si="15"/>
        <v>-16.470390894209345</v>
      </c>
      <c r="AG87">
        <f t="shared" si="26"/>
        <v>0</v>
      </c>
    </row>
    <row r="88" spans="1:33" x14ac:dyDescent="0.2">
      <c r="A88">
        <f t="shared" si="16"/>
        <v>0.56000000000000028</v>
      </c>
      <c r="B88" s="5">
        <f t="shared" si="17"/>
        <v>0</v>
      </c>
      <c r="C88" s="5">
        <f t="shared" si="18"/>
        <v>121.47152545617517</v>
      </c>
      <c r="D88" s="5">
        <f t="shared" si="19"/>
        <v>22.749141532108666</v>
      </c>
      <c r="E88" s="2">
        <f t="shared" si="0"/>
        <v>40.490508485391722</v>
      </c>
      <c r="F88" s="2">
        <f t="shared" si="20"/>
        <v>0</v>
      </c>
      <c r="G88" s="3">
        <f t="shared" si="21"/>
        <v>0</v>
      </c>
      <c r="H88" s="3">
        <f t="shared" si="22"/>
        <v>204.44484318855029</v>
      </c>
      <c r="I88" s="3">
        <f t="shared" si="23"/>
        <v>36.218337503145747</v>
      </c>
      <c r="J88" s="2">
        <f t="shared" si="1"/>
        <v>207.62818180074376</v>
      </c>
      <c r="K88" s="2">
        <f t="shared" si="24"/>
        <v>141.532502931659</v>
      </c>
      <c r="L88" s="5">
        <f t="shared" si="2"/>
        <v>16.854259768027855</v>
      </c>
      <c r="M88" s="3">
        <f t="shared" si="3"/>
        <v>21.268946293250902</v>
      </c>
      <c r="N88" s="2">
        <v>0</v>
      </c>
      <c r="O88" s="2">
        <f t="shared" si="4"/>
        <v>207.62818180074376</v>
      </c>
      <c r="P88" s="2">
        <f t="shared" si="5"/>
        <v>141.532502931659</v>
      </c>
      <c r="Q88" s="5">
        <f t="shared" si="6"/>
        <v>1.7498844334658019</v>
      </c>
      <c r="R88" s="5">
        <f t="shared" si="7"/>
        <v>0.15386096432859234</v>
      </c>
      <c r="S88" s="4">
        <f t="shared" si="25"/>
        <v>0.10243766577728955</v>
      </c>
      <c r="T88" s="5">
        <f t="shared" si="8"/>
        <v>9.2213684182492803E-2</v>
      </c>
      <c r="U88" s="4">
        <f t="shared" si="9"/>
        <v>0</v>
      </c>
      <c r="V88" s="4">
        <f t="shared" si="10"/>
        <v>0</v>
      </c>
      <c r="W88" s="5">
        <f t="shared" si="11"/>
        <v>0</v>
      </c>
      <c r="X88" s="5">
        <f t="shared" si="12"/>
        <v>-37.113315191618334</v>
      </c>
      <c r="Y88" s="5">
        <f t="shared" si="13"/>
        <v>-6.5747932523344685</v>
      </c>
      <c r="Z88" s="5">
        <f>1</f>
        <v>1</v>
      </c>
      <c r="AA88" s="5">
        <f>IF(M88=0,0,const*($T88/omega)*O88*(wy*I88-wz*(H88-V88))/Z88)</f>
        <v>0</v>
      </c>
      <c r="AB88" s="5">
        <f>IF(M88=0,0,const*($T88/omega)*O88*(wz*(G88-U88)-wx*I88)/Z88)</f>
        <v>-3.9404790629099664</v>
      </c>
      <c r="AC88" s="5">
        <f>IF(M88=0,0,const*($T88/omega)*O88*(wx*(H88-V88)-wy*(G88-U88))/Z88)</f>
        <v>22.243169610819997</v>
      </c>
      <c r="AD88" s="5">
        <f t="shared" si="27"/>
        <v>0</v>
      </c>
      <c r="AE88" s="5">
        <f t="shared" si="27"/>
        <v>-41.053794254528299</v>
      </c>
      <c r="AF88" s="5">
        <f t="shared" si="15"/>
        <v>-16.505623641514472</v>
      </c>
      <c r="AG88">
        <f t="shared" si="26"/>
        <v>0</v>
      </c>
    </row>
    <row r="89" spans="1:33" x14ac:dyDescent="0.2">
      <c r="A89">
        <f t="shared" si="16"/>
        <v>0.57000000000000028</v>
      </c>
      <c r="B89" s="5">
        <f t="shared" si="17"/>
        <v>0</v>
      </c>
      <c r="C89" s="5">
        <f t="shared" si="18"/>
        <v>123.51392119834794</v>
      </c>
      <c r="D89" s="5">
        <f t="shared" si="19"/>
        <v>23.110499625958045</v>
      </c>
      <c r="E89" s="2">
        <f t="shared" si="0"/>
        <v>41.171307066115979</v>
      </c>
      <c r="F89" s="2">
        <f t="shared" si="20"/>
        <v>0</v>
      </c>
      <c r="G89" s="3">
        <f t="shared" si="21"/>
        <v>0</v>
      </c>
      <c r="H89" s="3">
        <f t="shared" si="22"/>
        <v>204.034305246005</v>
      </c>
      <c r="I89" s="3">
        <f t="shared" si="23"/>
        <v>36.0532812667306</v>
      </c>
      <c r="J89" s="2">
        <f t="shared" si="1"/>
        <v>207.19516598443587</v>
      </c>
      <c r="K89" s="2">
        <f t="shared" si="24"/>
        <v>141.23733195939732</v>
      </c>
      <c r="L89" s="5">
        <f t="shared" si="2"/>
        <v>16.889483374799962</v>
      </c>
      <c r="M89" s="3">
        <f t="shared" si="3"/>
        <v>21.25782999842405</v>
      </c>
      <c r="N89" s="2">
        <v>0</v>
      </c>
      <c r="O89" s="2">
        <f t="shared" si="4"/>
        <v>207.19516598443587</v>
      </c>
      <c r="P89" s="2">
        <f t="shared" si="5"/>
        <v>141.23733195939732</v>
      </c>
      <c r="Q89" s="5">
        <f t="shared" si="6"/>
        <v>1.7462349884346411</v>
      </c>
      <c r="R89" s="5">
        <f t="shared" si="7"/>
        <v>0.15389445007488795</v>
      </c>
      <c r="S89" s="4">
        <f t="shared" si="25"/>
        <v>0.10259809825882182</v>
      </c>
      <c r="T89" s="5">
        <f t="shared" si="8"/>
        <v>9.2271425150970407E-2</v>
      </c>
      <c r="U89" s="4">
        <f t="shared" si="9"/>
        <v>0</v>
      </c>
      <c r="V89" s="4">
        <f t="shared" si="10"/>
        <v>0</v>
      </c>
      <c r="W89" s="5">
        <f t="shared" si="11"/>
        <v>0</v>
      </c>
      <c r="X89" s="5">
        <f t="shared" si="12"/>
        <v>-36.969587839707977</v>
      </c>
      <c r="Y89" s="5">
        <f t="shared" si="13"/>
        <v>-6.5326021871324143</v>
      </c>
      <c r="Z89" s="5">
        <f>1</f>
        <v>1</v>
      </c>
      <c r="AA89" s="5">
        <f>IF(M89=0,0,const*($T89/omega)*O89*(wy*I89-wz*(H89-V89))/Z89)</f>
        <v>0</v>
      </c>
      <c r="AB89" s="5">
        <f>IF(M89=0,0,const*($T89/omega)*O89*(wz*(G89-U89)-wx*I89)/Z89)</f>
        <v>-3.9167917586224426</v>
      </c>
      <c r="AC89" s="5">
        <f>IF(M89=0,0,const*($T89/omega)*O89*(wx*(H89-V89)-wy*(G89-U89))/Z89)</f>
        <v>22.166079124710915</v>
      </c>
      <c r="AD89" s="5">
        <f t="shared" si="27"/>
        <v>0</v>
      </c>
      <c r="AE89" s="5">
        <f t="shared" si="27"/>
        <v>-40.886379598330421</v>
      </c>
      <c r="AF89" s="5">
        <f t="shared" si="15"/>
        <v>-16.540523062421499</v>
      </c>
      <c r="AG89">
        <f t="shared" si="26"/>
        <v>0</v>
      </c>
    </row>
    <row r="90" spans="1:33" x14ac:dyDescent="0.2">
      <c r="A90">
        <f t="shared" si="16"/>
        <v>0.58000000000000029</v>
      </c>
      <c r="B90" s="5">
        <f t="shared" si="17"/>
        <v>0</v>
      </c>
      <c r="C90" s="5">
        <f t="shared" si="18"/>
        <v>125.55221993182808</v>
      </c>
      <c r="D90" s="5">
        <f t="shared" si="19"/>
        <v>23.470205412472229</v>
      </c>
      <c r="E90" s="2">
        <f t="shared" si="0"/>
        <v>41.850739977276028</v>
      </c>
      <c r="F90" s="2">
        <f t="shared" si="20"/>
        <v>0</v>
      </c>
      <c r="G90" s="3">
        <f t="shared" si="21"/>
        <v>0</v>
      </c>
      <c r="H90" s="3">
        <f t="shared" si="22"/>
        <v>203.6254414500217</v>
      </c>
      <c r="I90" s="3">
        <f t="shared" si="23"/>
        <v>35.887876036106384</v>
      </c>
      <c r="J90" s="2">
        <f t="shared" si="1"/>
        <v>206.76377838513969</v>
      </c>
      <c r="K90" s="2">
        <f t="shared" si="24"/>
        <v>140.94327088284913</v>
      </c>
      <c r="L90" s="5">
        <f t="shared" si="2"/>
        <v>16.924721237753097</v>
      </c>
      <c r="M90" s="3">
        <f t="shared" si="3"/>
        <v>21.246766361004731</v>
      </c>
      <c r="N90" s="2">
        <v>0</v>
      </c>
      <c r="O90" s="2">
        <f t="shared" si="4"/>
        <v>206.76377838513969</v>
      </c>
      <c r="P90" s="2">
        <f t="shared" si="5"/>
        <v>140.94327088284913</v>
      </c>
      <c r="Q90" s="5">
        <f t="shared" si="6"/>
        <v>1.7425992659703224</v>
      </c>
      <c r="R90" s="5">
        <f t="shared" si="7"/>
        <v>0.15392796033496395</v>
      </c>
      <c r="S90" s="4">
        <f t="shared" si="25"/>
        <v>0.10275864818753842</v>
      </c>
      <c r="T90" s="5">
        <f t="shared" si="8"/>
        <v>9.232915418191405E-2</v>
      </c>
      <c r="U90" s="4">
        <f t="shared" si="9"/>
        <v>0</v>
      </c>
      <c r="V90" s="4">
        <f t="shared" si="10"/>
        <v>0</v>
      </c>
      <c r="W90" s="5">
        <f t="shared" si="11"/>
        <v>0</v>
      </c>
      <c r="X90" s="5">
        <f t="shared" si="12"/>
        <v>-36.826704055696823</v>
      </c>
      <c r="Y90" s="5">
        <f t="shared" si="13"/>
        <v>-6.4905061988219588</v>
      </c>
      <c r="Z90" s="5">
        <f>1</f>
        <v>1</v>
      </c>
      <c r="AA90" s="5">
        <f>IF(M90=0,0,const*($T90/omega)*O90*(wy*I90-wz*(H90-V90))/Z90)</f>
        <v>0</v>
      </c>
      <c r="AB90" s="5">
        <f>IF(M90=0,0,const*($T90/omega)*O90*(wz*(G90-U90)-wx*I90)/Z90)</f>
        <v>-3.8931390128579646</v>
      </c>
      <c r="AC90" s="5">
        <f>IF(M90=0,0,const*($T90/omega)*O90*(wx*(H90-V90)-wy*(G90-U90))/Z90)</f>
        <v>22.089413965929214</v>
      </c>
      <c r="AD90" s="5">
        <f t="shared" si="27"/>
        <v>0</v>
      </c>
      <c r="AE90" s="5">
        <f t="shared" si="27"/>
        <v>-40.719843068554788</v>
      </c>
      <c r="AF90" s="5">
        <f t="shared" si="15"/>
        <v>-16.575092232892743</v>
      </c>
      <c r="AG90">
        <f t="shared" si="26"/>
        <v>0</v>
      </c>
    </row>
    <row r="91" spans="1:33" x14ac:dyDescent="0.2">
      <c r="A91">
        <f t="shared" si="16"/>
        <v>0.5900000000000003</v>
      </c>
      <c r="B91" s="5">
        <f t="shared" si="17"/>
        <v>0</v>
      </c>
      <c r="C91" s="5">
        <f t="shared" si="18"/>
        <v>127.58643835417487</v>
      </c>
      <c r="D91" s="5">
        <f t="shared" si="19"/>
        <v>23.828255418221648</v>
      </c>
      <c r="E91" s="2">
        <f t="shared" si="0"/>
        <v>42.528812784724956</v>
      </c>
      <c r="F91" s="2">
        <f t="shared" si="20"/>
        <v>0</v>
      </c>
      <c r="G91" s="3">
        <f t="shared" si="21"/>
        <v>0</v>
      </c>
      <c r="H91" s="3">
        <f t="shared" si="22"/>
        <v>203.21824301933614</v>
      </c>
      <c r="I91" s="3">
        <f t="shared" si="23"/>
        <v>35.722125113777459</v>
      </c>
      <c r="J91" s="2">
        <f t="shared" si="1"/>
        <v>206.3340120254301</v>
      </c>
      <c r="K91" s="2">
        <f t="shared" si="24"/>
        <v>140.6503149457601</v>
      </c>
      <c r="L91" s="5">
        <f t="shared" si="2"/>
        <v>16.959973185621742</v>
      </c>
      <c r="M91" s="3">
        <f t="shared" si="3"/>
        <v>21.23575503337414</v>
      </c>
      <c r="N91" s="2">
        <v>0</v>
      </c>
      <c r="O91" s="2">
        <f t="shared" si="4"/>
        <v>206.3340120254301</v>
      </c>
      <c r="P91" s="2">
        <f t="shared" si="5"/>
        <v>140.6503149457601</v>
      </c>
      <c r="Q91" s="5">
        <f t="shared" si="6"/>
        <v>1.7389772072673049</v>
      </c>
      <c r="R91" s="5">
        <f t="shared" si="7"/>
        <v>0.15396149484404981</v>
      </c>
      <c r="S91" s="4">
        <f t="shared" si="25"/>
        <v>0.10291931429490593</v>
      </c>
      <c r="T91" s="5">
        <f t="shared" si="8"/>
        <v>9.2386870836475413E-2</v>
      </c>
      <c r="U91" s="4">
        <f t="shared" si="9"/>
        <v>0</v>
      </c>
      <c r="V91" s="4">
        <f t="shared" si="10"/>
        <v>0</v>
      </c>
      <c r="W91" s="5">
        <f t="shared" si="11"/>
        <v>0</v>
      </c>
      <c r="X91" s="5">
        <f t="shared" si="12"/>
        <v>-36.684657826098544</v>
      </c>
      <c r="Y91" s="5">
        <f t="shared" si="13"/>
        <v>-6.4485053957253156</v>
      </c>
      <c r="Z91" s="5">
        <f>1</f>
        <v>1</v>
      </c>
      <c r="AA91" s="5">
        <f>IF(M91=0,0,const*($T91/omega)*O91*(wy*I91-wz*(H91-V91))/Z91)</f>
        <v>0</v>
      </c>
      <c r="AB91" s="5">
        <f>IF(M91=0,0,const*($T91/omega)*O91*(wz*(G91-U91)-wx*I91)/Z91)</f>
        <v>-3.8695209843645784</v>
      </c>
      <c r="AC91" s="5">
        <f>IF(M91=0,0,const*($T91/omega)*O91*(wx*(H91-V91)-wy*(G91-U91))/Z91)</f>
        <v>22.01317120032526</v>
      </c>
      <c r="AD91" s="5">
        <f t="shared" si="27"/>
        <v>0</v>
      </c>
      <c r="AE91" s="5">
        <f t="shared" si="27"/>
        <v>-40.554178810463121</v>
      </c>
      <c r="AF91" s="5">
        <f t="shared" si="15"/>
        <v>-16.609334195400056</v>
      </c>
      <c r="AG91">
        <f t="shared" si="26"/>
        <v>0</v>
      </c>
    </row>
    <row r="92" spans="1:33" x14ac:dyDescent="0.2">
      <c r="A92">
        <f t="shared" si="16"/>
        <v>0.60000000000000031</v>
      </c>
      <c r="B92" s="5">
        <f t="shared" si="17"/>
        <v>0</v>
      </c>
      <c r="C92" s="5">
        <f t="shared" si="18"/>
        <v>129.61659307542772</v>
      </c>
      <c r="D92" s="5">
        <f t="shared" si="19"/>
        <v>24.184646202649656</v>
      </c>
      <c r="E92" s="2">
        <f t="shared" si="0"/>
        <v>43.205531025142569</v>
      </c>
      <c r="F92" s="2">
        <f t="shared" si="20"/>
        <v>0</v>
      </c>
      <c r="G92" s="3">
        <f t="shared" si="21"/>
        <v>0</v>
      </c>
      <c r="H92" s="3">
        <f t="shared" si="22"/>
        <v>202.8127012312315</v>
      </c>
      <c r="I92" s="3">
        <f t="shared" si="23"/>
        <v>35.556031771823456</v>
      </c>
      <c r="J92" s="2">
        <f t="shared" si="1"/>
        <v>205.90585998476996</v>
      </c>
      <c r="K92" s="2">
        <f t="shared" si="24"/>
        <v>140.35845943065436</v>
      </c>
      <c r="L92" s="5">
        <f t="shared" si="2"/>
        <v>16.995239045124251</v>
      </c>
      <c r="M92" s="3">
        <f t="shared" si="3"/>
        <v>21.224795670346857</v>
      </c>
      <c r="N92" s="2">
        <v>0</v>
      </c>
      <c r="O92" s="2">
        <f t="shared" si="4"/>
        <v>205.90585998476996</v>
      </c>
      <c r="P92" s="2">
        <f t="shared" si="5"/>
        <v>140.35845943065436</v>
      </c>
      <c r="Q92" s="5">
        <f t="shared" si="6"/>
        <v>1.7353687539994977</v>
      </c>
      <c r="R92" s="5">
        <f t="shared" si="7"/>
        <v>0.15399505333508104</v>
      </c>
      <c r="S92" s="4">
        <f t="shared" si="25"/>
        <v>0.10308009530140022</v>
      </c>
      <c r="T92" s="5">
        <f t="shared" si="8"/>
        <v>9.2444574673526098E-2</v>
      </c>
      <c r="U92" s="4">
        <f t="shared" si="9"/>
        <v>0</v>
      </c>
      <c r="V92" s="4">
        <f t="shared" si="10"/>
        <v>0</v>
      </c>
      <c r="W92" s="5">
        <f t="shared" si="11"/>
        <v>0</v>
      </c>
      <c r="X92" s="5">
        <f t="shared" si="12"/>
        <v>-36.543443191154097</v>
      </c>
      <c r="Y92" s="5">
        <f t="shared" si="13"/>
        <v>-6.406599878944923</v>
      </c>
      <c r="Z92" s="5">
        <f>1</f>
        <v>1</v>
      </c>
      <c r="AA92" s="5">
        <f>IF(M92=0,0,const*($T92/omega)*O92*(wy*I92-wz*(H92-V92))/Z92)</f>
        <v>0</v>
      </c>
      <c r="AB92" s="5">
        <f>IF(M92=0,0,const*($T92/omega)*O92*(wz*(G92-U92)-wx*I92)/Z92)</f>
        <v>-3.845937827780912</v>
      </c>
      <c r="AC92" s="5">
        <f>IF(M92=0,0,const*($T92/omega)*O92*(wx*(H92-V92)-wy*(G92-U92))/Z92)</f>
        <v>21.937347919621903</v>
      </c>
      <c r="AD92" s="5">
        <f t="shared" si="27"/>
        <v>0</v>
      </c>
      <c r="AE92" s="5">
        <f t="shared" si="27"/>
        <v>-40.389381018935012</v>
      </c>
      <c r="AF92" s="5">
        <f t="shared" si="15"/>
        <v>-16.64325195932302</v>
      </c>
      <c r="AG92">
        <f t="shared" si="26"/>
        <v>0</v>
      </c>
    </row>
    <row r="93" spans="1:33" x14ac:dyDescent="0.2">
      <c r="A93">
        <f t="shared" si="16"/>
        <v>0.61000000000000032</v>
      </c>
      <c r="B93" s="5">
        <f t="shared" si="17"/>
        <v>0</v>
      </c>
      <c r="C93" s="5">
        <f t="shared" si="18"/>
        <v>131.6427006186891</v>
      </c>
      <c r="D93" s="5">
        <f t="shared" si="19"/>
        <v>24.539374357769926</v>
      </c>
      <c r="E93" s="2">
        <f t="shared" si="0"/>
        <v>43.880900206229704</v>
      </c>
      <c r="F93" s="2">
        <f t="shared" si="20"/>
        <v>0</v>
      </c>
      <c r="G93" s="3">
        <f t="shared" si="21"/>
        <v>0</v>
      </c>
      <c r="H93" s="3">
        <f t="shared" si="22"/>
        <v>202.40880742104216</v>
      </c>
      <c r="I93" s="3">
        <f t="shared" si="23"/>
        <v>35.389599252230227</v>
      </c>
      <c r="J93" s="2">
        <f t="shared" si="1"/>
        <v>205.47931539900065</v>
      </c>
      <c r="K93" s="2">
        <f t="shared" si="24"/>
        <v>140.06769965848716</v>
      </c>
      <c r="L93" s="5">
        <f t="shared" si="2"/>
        <v>17.030518640953524</v>
      </c>
      <c r="M93" s="3">
        <f t="shared" si="3"/>
        <v>21.213887929144121</v>
      </c>
      <c r="N93" s="2">
        <v>0</v>
      </c>
      <c r="O93" s="2">
        <f t="shared" si="4"/>
        <v>205.47931539900065</v>
      </c>
      <c r="P93" s="2">
        <f t="shared" si="5"/>
        <v>140.06769965848716</v>
      </c>
      <c r="Q93" s="5">
        <f t="shared" si="6"/>
        <v>1.7317738483159661</v>
      </c>
      <c r="R93" s="5">
        <f t="shared" si="7"/>
        <v>0.15402863553868418</v>
      </c>
      <c r="S93" s="4">
        <f t="shared" si="25"/>
        <v>0.10324098991643464</v>
      </c>
      <c r="T93" s="5">
        <f t="shared" si="8"/>
        <v>9.2502265249642945E-2</v>
      </c>
      <c r="U93" s="4">
        <f t="shared" si="9"/>
        <v>0</v>
      </c>
      <c r="V93" s="4">
        <f t="shared" si="10"/>
        <v>0</v>
      </c>
      <c r="W93" s="5">
        <f t="shared" si="11"/>
        <v>0</v>
      </c>
      <c r="X93" s="5">
        <f t="shared" si="12"/>
        <v>-36.403054244261803</v>
      </c>
      <c r="Y93" s="5">
        <f t="shared" si="13"/>
        <v>-6.3647897424827917</v>
      </c>
      <c r="Z93" s="5">
        <f>1</f>
        <v>1</v>
      </c>
      <c r="AA93" s="5">
        <f>IF(M93=0,0,const*($T93/omega)*O93*(wy*I93-wz*(H93-V93))/Z93)</f>
        <v>0</v>
      </c>
      <c r="AB93" s="5">
        <f>IF(M93=0,0,const*($T93/omega)*O93*(wz*(G93-U93)-wx*I93)/Z93)</f>
        <v>-3.8223896936974677</v>
      </c>
      <c r="AC93" s="5">
        <f>IF(M93=0,0,const*($T93/omega)*O93*(wx*(H93-V93)-wy*(G93-U93))/Z93)</f>
        <v>21.861941241141068</v>
      </c>
      <c r="AD93" s="5">
        <f t="shared" si="27"/>
        <v>0</v>
      </c>
      <c r="AE93" s="5">
        <f t="shared" si="27"/>
        <v>-40.22544393795927</v>
      </c>
      <c r="AF93" s="5">
        <f t="shared" si="15"/>
        <v>-16.676848501341723</v>
      </c>
      <c r="AG93">
        <f t="shared" si="26"/>
        <v>0</v>
      </c>
    </row>
    <row r="94" spans="1:33" x14ac:dyDescent="0.2">
      <c r="A94">
        <f t="shared" si="16"/>
        <v>0.62000000000000033</v>
      </c>
      <c r="B94" s="5">
        <f t="shared" si="17"/>
        <v>0</v>
      </c>
      <c r="C94" s="5">
        <f t="shared" si="18"/>
        <v>133.66477742070262</v>
      </c>
      <c r="D94" s="5">
        <f t="shared" si="19"/>
        <v>24.892436507867163</v>
      </c>
      <c r="E94" s="2">
        <f t="shared" si="0"/>
        <v>44.554925806900876</v>
      </c>
      <c r="F94" s="2">
        <f t="shared" si="20"/>
        <v>0</v>
      </c>
      <c r="G94" s="3">
        <f t="shared" si="21"/>
        <v>0</v>
      </c>
      <c r="H94" s="3">
        <f t="shared" si="22"/>
        <v>202.00655298166257</v>
      </c>
      <c r="I94" s="3">
        <f t="shared" si="23"/>
        <v>35.222830767216806</v>
      </c>
      <c r="J94" s="2">
        <f t="shared" si="1"/>
        <v>205.05437145983802</v>
      </c>
      <c r="K94" s="2">
        <f t="shared" si="24"/>
        <v>139.77803098830131</v>
      </c>
      <c r="L94" s="5">
        <f t="shared" si="2"/>
        <v>17.065811795767768</v>
      </c>
      <c r="M94" s="3">
        <f t="shared" si="3"/>
        <v>21.203031469367467</v>
      </c>
      <c r="N94" s="2">
        <v>0</v>
      </c>
      <c r="O94" s="2">
        <f t="shared" si="4"/>
        <v>205.05437145983802</v>
      </c>
      <c r="P94" s="2">
        <f t="shared" si="5"/>
        <v>139.77803098830131</v>
      </c>
      <c r="Q94" s="5">
        <f t="shared" si="6"/>
        <v>1.7281924328366842</v>
      </c>
      <c r="R94" s="5">
        <f t="shared" si="7"/>
        <v>0.15406224118316184</v>
      </c>
      <c r="S94" s="4">
        <f t="shared" si="25"/>
        <v>0.1034019968382888</v>
      </c>
      <c r="T94" s="5">
        <f t="shared" si="8"/>
        <v>9.2559942119093561E-2</v>
      </c>
      <c r="U94" s="4">
        <f t="shared" si="9"/>
        <v>0</v>
      </c>
      <c r="V94" s="4">
        <f t="shared" si="10"/>
        <v>0</v>
      </c>
      <c r="W94" s="5">
        <f t="shared" si="11"/>
        <v>0</v>
      </c>
      <c r="X94" s="5">
        <f t="shared" si="12"/>
        <v>-36.263485131414548</v>
      </c>
      <c r="Y94" s="5">
        <f t="shared" si="13"/>
        <v>-6.3230750733578747</v>
      </c>
      <c r="Z94" s="5">
        <f>1</f>
        <v>1</v>
      </c>
      <c r="AA94" s="5">
        <f>IF(M94=0,0,const*($T94/omega)*O94*(wy*I94-wz*(H94-V94))/Z94)</f>
        <v>0</v>
      </c>
      <c r="AB94" s="5">
        <f>IF(M94=0,0,const*($T94/omega)*O94*(wz*(G94-U94)-wx*I94)/Z94)</f>
        <v>-3.7988767287169276</v>
      </c>
      <c r="AC94" s="5">
        <f>IF(M94=0,0,const*($T94/omega)*O94*(wx*(H94-V94)-wy*(G94-U94))/Z94)</f>
        <v>21.786948307533724</v>
      </c>
      <c r="AD94" s="5">
        <f t="shared" si="27"/>
        <v>0</v>
      </c>
      <c r="AE94" s="5">
        <f t="shared" si="27"/>
        <v>-40.062361860131475</v>
      </c>
      <c r="AF94" s="5">
        <f t="shared" si="15"/>
        <v>-16.71012676582415</v>
      </c>
      <c r="AG94">
        <f t="shared" si="26"/>
        <v>0</v>
      </c>
    </row>
    <row r="95" spans="1:33" x14ac:dyDescent="0.2">
      <c r="A95">
        <f t="shared" si="16"/>
        <v>0.63000000000000034</v>
      </c>
      <c r="B95" s="5">
        <f t="shared" si="17"/>
        <v>0</v>
      </c>
      <c r="C95" s="5">
        <f t="shared" si="18"/>
        <v>135.68283983242625</v>
      </c>
      <c r="D95" s="5">
        <f t="shared" si="19"/>
        <v>25.24382930920104</v>
      </c>
      <c r="E95" s="2">
        <f t="shared" si="0"/>
        <v>45.22761327747542</v>
      </c>
      <c r="F95" s="2">
        <f t="shared" si="20"/>
        <v>0</v>
      </c>
      <c r="G95" s="3">
        <f t="shared" si="21"/>
        <v>0</v>
      </c>
      <c r="H95" s="3">
        <f t="shared" si="22"/>
        <v>201.60592936306125</v>
      </c>
      <c r="I95" s="3">
        <f t="shared" si="23"/>
        <v>35.055729499558566</v>
      </c>
      <c r="J95" s="2">
        <f t="shared" si="1"/>
        <v>204.63102141437369</v>
      </c>
      <c r="K95" s="2">
        <f t="shared" si="24"/>
        <v>139.48944881688732</v>
      </c>
      <c r="L95" s="5">
        <f t="shared" si="2"/>
        <v>17.101118330181208</v>
      </c>
      <c r="M95" s="3">
        <f t="shared" si="3"/>
        <v>21.192225952972681</v>
      </c>
      <c r="N95" s="2">
        <v>0</v>
      </c>
      <c r="O95" s="2">
        <f t="shared" si="4"/>
        <v>204.63102141437369</v>
      </c>
      <c r="P95" s="2">
        <f t="shared" si="5"/>
        <v>139.48944881688732</v>
      </c>
      <c r="Q95" s="5">
        <f t="shared" si="6"/>
        <v>1.7246244506483319</v>
      </c>
      <c r="R95" s="5">
        <f t="shared" si="7"/>
        <v>0.15409586999447802</v>
      </c>
      <c r="S95" s="4">
        <f t="shared" si="25"/>
        <v>0.10356311475403747</v>
      </c>
      <c r="T95" s="5">
        <f t="shared" si="8"/>
        <v>9.2617604833822004E-2</v>
      </c>
      <c r="U95" s="4">
        <f t="shared" si="9"/>
        <v>0</v>
      </c>
      <c r="V95" s="4">
        <f t="shared" si="10"/>
        <v>0</v>
      </c>
      <c r="W95" s="5">
        <f t="shared" si="11"/>
        <v>0</v>
      </c>
      <c r="X95" s="5">
        <f t="shared" si="12"/>
        <v>-36.124730050643933</v>
      </c>
      <c r="Y95" s="5">
        <f t="shared" si="13"/>
        <v>-6.2814559517215152</v>
      </c>
      <c r="Z95" s="5">
        <f>1</f>
        <v>1</v>
      </c>
      <c r="AA95" s="5">
        <f>IF(M95=0,0,const*($T95/omega)*O95*(wy*I95-wz*(H95-V95))/Z95)</f>
        <v>0</v>
      </c>
      <c r="AB95" s="5">
        <f>IF(M95=0,0,const*($T95/omega)*O95*(wz*(G95-U95)-wx*I95)/Z95)</f>
        <v>-3.7753990755135107</v>
      </c>
      <c r="AC95" s="5">
        <f>IF(M95=0,0,const*($T95/omega)*O95*(wx*(H95-V95)-wy*(G95-U95))/Z95)</f>
        <v>21.712366286513259</v>
      </c>
      <c r="AD95" s="5">
        <f t="shared" si="27"/>
        <v>0</v>
      </c>
      <c r="AE95" s="5">
        <f t="shared" si="27"/>
        <v>-39.900129126157445</v>
      </c>
      <c r="AF95" s="5">
        <f t="shared" si="15"/>
        <v>-16.743089665208256</v>
      </c>
      <c r="AG95">
        <f t="shared" si="26"/>
        <v>0</v>
      </c>
    </row>
    <row r="96" spans="1:33" x14ac:dyDescent="0.2">
      <c r="A96">
        <f t="shared" si="16"/>
        <v>0.64000000000000035</v>
      </c>
      <c r="B96" s="5">
        <f t="shared" si="17"/>
        <v>0</v>
      </c>
      <c r="C96" s="5">
        <f t="shared" si="18"/>
        <v>137.69690411960056</v>
      </c>
      <c r="D96" s="5">
        <f t="shared" si="19"/>
        <v>25.593549449713365</v>
      </c>
      <c r="E96" s="2">
        <f t="shared" ref="E96:E159" si="28">SQRT(B96^2+C96^2)/3</f>
        <v>45.898968039866851</v>
      </c>
      <c r="F96" s="2">
        <f t="shared" si="20"/>
        <v>0</v>
      </c>
      <c r="G96" s="3">
        <f t="shared" si="21"/>
        <v>0</v>
      </c>
      <c r="H96" s="3">
        <f t="shared" si="22"/>
        <v>201.20692807179967</v>
      </c>
      <c r="I96" s="3">
        <f t="shared" si="23"/>
        <v>34.888298602906481</v>
      </c>
      <c r="J96" s="2">
        <f t="shared" ref="J96:J159" si="29">SQRT(G96^2+H96^2+I96^2)</f>
        <v>204.20925856458109</v>
      </c>
      <c r="K96" s="2">
        <f t="shared" si="24"/>
        <v>139.20194857844655</v>
      </c>
      <c r="L96" s="5">
        <f t="shared" ref="L96:L159" si="30">1/(0.00002*J96/(circ/(2*PI()*12)))</f>
        <v>17.136438062754923</v>
      </c>
      <c r="M96" s="3">
        <f t="shared" ref="M96:M159" si="31">romega*EXP(-A96/L96)</f>
        <v>21.181471044244059</v>
      </c>
      <c r="N96" s="2">
        <v>0</v>
      </c>
      <c r="O96" s="2">
        <f t="shared" ref="O96:O159" si="32">IF(D96&gt;=hwind,SQRT((G96-vxw)^2+(H96-vyw)^2+I96^2),J96)</f>
        <v>204.20925856458109</v>
      </c>
      <c r="P96" s="2">
        <f t="shared" ref="P96:P159" si="33">J96/1.467</f>
        <v>139.20194857844655</v>
      </c>
      <c r="Q96" s="5">
        <f t="shared" ref="Q96:Q159" si="34">(P96/100)*Re_100*0.00001</f>
        <v>1.7210698453001303</v>
      </c>
      <c r="R96" s="5">
        <f t="shared" ref="R96:R159" si="35">IF(Q96&lt;=ReLow,CdL,IF(Q96&lt;ReHigh,CdL+(CdH-CdL)*(Q96-ReLow)/(ReHigh-ReLow),CdH))+CdS*S96</f>
        <v>0.15412952169624333</v>
      </c>
      <c r="S96" s="4">
        <f t="shared" si="25"/>
        <v>0.1037243423394803</v>
      </c>
      <c r="T96" s="5">
        <f t="shared" ref="T96:T159" si="36">ClAmp*S96^0.4</f>
        <v>9.2675252943434747E-2</v>
      </c>
      <c r="U96" s="4">
        <f t="shared" ref="U96:U159" si="37">IF(D96&gt;=hwind,vxw,0)</f>
        <v>0</v>
      </c>
      <c r="V96" s="4">
        <f t="shared" ref="V96:V159" si="38">IF(D96&gt;=hwind,vyw,0)</f>
        <v>0</v>
      </c>
      <c r="W96" s="5">
        <f t="shared" ref="W96:W159" si="39">-const*$R96*$O96*(G96-U96)</f>
        <v>0</v>
      </c>
      <c r="X96" s="5">
        <f t="shared" ref="X96:X159" si="40">-const*$R96*$O96*(H96-V96)</f>
        <v>-35.986783251471152</v>
      </c>
      <c r="Y96" s="5">
        <f t="shared" ref="Y96:Y159" si="41">-const*$R96*$O96*I96</f>
        <v>-6.2399324509709437</v>
      </c>
      <c r="Z96" s="5">
        <f>1</f>
        <v>1</v>
      </c>
      <c r="AA96" s="5">
        <f>IF(M96=0,0,const*($T96/omega)*O96*(wy*I96-wz*(H96-V96))/Z96)</f>
        <v>0</v>
      </c>
      <c r="AB96" s="5">
        <f>IF(M96=0,0,const*($T96/omega)*O96*(wz*(G96-U96)-wx*I96)/Z96)</f>
        <v>-3.7519568728913648</v>
      </c>
      <c r="AC96" s="5">
        <f>IF(M96=0,0,const*($T96/omega)*O96*(wx*(H96-V96)-wy*(G96-U96))/Z96)</f>
        <v>21.638192370592023</v>
      </c>
      <c r="AD96" s="5">
        <f t="shared" si="27"/>
        <v>0</v>
      </c>
      <c r="AE96" s="5">
        <f t="shared" si="27"/>
        <v>-39.738740124362515</v>
      </c>
      <c r="AF96" s="5">
        <f t="shared" ref="AF96:AF159" si="42">Y96+AC96-32.174</f>
        <v>-16.77574008037892</v>
      </c>
      <c r="AG96">
        <f t="shared" si="26"/>
        <v>0</v>
      </c>
    </row>
    <row r="97" spans="1:33" x14ac:dyDescent="0.2">
      <c r="A97">
        <f t="shared" ref="A97:A160" si="43">A96+dt</f>
        <v>0.65000000000000036</v>
      </c>
      <c r="B97" s="5">
        <f t="shared" ref="B97:B160" si="44">B96+G96*dt+0.5*AD96*dt*dt</f>
        <v>0</v>
      </c>
      <c r="C97" s="5">
        <f t="shared" ref="C97:C160" si="45">C96+H96*dt+0.5*AE96*dt*dt</f>
        <v>139.70698646331235</v>
      </c>
      <c r="D97" s="5">
        <f t="shared" ref="D97:D160" si="46">D96+I96*dt+0.5*AF96*dt*dt</f>
        <v>25.941593648738412</v>
      </c>
      <c r="E97" s="2">
        <f t="shared" si="28"/>
        <v>46.568995487770785</v>
      </c>
      <c r="F97" s="2">
        <f t="shared" ref="F97:F160" si="47">ATAN2(C97,B97)*180/PI()</f>
        <v>0</v>
      </c>
      <c r="G97" s="3">
        <f t="shared" ref="G97:G160" si="48">G96+AD96*dt</f>
        <v>0</v>
      </c>
      <c r="H97" s="3">
        <f t="shared" ref="H97:H160" si="49">H96+AE96*dt</f>
        <v>200.80954067055603</v>
      </c>
      <c r="I97" s="3">
        <f t="shared" ref="I97:I160" si="50">I96+AF96*dt</f>
        <v>34.720541202102694</v>
      </c>
      <c r="J97" s="2">
        <f t="shared" si="29"/>
        <v>203.78907626682692</v>
      </c>
      <c r="K97" s="2">
        <f t="shared" ref="K97:K160" si="51">J97/1.467</f>
        <v>138.9155257442583</v>
      </c>
      <c r="L97" s="5">
        <f t="shared" si="30"/>
        <v>17.171770809987667</v>
      </c>
      <c r="M97" s="3">
        <f t="shared" si="31"/>
        <v>21.170766409768998</v>
      </c>
      <c r="N97" s="2">
        <v>0</v>
      </c>
      <c r="O97" s="2">
        <f t="shared" si="32"/>
        <v>203.78907626682692</v>
      </c>
      <c r="P97" s="2">
        <f t="shared" si="33"/>
        <v>138.9155257442583</v>
      </c>
      <c r="Q97" s="5">
        <f t="shared" si="34"/>
        <v>1.717528560799727</v>
      </c>
      <c r="R97" s="5">
        <f t="shared" si="35"/>
        <v>0.15416319600970035</v>
      </c>
      <c r="S97" s="4">
        <f t="shared" ref="S97:S160" si="52">(M97/O97)</f>
        <v>0.10388567825907166</v>
      </c>
      <c r="T97" s="5">
        <f t="shared" si="36"/>
        <v>9.273288599518667E-2</v>
      </c>
      <c r="U97" s="4">
        <f t="shared" si="37"/>
        <v>0</v>
      </c>
      <c r="V97" s="4">
        <f t="shared" si="38"/>
        <v>0</v>
      </c>
      <c r="W97" s="5">
        <f t="shared" si="39"/>
        <v>0</v>
      </c>
      <c r="X97" s="5">
        <f t="shared" si="40"/>
        <v>-35.849639034364657</v>
      </c>
      <c r="Y97" s="5">
        <f t="shared" si="41"/>
        <v>-6.1985046378609425</v>
      </c>
      <c r="Z97" s="5">
        <f>1</f>
        <v>1</v>
      </c>
      <c r="AA97" s="5">
        <f>IF(M97=0,0,const*($T97/omega)*O97*(wy*I97-wz*(H97-V97))/Z97)</f>
        <v>0</v>
      </c>
      <c r="AB97" s="5">
        <f>IF(M97=0,0,const*($T97/omega)*O97*(wz*(G97-U97)-wx*I97)/Z97)</f>
        <v>-3.7285502558420385</v>
      </c>
      <c r="AC97" s="5">
        <f>IF(M97=0,0,const*($T97/omega)*O97*(wx*(H97-V97)-wy*(G97-U97))/Z97)</f>
        <v>21.564423776821211</v>
      </c>
      <c r="AD97" s="5">
        <f t="shared" si="27"/>
        <v>0</v>
      </c>
      <c r="AE97" s="5">
        <f t="shared" si="27"/>
        <v>-39.578189290206694</v>
      </c>
      <c r="AF97" s="5">
        <f t="shared" si="42"/>
        <v>-16.808080861039731</v>
      </c>
      <c r="AG97">
        <f t="shared" si="26"/>
        <v>0</v>
      </c>
    </row>
    <row r="98" spans="1:33" x14ac:dyDescent="0.2">
      <c r="A98">
        <f t="shared" si="43"/>
        <v>0.66000000000000036</v>
      </c>
      <c r="B98" s="5">
        <f t="shared" si="44"/>
        <v>0</v>
      </c>
      <c r="C98" s="5">
        <f t="shared" si="45"/>
        <v>141.71310296055341</v>
      </c>
      <c r="D98" s="5">
        <f t="shared" si="46"/>
        <v>26.287958656716384</v>
      </c>
      <c r="E98" s="2">
        <f t="shared" si="28"/>
        <v>47.237700986851138</v>
      </c>
      <c r="F98" s="2">
        <f t="shared" si="47"/>
        <v>0</v>
      </c>
      <c r="G98" s="3">
        <f t="shared" si="48"/>
        <v>0</v>
      </c>
      <c r="H98" s="3">
        <f t="shared" si="49"/>
        <v>200.41375877765395</v>
      </c>
      <c r="I98" s="3">
        <f t="shared" si="50"/>
        <v>34.552460393492296</v>
      </c>
      <c r="J98" s="2">
        <f t="shared" si="29"/>
        <v>203.37046793138751</v>
      </c>
      <c r="K98" s="2">
        <f t="shared" si="51"/>
        <v>138.63017582235003</v>
      </c>
      <c r="L98" s="5">
        <f t="shared" si="30"/>
        <v>17.207116386306748</v>
      </c>
      <c r="M98" s="3">
        <f t="shared" si="31"/>
        <v>21.160111718412846</v>
      </c>
      <c r="N98" s="2">
        <v>0</v>
      </c>
      <c r="O98" s="2">
        <f t="shared" si="32"/>
        <v>203.37046793138751</v>
      </c>
      <c r="P98" s="2">
        <f t="shared" si="33"/>
        <v>138.63017582235003</v>
      </c>
      <c r="Q98" s="5">
        <f t="shared" si="34"/>
        <v>1.7140005416091169</v>
      </c>
      <c r="R98" s="5">
        <f t="shared" si="35"/>
        <v>0.15419689265370909</v>
      </c>
      <c r="S98" s="4">
        <f t="shared" si="52"/>
        <v>0.10404712116585078</v>
      </c>
      <c r="T98" s="5">
        <f t="shared" si="36"/>
        <v>9.2790503533967422E-2</v>
      </c>
      <c r="U98" s="4">
        <f t="shared" si="37"/>
        <v>0</v>
      </c>
      <c r="V98" s="4">
        <f t="shared" si="38"/>
        <v>0</v>
      </c>
      <c r="W98" s="5">
        <f t="shared" si="39"/>
        <v>0</v>
      </c>
      <c r="X98" s="5">
        <f t="shared" si="40"/>
        <v>-35.713291750204405</v>
      </c>
      <c r="Y98" s="5">
        <f t="shared" si="41"/>
        <v>-6.1571725726136188</v>
      </c>
      <c r="Z98" s="5">
        <f>1</f>
        <v>1</v>
      </c>
      <c r="AA98" s="5">
        <f>IF(M98=0,0,const*($T98/omega)*O98*(wy*I98-wz*(H98-V98))/Z98)</f>
        <v>0</v>
      </c>
      <c r="AB98" s="5">
        <f>IF(M98=0,0,const*($T98/omega)*O98*(wz*(G98-U98)-wx*I98)/Z98)</f>
        <v>-3.7051793556010328</v>
      </c>
      <c r="AC98" s="5">
        <f>IF(M98=0,0,const*($T98/omega)*O98*(wx*(H98-V98)-wy*(G98-U98))/Z98)</f>
        <v>21.491057746533908</v>
      </c>
      <c r="AD98" s="5">
        <f t="shared" si="27"/>
        <v>0</v>
      </c>
      <c r="AE98" s="5">
        <f t="shared" si="27"/>
        <v>-39.418471105805438</v>
      </c>
      <c r="AF98" s="5">
        <f t="shared" si="42"/>
        <v>-16.840114826079709</v>
      </c>
      <c r="AG98">
        <f t="shared" ref="AG98:AG161" si="53">IF($D98*$D99&lt;0,1,0)</f>
        <v>0</v>
      </c>
    </row>
    <row r="99" spans="1:33" x14ac:dyDescent="0.2">
      <c r="A99">
        <f t="shared" si="43"/>
        <v>0.67000000000000037</v>
      </c>
      <c r="B99" s="5">
        <f t="shared" si="44"/>
        <v>0</v>
      </c>
      <c r="C99" s="5">
        <f t="shared" si="45"/>
        <v>143.71526962477466</v>
      </c>
      <c r="D99" s="5">
        <f t="shared" si="46"/>
        <v>26.632641254910002</v>
      </c>
      <c r="E99" s="2">
        <f t="shared" si="28"/>
        <v>47.90508987492489</v>
      </c>
      <c r="F99" s="2">
        <f t="shared" si="47"/>
        <v>0</v>
      </c>
      <c r="G99" s="3">
        <f t="shared" si="48"/>
        <v>0</v>
      </c>
      <c r="H99" s="3">
        <f t="shared" si="49"/>
        <v>200.01957406659591</v>
      </c>
      <c r="I99" s="3">
        <f t="shared" si="50"/>
        <v>34.384059245231498</v>
      </c>
      <c r="J99" s="2">
        <f t="shared" si="29"/>
        <v>202.95342702196984</v>
      </c>
      <c r="K99" s="2">
        <f t="shared" si="51"/>
        <v>138.34589435717098</v>
      </c>
      <c r="L99" s="5">
        <f t="shared" si="30"/>
        <v>17.242474604058962</v>
      </c>
      <c r="M99" s="3">
        <f t="shared" si="31"/>
        <v>21.149506641294124</v>
      </c>
      <c r="N99" s="2">
        <v>0</v>
      </c>
      <c r="O99" s="2">
        <f t="shared" si="32"/>
        <v>202.95342702196984</v>
      </c>
      <c r="P99" s="2">
        <f t="shared" si="33"/>
        <v>138.34589435717098</v>
      </c>
      <c r="Q99" s="5">
        <f t="shared" si="34"/>
        <v>1.7104857326406084</v>
      </c>
      <c r="R99" s="5">
        <f t="shared" si="35"/>
        <v>0.15423061134473257</v>
      </c>
      <c r="S99" s="4">
        <f t="shared" si="52"/>
        <v>0.1042086697013728</v>
      </c>
      <c r="T99" s="5">
        <f t="shared" si="36"/>
        <v>9.2848105102287914E-2</v>
      </c>
      <c r="U99" s="4">
        <f t="shared" si="37"/>
        <v>0</v>
      </c>
      <c r="V99" s="4">
        <f t="shared" si="38"/>
        <v>0</v>
      </c>
      <c r="W99" s="5">
        <f t="shared" si="39"/>
        <v>0</v>
      </c>
      <c r="X99" s="5">
        <f t="shared" si="40"/>
        <v>-35.577735799752695</v>
      </c>
      <c r="Y99" s="5">
        <f t="shared" si="41"/>
        <v>-6.1159363090264049</v>
      </c>
      <c r="Z99" s="5">
        <f>1</f>
        <v>1</v>
      </c>
      <c r="AA99" s="5">
        <f>IF(M99=0,0,const*($T99/omega)*O99*(wy*I99-wz*(H99-V99))/Z99)</f>
        <v>0</v>
      </c>
      <c r="AB99" s="5">
        <f>IF(M99=0,0,const*($T99/omega)*O99*(wz*(G99-U99)-wx*I99)/Z99)</f>
        <v>-3.6818442997034535</v>
      </c>
      <c r="AC99" s="5">
        <f>IF(M99=0,0,const*($T99/omega)*O99*(wx*(H99-V99)-wy*(G99-U99))/Z99)</f>
        <v>21.418091545091237</v>
      </c>
      <c r="AD99" s="5">
        <f t="shared" si="27"/>
        <v>0</v>
      </c>
      <c r="AE99" s="5">
        <f t="shared" si="27"/>
        <v>-39.259580099456151</v>
      </c>
      <c r="AF99" s="5">
        <f t="shared" si="42"/>
        <v>-16.871844763935169</v>
      </c>
      <c r="AG99">
        <f t="shared" si="53"/>
        <v>0</v>
      </c>
    </row>
    <row r="100" spans="1:33" x14ac:dyDescent="0.2">
      <c r="A100">
        <f t="shared" si="43"/>
        <v>0.68000000000000038</v>
      </c>
      <c r="B100" s="5">
        <f t="shared" si="44"/>
        <v>0</v>
      </c>
      <c r="C100" s="5">
        <f t="shared" si="45"/>
        <v>145.71350238643564</v>
      </c>
      <c r="D100" s="5">
        <f t="shared" si="46"/>
        <v>26.975638255124121</v>
      </c>
      <c r="E100" s="2">
        <f t="shared" si="28"/>
        <v>48.571167462145212</v>
      </c>
      <c r="F100" s="2">
        <f t="shared" si="47"/>
        <v>0</v>
      </c>
      <c r="G100" s="3">
        <f t="shared" si="48"/>
        <v>0</v>
      </c>
      <c r="H100" s="3">
        <f t="shared" si="49"/>
        <v>199.62697826560134</v>
      </c>
      <c r="I100" s="3">
        <f t="shared" si="50"/>
        <v>34.215340797592148</v>
      </c>
      <c r="J100" s="2">
        <f t="shared" si="29"/>
        <v>202.53794705523762</v>
      </c>
      <c r="K100" s="2">
        <f t="shared" si="51"/>
        <v>138.062676929269</v>
      </c>
      <c r="L100" s="5">
        <f t="shared" si="30"/>
        <v>17.277845273501569</v>
      </c>
      <c r="M100" s="3">
        <f t="shared" si="31"/>
        <v>21.138950851759994</v>
      </c>
      <c r="N100" s="2">
        <v>0</v>
      </c>
      <c r="O100" s="2">
        <f t="shared" si="32"/>
        <v>202.53794705523762</v>
      </c>
      <c r="P100" s="2">
        <f t="shared" si="33"/>
        <v>138.062676929269</v>
      </c>
      <c r="Q100" s="5">
        <f t="shared" si="34"/>
        <v>1.7069840792528268</v>
      </c>
      <c r="R100" s="5">
        <f t="shared" si="35"/>
        <v>0.15426435179682246</v>
      </c>
      <c r="S100" s="4">
        <f t="shared" si="52"/>
        <v>0.10437032249563992</v>
      </c>
      <c r="T100" s="5">
        <f t="shared" si="36"/>
        <v>9.2905690240266972E-2</v>
      </c>
      <c r="U100" s="4">
        <f t="shared" si="37"/>
        <v>0</v>
      </c>
      <c r="V100" s="4">
        <f t="shared" si="38"/>
        <v>0</v>
      </c>
      <c r="W100" s="5">
        <f t="shared" si="39"/>
        <v>0</v>
      </c>
      <c r="X100" s="5">
        <f t="shared" si="40"/>
        <v>-35.442965633131337</v>
      </c>
      <c r="Y100" s="5">
        <f t="shared" si="41"/>
        <v>-6.0747958945782425</v>
      </c>
      <c r="Z100" s="5">
        <f>1</f>
        <v>1</v>
      </c>
      <c r="AA100" s="5">
        <f>IF(M100=0,0,const*($T100/omega)*O100*(wy*I100-wz*(H100-V100))/Z100)</f>
        <v>0</v>
      </c>
      <c r="AB100" s="5">
        <f>IF(M100=0,0,const*($T100/omega)*O100*(wz*(G100-U100)-wx*I100)/Z100)</f>
        <v>-3.6585452120387854</v>
      </c>
      <c r="AC100" s="5">
        <f>IF(M100=0,0,const*($T100/omega)*O100*(wx*(H100-V100)-wy*(G100-U100))/Z100)</f>
        <v>21.345522461631692</v>
      </c>
      <c r="AD100" s="5">
        <f t="shared" si="27"/>
        <v>0</v>
      </c>
      <c r="AE100" s="5">
        <f t="shared" si="27"/>
        <v>-39.101510845170125</v>
      </c>
      <c r="AF100" s="5">
        <f t="shared" si="42"/>
        <v>-16.903273432946548</v>
      </c>
      <c r="AG100">
        <f t="shared" si="53"/>
        <v>0</v>
      </c>
    </row>
    <row r="101" spans="1:33" x14ac:dyDescent="0.2">
      <c r="A101">
        <f t="shared" si="43"/>
        <v>0.69000000000000039</v>
      </c>
      <c r="B101" s="5">
        <f t="shared" si="44"/>
        <v>0</v>
      </c>
      <c r="C101" s="5">
        <f t="shared" si="45"/>
        <v>147.70781709354938</v>
      </c>
      <c r="D101" s="5">
        <f t="shared" si="46"/>
        <v>27.316946499428393</v>
      </c>
      <c r="E101" s="2">
        <f t="shared" si="28"/>
        <v>49.235939031183129</v>
      </c>
      <c r="F101" s="2">
        <f t="shared" si="47"/>
        <v>0</v>
      </c>
      <c r="G101" s="3">
        <f t="shared" si="48"/>
        <v>0</v>
      </c>
      <c r="H101" s="3">
        <f t="shared" si="49"/>
        <v>199.23596315714963</v>
      </c>
      <c r="I101" s="3">
        <f t="shared" si="50"/>
        <v>34.046308063262686</v>
      </c>
      <c r="J101" s="2">
        <f t="shared" si="29"/>
        <v>202.12402160034236</v>
      </c>
      <c r="K101" s="2">
        <f t="shared" si="51"/>
        <v>137.78051915497093</v>
      </c>
      <c r="L101" s="5">
        <f t="shared" si="30"/>
        <v>17.313228202793297</v>
      </c>
      <c r="M101" s="3">
        <f t="shared" si="31"/>
        <v>21.128444025362043</v>
      </c>
      <c r="N101" s="2">
        <v>0</v>
      </c>
      <c r="O101" s="2">
        <f t="shared" si="32"/>
        <v>202.12402160034236</v>
      </c>
      <c r="P101" s="2">
        <f t="shared" si="33"/>
        <v>137.78051915497093</v>
      </c>
      <c r="Q101" s="5">
        <f t="shared" si="34"/>
        <v>1.7034955272467622</v>
      </c>
      <c r="R101" s="5">
        <f t="shared" si="35"/>
        <v>0.15429811372160485</v>
      </c>
      <c r="S101" s="4">
        <f t="shared" si="52"/>
        <v>0.10453207816703294</v>
      </c>
      <c r="T101" s="5">
        <f t="shared" si="36"/>
        <v>9.2963258485618247E-2</v>
      </c>
      <c r="U101" s="4">
        <f t="shared" si="37"/>
        <v>0</v>
      </c>
      <c r="V101" s="4">
        <f t="shared" si="38"/>
        <v>0</v>
      </c>
      <c r="W101" s="5">
        <f t="shared" si="39"/>
        <v>0</v>
      </c>
      <c r="X101" s="5">
        <f t="shared" si="40"/>
        <v>-35.308975749305333</v>
      </c>
      <c r="Y101" s="5">
        <f t="shared" si="41"/>
        <v>-6.0337513705340395</v>
      </c>
      <c r="Z101" s="5">
        <f>1</f>
        <v>1</v>
      </c>
      <c r="AA101" s="5">
        <f>IF(M101=0,0,const*($T101/omega)*O101*(wy*I101-wz*(H101-V101))/Z101)</f>
        <v>0</v>
      </c>
      <c r="AB101" s="5">
        <f>IF(M101=0,0,const*($T101/omega)*O101*(wz*(G101-U101)-wx*I101)/Z101)</f>
        <v>-3.635282212904781</v>
      </c>
      <c r="AC101" s="5">
        <f>IF(M101=0,0,const*($T101/omega)*O101*(wx*(H101-V101)-wy*(G101-U101))/Z101)</f>
        <v>21.273347808823473</v>
      </c>
      <c r="AD101" s="5">
        <f t="shared" si="27"/>
        <v>0</v>
      </c>
      <c r="AE101" s="5">
        <f t="shared" si="27"/>
        <v>-38.944257962210116</v>
      </c>
      <c r="AF101" s="5">
        <f t="shared" si="42"/>
        <v>-16.934403561710567</v>
      </c>
      <c r="AG101">
        <f t="shared" si="53"/>
        <v>0</v>
      </c>
    </row>
    <row r="102" spans="1:33" x14ac:dyDescent="0.2">
      <c r="A102">
        <f t="shared" si="43"/>
        <v>0.7000000000000004</v>
      </c>
      <c r="B102" s="5">
        <f t="shared" si="44"/>
        <v>0</v>
      </c>
      <c r="C102" s="5">
        <f t="shared" si="45"/>
        <v>149.69822951222278</v>
      </c>
      <c r="D102" s="5">
        <f t="shared" si="46"/>
        <v>27.656562859882936</v>
      </c>
      <c r="E102" s="2">
        <f t="shared" si="28"/>
        <v>49.899409837407596</v>
      </c>
      <c r="F102" s="2">
        <f t="shared" si="47"/>
        <v>0</v>
      </c>
      <c r="G102" s="3">
        <f t="shared" si="48"/>
        <v>0</v>
      </c>
      <c r="H102" s="3">
        <f t="shared" si="49"/>
        <v>198.84652057752751</v>
      </c>
      <c r="I102" s="3">
        <f t="shared" si="50"/>
        <v>33.876964027645577</v>
      </c>
      <c r="J102" s="2">
        <f t="shared" si="29"/>
        <v>201.71164427845869</v>
      </c>
      <c r="K102" s="2">
        <f t="shared" si="51"/>
        <v>137.4994166860659</v>
      </c>
      <c r="L102" s="5">
        <f t="shared" si="30"/>
        <v>17.348623197985408</v>
      </c>
      <c r="M102" s="3">
        <f t="shared" si="31"/>
        <v>21.117985839832365</v>
      </c>
      <c r="N102" s="2">
        <v>0</v>
      </c>
      <c r="O102" s="2">
        <f t="shared" si="32"/>
        <v>201.71164427845869</v>
      </c>
      <c r="P102" s="2">
        <f t="shared" si="33"/>
        <v>137.4994166860659</v>
      </c>
      <c r="Q102" s="5">
        <f t="shared" si="34"/>
        <v>1.7000200228618558</v>
      </c>
      <c r="R102" s="5">
        <f t="shared" si="35"/>
        <v>0.15433189682826595</v>
      </c>
      <c r="S102" s="4">
        <f t="shared" si="52"/>
        <v>0.10469393532224361</v>
      </c>
      <c r="T102" s="5">
        <f t="shared" si="36"/>
        <v>9.3020809373637284E-2</v>
      </c>
      <c r="U102" s="4">
        <f t="shared" si="37"/>
        <v>0</v>
      </c>
      <c r="V102" s="4">
        <f t="shared" si="38"/>
        <v>0</v>
      </c>
      <c r="W102" s="5">
        <f t="shared" si="39"/>
        <v>0</v>
      </c>
      <c r="X102" s="5">
        <f t="shared" si="40"/>
        <v>-35.175760695572663</v>
      </c>
      <c r="Y102" s="5">
        <f t="shared" si="41"/>
        <v>-5.9928027720473853</v>
      </c>
      <c r="Z102" s="5">
        <f>1</f>
        <v>1</v>
      </c>
      <c r="AA102" s="5">
        <f>IF(M102=0,0,const*($T102/omega)*O102*(wy*I102-wz*(H102-V102))/Z102)</f>
        <v>0</v>
      </c>
      <c r="AB102" s="5">
        <f>IF(M102=0,0,const*($T102/omega)*O102*(wz*(G102-U102)-wx*I102)/Z102)</f>
        <v>-3.6120554190605056</v>
      </c>
      <c r="AC102" s="5">
        <f>IF(M102=0,0,const*($T102/omega)*O102*(wx*(H102-V102)-wy*(G102-U102))/Z102)</f>
        <v>21.201564922619841</v>
      </c>
      <c r="AD102" s="5">
        <f t="shared" si="27"/>
        <v>0</v>
      </c>
      <c r="AE102" s="5">
        <f t="shared" si="27"/>
        <v>-38.787816114633166</v>
      </c>
      <c r="AF102" s="5">
        <f t="shared" si="42"/>
        <v>-16.965237849427545</v>
      </c>
      <c r="AG102">
        <f t="shared" si="53"/>
        <v>0</v>
      </c>
    </row>
    <row r="103" spans="1:33" x14ac:dyDescent="0.2">
      <c r="A103">
        <f t="shared" si="43"/>
        <v>0.71000000000000041</v>
      </c>
      <c r="B103" s="5">
        <f t="shared" si="44"/>
        <v>0</v>
      </c>
      <c r="C103" s="5">
        <f t="shared" si="45"/>
        <v>151.68475532719231</v>
      </c>
      <c r="D103" s="5">
        <f t="shared" si="46"/>
        <v>27.994484238266921</v>
      </c>
      <c r="E103" s="2">
        <f t="shared" si="28"/>
        <v>50.561585109064104</v>
      </c>
      <c r="F103" s="2">
        <f t="shared" si="47"/>
        <v>0</v>
      </c>
      <c r="G103" s="3">
        <f t="shared" si="48"/>
        <v>0</v>
      </c>
      <c r="H103" s="3">
        <f t="shared" si="49"/>
        <v>198.4586424163812</v>
      </c>
      <c r="I103" s="3">
        <f t="shared" si="50"/>
        <v>33.707311649151301</v>
      </c>
      <c r="J103" s="2">
        <f t="shared" si="29"/>
        <v>201.30080876232483</v>
      </c>
      <c r="K103" s="2">
        <f t="shared" si="51"/>
        <v>137.21936520949205</v>
      </c>
      <c r="L103" s="5">
        <f t="shared" si="30"/>
        <v>17.384030063012816</v>
      </c>
      <c r="M103" s="3">
        <f t="shared" si="31"/>
        <v>21.107575975059891</v>
      </c>
      <c r="N103" s="2">
        <v>0</v>
      </c>
      <c r="O103" s="2">
        <f t="shared" si="32"/>
        <v>201.30080876232483</v>
      </c>
      <c r="P103" s="2">
        <f t="shared" si="33"/>
        <v>137.21936520949205</v>
      </c>
      <c r="Q103" s="5">
        <f t="shared" si="34"/>
        <v>1.6965575127721253</v>
      </c>
      <c r="R103" s="5">
        <f t="shared" si="35"/>
        <v>0.15436570082353823</v>
      </c>
      <c r="S103" s="4">
        <f t="shared" si="52"/>
        <v>0.10485589255620693</v>
      </c>
      <c r="T103" s="5">
        <f t="shared" si="36"/>
        <v>9.307834243718878E-2</v>
      </c>
      <c r="U103" s="4">
        <f t="shared" si="37"/>
        <v>0</v>
      </c>
      <c r="V103" s="4">
        <f t="shared" si="38"/>
        <v>0</v>
      </c>
      <c r="W103" s="5">
        <f t="shared" si="39"/>
        <v>0</v>
      </c>
      <c r="X103" s="5">
        <f t="shared" si="40"/>
        <v>-35.043315067060391</v>
      </c>
      <c r="Y103" s="5">
        <f t="shared" si="41"/>
        <v>-5.951950128261605</v>
      </c>
      <c r="Z103" s="5">
        <f>1</f>
        <v>1</v>
      </c>
      <c r="AA103" s="5">
        <f>IF(M103=0,0,const*($T103/omega)*O103*(wy*I103-wz*(H103-V103))/Z103)</f>
        <v>0</v>
      </c>
      <c r="AB103" s="5">
        <f>IF(M103=0,0,const*($T103/omega)*O103*(wz*(G103-U103)-wx*I103)/Z103)</f>
        <v>-3.588864943778546</v>
      </c>
      <c r="AC103" s="5">
        <f>IF(M103=0,0,const*($T103/omega)*O103*(wx*(H103-V103)-wy*(G103-U103))/Z103)</f>
        <v>21.130171162017472</v>
      </c>
      <c r="AD103" s="5">
        <f t="shared" si="27"/>
        <v>0</v>
      </c>
      <c r="AE103" s="5">
        <f t="shared" si="27"/>
        <v>-38.632180010838937</v>
      </c>
      <c r="AF103" s="5">
        <f t="shared" si="42"/>
        <v>-16.995778966244131</v>
      </c>
      <c r="AG103">
        <f t="shared" si="53"/>
        <v>0</v>
      </c>
    </row>
    <row r="104" spans="1:33" x14ac:dyDescent="0.2">
      <c r="A104">
        <f t="shared" si="43"/>
        <v>0.72000000000000042</v>
      </c>
      <c r="B104" s="5">
        <f t="shared" si="44"/>
        <v>0</v>
      </c>
      <c r="C104" s="5">
        <f t="shared" si="45"/>
        <v>153.66741014235558</v>
      </c>
      <c r="D104" s="5">
        <f t="shared" si="46"/>
        <v>28.330707565810123</v>
      </c>
      <c r="E104" s="2">
        <f t="shared" si="28"/>
        <v>51.222470047451857</v>
      </c>
      <c r="F104" s="2">
        <f t="shared" si="47"/>
        <v>0</v>
      </c>
      <c r="G104" s="3">
        <f t="shared" si="48"/>
        <v>0</v>
      </c>
      <c r="H104" s="3">
        <f t="shared" si="49"/>
        <v>198.0723206162728</v>
      </c>
      <c r="I104" s="3">
        <f t="shared" si="50"/>
        <v>33.53735385948886</v>
      </c>
      <c r="J104" s="2">
        <f t="shared" si="29"/>
        <v>200.89150877578709</v>
      </c>
      <c r="K104" s="2">
        <f t="shared" si="51"/>
        <v>136.94036044702597</v>
      </c>
      <c r="L104" s="5">
        <f t="shared" si="30"/>
        <v>17.419448599685289</v>
      </c>
      <c r="M104" s="3">
        <f t="shared" si="31"/>
        <v>21.097214113067075</v>
      </c>
      <c r="N104" s="2">
        <v>0</v>
      </c>
      <c r="O104" s="2">
        <f t="shared" si="32"/>
        <v>200.89150877578709</v>
      </c>
      <c r="P104" s="2">
        <f t="shared" si="33"/>
        <v>136.94036044702597</v>
      </c>
      <c r="Q104" s="5">
        <f t="shared" si="34"/>
        <v>1.6931079440823245</v>
      </c>
      <c r="R104" s="5">
        <f t="shared" si="35"/>
        <v>0.15439952541168625</v>
      </c>
      <c r="S104" s="4">
        <f t="shared" si="52"/>
        <v>0.10501794845203465</v>
      </c>
      <c r="T104" s="5">
        <f t="shared" si="36"/>
        <v>9.313585720669422E-2</v>
      </c>
      <c r="U104" s="4">
        <f t="shared" si="37"/>
        <v>0</v>
      </c>
      <c r="V104" s="4">
        <f t="shared" si="38"/>
        <v>0</v>
      </c>
      <c r="W104" s="5">
        <f t="shared" si="39"/>
        <v>0</v>
      </c>
      <c r="X104" s="5">
        <f t="shared" si="40"/>
        <v>-34.911633506226657</v>
      </c>
      <c r="Y104" s="5">
        <f t="shared" si="41"/>
        <v>-5.9111934624091012</v>
      </c>
      <c r="Z104" s="5">
        <f>1</f>
        <v>1</v>
      </c>
      <c r="AA104" s="5">
        <f>IF(M104=0,0,const*($T104/omega)*O104*(wy*I104-wz*(H104-V104))/Z104)</f>
        <v>0</v>
      </c>
      <c r="AB104" s="5">
        <f>IF(M104=0,0,const*($T104/omega)*O104*(wz*(G104-U104)-wx*I104)/Z104)</f>
        <v>-3.5657108968963751</v>
      </c>
      <c r="AC104" s="5">
        <f>IF(M104=0,0,const*($T104/omega)*O104*(wx*(H104-V104)-wy*(G104-U104))/Z104)</f>
        <v>21.059163908817723</v>
      </c>
      <c r="AD104" s="5">
        <f t="shared" si="27"/>
        <v>0</v>
      </c>
      <c r="AE104" s="5">
        <f t="shared" si="27"/>
        <v>-38.477344403123034</v>
      </c>
      <c r="AF104" s="5">
        <f t="shared" si="42"/>
        <v>-17.026029553591378</v>
      </c>
      <c r="AG104">
        <f t="shared" si="53"/>
        <v>0</v>
      </c>
    </row>
    <row r="105" spans="1:33" x14ac:dyDescent="0.2">
      <c r="A105">
        <f t="shared" si="43"/>
        <v>0.73000000000000043</v>
      </c>
      <c r="B105" s="5">
        <f t="shared" si="44"/>
        <v>0</v>
      </c>
      <c r="C105" s="5">
        <f t="shared" si="45"/>
        <v>155.64620948129817</v>
      </c>
      <c r="D105" s="5">
        <f t="shared" si="46"/>
        <v>28.665229802927332</v>
      </c>
      <c r="E105" s="2">
        <f t="shared" si="28"/>
        <v>51.882069827099393</v>
      </c>
      <c r="F105" s="2">
        <f t="shared" si="47"/>
        <v>0</v>
      </c>
      <c r="G105" s="3">
        <f t="shared" si="48"/>
        <v>0</v>
      </c>
      <c r="H105" s="3">
        <f t="shared" si="49"/>
        <v>197.68754717224158</v>
      </c>
      <c r="I105" s="3">
        <f t="shared" si="50"/>
        <v>33.367093563952949</v>
      </c>
      <c r="J105" s="2">
        <f t="shared" si="29"/>
        <v>200.48373809334967</v>
      </c>
      <c r="K105" s="2">
        <f t="shared" si="51"/>
        <v>136.6623981549759</v>
      </c>
      <c r="L105" s="5">
        <f t="shared" si="30"/>
        <v>17.454878607678602</v>
      </c>
      <c r="M105" s="3">
        <f t="shared" si="31"/>
        <v>21.086899937986775</v>
      </c>
      <c r="N105" s="2">
        <v>0</v>
      </c>
      <c r="O105" s="2">
        <f t="shared" si="32"/>
        <v>200.48373809334967</v>
      </c>
      <c r="P105" s="2">
        <f t="shared" si="33"/>
        <v>136.6623981549759</v>
      </c>
      <c r="Q105" s="5">
        <f t="shared" si="34"/>
        <v>1.6896712643241509</v>
      </c>
      <c r="R105" s="5">
        <f t="shared" si="35"/>
        <v>0.15443337029449292</v>
      </c>
      <c r="S105" s="4">
        <f t="shared" si="52"/>
        <v>0.10518010158094841</v>
      </c>
      <c r="T105" s="5">
        <f t="shared" si="36"/>
        <v>9.3193353210119345E-2</v>
      </c>
      <c r="U105" s="4">
        <f t="shared" si="37"/>
        <v>0</v>
      </c>
      <c r="V105" s="4">
        <f t="shared" si="38"/>
        <v>0</v>
      </c>
      <c r="W105" s="5">
        <f t="shared" si="39"/>
        <v>0</v>
      </c>
      <c r="X105" s="5">
        <f t="shared" si="40"/>
        <v>-34.780710702368957</v>
      </c>
      <c r="Y105" s="5">
        <f t="shared" si="41"/>
        <v>-5.8705327919091177</v>
      </c>
      <c r="Z105" s="5">
        <f>1</f>
        <v>1</v>
      </c>
      <c r="AA105" s="5">
        <f>IF(M105=0,0,const*($T105/omega)*O105*(wy*I105-wz*(H105-V105))/Z105)</f>
        <v>0</v>
      </c>
      <c r="AB105" s="5">
        <f>IF(M105=0,0,const*($T105/omega)*O105*(wz*(G105-U105)-wx*I105)/Z105)</f>
        <v>-3.5425933848669224</v>
      </c>
      <c r="AC105" s="5">
        <f>IF(M105=0,0,const*($T105/omega)*O105*(wx*(H105-V105)-wy*(G105-U105))/Z105)</f>
        <v>20.988540567390793</v>
      </c>
      <c r="AD105" s="5">
        <f t="shared" si="27"/>
        <v>0</v>
      </c>
      <c r="AE105" s="5">
        <f t="shared" si="27"/>
        <v>-38.323304087235883</v>
      </c>
      <c r="AF105" s="5">
        <f t="shared" si="42"/>
        <v>-17.055992224518324</v>
      </c>
      <c r="AG105">
        <f t="shared" si="53"/>
        <v>0</v>
      </c>
    </row>
    <row r="106" spans="1:33" x14ac:dyDescent="0.2">
      <c r="A106">
        <f t="shared" si="43"/>
        <v>0.74000000000000044</v>
      </c>
      <c r="B106" s="5">
        <f t="shared" si="44"/>
        <v>0</v>
      </c>
      <c r="C106" s="5">
        <f t="shared" si="45"/>
        <v>157.62116878781623</v>
      </c>
      <c r="D106" s="5">
        <f t="shared" si="46"/>
        <v>28.998047938955633</v>
      </c>
      <c r="E106" s="2">
        <f t="shared" si="28"/>
        <v>52.540389595938741</v>
      </c>
      <c r="F106" s="2">
        <f t="shared" si="47"/>
        <v>0</v>
      </c>
      <c r="G106" s="3">
        <f t="shared" si="48"/>
        <v>0</v>
      </c>
      <c r="H106" s="3">
        <f t="shared" si="49"/>
        <v>197.30431413136921</v>
      </c>
      <c r="I106" s="3">
        <f t="shared" si="50"/>
        <v>33.196533641707767</v>
      </c>
      <c r="J106" s="2">
        <f t="shared" si="29"/>
        <v>200.07749053972827</v>
      </c>
      <c r="K106" s="2">
        <f t="shared" si="51"/>
        <v>136.38547412387749</v>
      </c>
      <c r="L106" s="5">
        <f t="shared" si="30"/>
        <v>17.490319884525881</v>
      </c>
      <c r="M106" s="3">
        <f t="shared" si="31"/>
        <v>21.076633136039472</v>
      </c>
      <c r="N106" s="2">
        <v>0</v>
      </c>
      <c r="O106" s="2">
        <f t="shared" si="32"/>
        <v>200.07749053972827</v>
      </c>
      <c r="P106" s="2">
        <f t="shared" si="33"/>
        <v>136.38547412387749</v>
      </c>
      <c r="Q106" s="5">
        <f t="shared" si="34"/>
        <v>1.6862474214524841</v>
      </c>
      <c r="R106" s="5">
        <f t="shared" si="35"/>
        <v>0.15446723517124572</v>
      </c>
      <c r="S106" s="4">
        <f t="shared" si="52"/>
        <v>0.10534235050221405</v>
      </c>
      <c r="T106" s="5">
        <f t="shared" si="36"/>
        <v>9.3250829972962246E-2</v>
      </c>
      <c r="U106" s="4">
        <f t="shared" si="37"/>
        <v>0</v>
      </c>
      <c r="V106" s="4">
        <f t="shared" si="38"/>
        <v>0</v>
      </c>
      <c r="W106" s="5">
        <f t="shared" si="39"/>
        <v>0</v>
      </c>
      <c r="X106" s="5">
        <f t="shared" si="40"/>
        <v>-34.650541391138084</v>
      </c>
      <c r="Y106" s="5">
        <f t="shared" si="41"/>
        <v>-5.8299681284638538</v>
      </c>
      <c r="Z106" s="5">
        <f>1</f>
        <v>1</v>
      </c>
      <c r="AA106" s="5">
        <f>IF(M106=0,0,const*($T106/omega)*O106*(wy*I106-wz*(H106-V106))/Z106)</f>
        <v>0</v>
      </c>
      <c r="AB106" s="5">
        <f>IF(M106=0,0,const*($T106/omega)*O106*(wz*(G106-U106)-wx*I106)/Z106)</f>
        <v>-3.5195125108083301</v>
      </c>
      <c r="AC106" s="5">
        <f>IF(M106=0,0,const*($T106/omega)*O106*(wx*(H106-V106)-wy*(G106-U106))/Z106)</f>
        <v>20.91829856444274</v>
      </c>
      <c r="AD106" s="5">
        <f t="shared" si="27"/>
        <v>0</v>
      </c>
      <c r="AE106" s="5">
        <f t="shared" si="27"/>
        <v>-38.170053901946417</v>
      </c>
      <c r="AF106" s="5">
        <f t="shared" si="42"/>
        <v>-17.085669564021114</v>
      </c>
      <c r="AG106">
        <f t="shared" si="53"/>
        <v>0</v>
      </c>
    </row>
    <row r="107" spans="1:33" x14ac:dyDescent="0.2">
      <c r="A107">
        <f t="shared" si="43"/>
        <v>0.75000000000000044</v>
      </c>
      <c r="B107" s="5">
        <f t="shared" si="44"/>
        <v>0</v>
      </c>
      <c r="C107" s="5">
        <f t="shared" si="45"/>
        <v>159.59230342643482</v>
      </c>
      <c r="D107" s="5">
        <f t="shared" si="46"/>
        <v>29.329158991894509</v>
      </c>
      <c r="E107" s="2">
        <f t="shared" si="28"/>
        <v>53.197434475478275</v>
      </c>
      <c r="F107" s="2">
        <f t="shared" si="47"/>
        <v>0</v>
      </c>
      <c r="G107" s="3">
        <f t="shared" si="48"/>
        <v>0</v>
      </c>
      <c r="H107" s="3">
        <f t="shared" si="49"/>
        <v>196.92261359234973</v>
      </c>
      <c r="I107" s="3">
        <f t="shared" si="50"/>
        <v>33.025676946067556</v>
      </c>
      <c r="J107" s="2">
        <f t="shared" si="29"/>
        <v>199.67275998940843</v>
      </c>
      <c r="K107" s="2">
        <f t="shared" si="51"/>
        <v>136.10958417819251</v>
      </c>
      <c r="L107" s="5">
        <f t="shared" si="30"/>
        <v>17.525772225608915</v>
      </c>
      <c r="M107" s="3">
        <f t="shared" si="31"/>
        <v>21.066413395510736</v>
      </c>
      <c r="N107" s="2">
        <v>0</v>
      </c>
      <c r="O107" s="2">
        <f t="shared" si="32"/>
        <v>199.67275998940843</v>
      </c>
      <c r="P107" s="2">
        <f t="shared" si="33"/>
        <v>136.10958417819251</v>
      </c>
      <c r="Q107" s="5">
        <f t="shared" si="34"/>
        <v>1.682836363841661</v>
      </c>
      <c r="R107" s="5">
        <f t="shared" si="35"/>
        <v>0.15450111973872302</v>
      </c>
      <c r="S107" s="4">
        <f t="shared" si="52"/>
        <v>0.10550469376307613</v>
      </c>
      <c r="T107" s="5">
        <f t="shared" si="36"/>
        <v>9.3308287018241357E-2</v>
      </c>
      <c r="U107" s="4">
        <f t="shared" si="37"/>
        <v>0</v>
      </c>
      <c r="V107" s="4">
        <f t="shared" si="38"/>
        <v>0</v>
      </c>
      <c r="W107" s="5">
        <f t="shared" si="39"/>
        <v>0</v>
      </c>
      <c r="X107" s="5">
        <f t="shared" si="40"/>
        <v>-34.521120354058084</v>
      </c>
      <c r="Y107" s="5">
        <f t="shared" si="41"/>
        <v>-5.7894994781530293</v>
      </c>
      <c r="Z107" s="5">
        <f>1</f>
        <v>1</v>
      </c>
      <c r="AA107" s="5">
        <f>IF(M107=0,0,const*($T107/omega)*O107*(wy*I107-wz*(H107-V107))/Z107)</f>
        <v>0</v>
      </c>
      <c r="AB107" s="5">
        <f>IF(M107=0,0,const*($T107/omega)*O107*(wz*(G107-U107)-wx*I107)/Z107)</f>
        <v>-3.4964683745529364</v>
      </c>
      <c r="AC107" s="5">
        <f>IF(M107=0,0,const*($T107/omega)*O107*(wx*(H107-V107)-wy*(G107-U107))/Z107)</f>
        <v>20.848435348785316</v>
      </c>
      <c r="AD107" s="5">
        <f t="shared" si="27"/>
        <v>0</v>
      </c>
      <c r="AE107" s="5">
        <f t="shared" si="27"/>
        <v>-38.017588728611017</v>
      </c>
      <c r="AF107" s="5">
        <f t="shared" si="42"/>
        <v>-17.115064129367713</v>
      </c>
      <c r="AG107">
        <f t="shared" si="53"/>
        <v>0</v>
      </c>
    </row>
    <row r="108" spans="1:33" x14ac:dyDescent="0.2">
      <c r="A108">
        <f t="shared" si="43"/>
        <v>0.76000000000000045</v>
      </c>
      <c r="B108" s="5">
        <f t="shared" si="44"/>
        <v>0</v>
      </c>
      <c r="C108" s="5">
        <f t="shared" si="45"/>
        <v>161.5596286829219</v>
      </c>
      <c r="D108" s="5">
        <f t="shared" si="46"/>
        <v>29.658560008148715</v>
      </c>
      <c r="E108" s="2">
        <f t="shared" si="28"/>
        <v>53.853209560973966</v>
      </c>
      <c r="F108" s="2">
        <f t="shared" si="47"/>
        <v>0</v>
      </c>
      <c r="G108" s="3">
        <f t="shared" si="48"/>
        <v>0</v>
      </c>
      <c r="H108" s="3">
        <f t="shared" si="49"/>
        <v>196.54243770506363</v>
      </c>
      <c r="I108" s="3">
        <f t="shared" si="50"/>
        <v>32.854526304773877</v>
      </c>
      <c r="J108" s="2">
        <f t="shared" si="29"/>
        <v>199.26954036620825</v>
      </c>
      <c r="K108" s="2">
        <f t="shared" si="51"/>
        <v>135.83472417601106</v>
      </c>
      <c r="L108" s="5">
        <f t="shared" si="30"/>
        <v>17.561235424149519</v>
      </c>
      <c r="M108" s="3">
        <f t="shared" si="31"/>
        <v>21.056240406728968</v>
      </c>
      <c r="N108" s="2">
        <v>0</v>
      </c>
      <c r="O108" s="2">
        <f t="shared" si="32"/>
        <v>199.26954036620825</v>
      </c>
      <c r="P108" s="2">
        <f t="shared" si="33"/>
        <v>135.83472417601106</v>
      </c>
      <c r="Q108" s="5">
        <f t="shared" si="34"/>
        <v>1.6794380402817934</v>
      </c>
      <c r="R108" s="5">
        <f t="shared" si="35"/>
        <v>0.1545350236911805</v>
      </c>
      <c r="S108" s="4">
        <f t="shared" si="52"/>
        <v>0.10566712989869297</v>
      </c>
      <c r="T108" s="5">
        <f t="shared" si="36"/>
        <v>9.3365723866483771E-2</v>
      </c>
      <c r="U108" s="4">
        <f t="shared" si="37"/>
        <v>0</v>
      </c>
      <c r="V108" s="4">
        <f t="shared" si="38"/>
        <v>0</v>
      </c>
      <c r="W108" s="5">
        <f t="shared" si="39"/>
        <v>0</v>
      </c>
      <c r="X108" s="5">
        <f t="shared" si="40"/>
        <v>-34.392442418051843</v>
      </c>
      <c r="Y108" s="5">
        <f t="shared" si="41"/>
        <v>-5.7491268415268761</v>
      </c>
      <c r="Z108" s="5">
        <f>1</f>
        <v>1</v>
      </c>
      <c r="AA108" s="5">
        <f>IF(M108=0,0,const*($T108/omega)*O108*(wy*I108-wz*(H108-V108))/Z108)</f>
        <v>0</v>
      </c>
      <c r="AB108" s="5">
        <f>IF(M108=0,0,const*($T108/omega)*O108*(wz*(G108-U108)-wx*I108)/Z108)</f>
        <v>-3.4734610726954736</v>
      </c>
      <c r="AC108" s="5">
        <f>IF(M108=0,0,const*($T108/omega)*O108*(wx*(H108-V108)-wy*(G108-U108))/Z108)</f>
        <v>20.778948391108518</v>
      </c>
      <c r="AD108" s="5">
        <f t="shared" si="27"/>
        <v>0</v>
      </c>
      <c r="AE108" s="5">
        <f t="shared" si="27"/>
        <v>-37.865903490747314</v>
      </c>
      <c r="AF108" s="5">
        <f t="shared" si="42"/>
        <v>-17.144178450418359</v>
      </c>
      <c r="AG108">
        <f t="shared" si="53"/>
        <v>0</v>
      </c>
    </row>
    <row r="109" spans="1:33" x14ac:dyDescent="0.2">
      <c r="A109">
        <f t="shared" si="43"/>
        <v>0.77000000000000046</v>
      </c>
      <c r="B109" s="5">
        <f t="shared" si="44"/>
        <v>0</v>
      </c>
      <c r="C109" s="5">
        <f t="shared" si="45"/>
        <v>163.52315976479798</v>
      </c>
      <c r="D109" s="5">
        <f t="shared" si="46"/>
        <v>29.986248062273933</v>
      </c>
      <c r="E109" s="2">
        <f t="shared" si="28"/>
        <v>54.507719921599325</v>
      </c>
      <c r="F109" s="2">
        <f t="shared" si="47"/>
        <v>0</v>
      </c>
      <c r="G109" s="3">
        <f t="shared" si="48"/>
        <v>0</v>
      </c>
      <c r="H109" s="3">
        <f t="shared" si="49"/>
        <v>196.16377867015615</v>
      </c>
      <c r="I109" s="3">
        <f t="shared" si="50"/>
        <v>32.683084520269695</v>
      </c>
      <c r="J109" s="2">
        <f t="shared" si="29"/>
        <v>198.86782564284525</v>
      </c>
      <c r="K109" s="2">
        <f t="shared" si="51"/>
        <v>135.56089000875613</v>
      </c>
      <c r="L109" s="5">
        <f t="shared" si="30"/>
        <v>17.596709271201053</v>
      </c>
      <c r="M109" s="3">
        <f t="shared" si="31"/>
        <v>21.046113862043391</v>
      </c>
      <c r="N109" s="2">
        <v>0</v>
      </c>
      <c r="O109" s="2">
        <f t="shared" si="32"/>
        <v>198.86782564284525</v>
      </c>
      <c r="P109" s="2">
        <f t="shared" si="33"/>
        <v>135.56089000875613</v>
      </c>
      <c r="Q109" s="5">
        <f t="shared" si="34"/>
        <v>1.6760523999751151</v>
      </c>
      <c r="R109" s="5">
        <f t="shared" si="35"/>
        <v>0.15456894672033775</v>
      </c>
      <c r="S109" s="4">
        <f t="shared" si="52"/>
        <v>0.10582965743207227</v>
      </c>
      <c r="T109" s="5">
        <f t="shared" si="36"/>
        <v>9.3423140035713864E-2</v>
      </c>
      <c r="U109" s="4">
        <f t="shared" si="37"/>
        <v>0</v>
      </c>
      <c r="V109" s="4">
        <f t="shared" si="38"/>
        <v>0</v>
      </c>
      <c r="W109" s="5">
        <f t="shared" si="39"/>
        <v>0</v>
      </c>
      <c r="X109" s="5">
        <f t="shared" si="40"/>
        <v>-34.264502454972472</v>
      </c>
      <c r="Y109" s="5">
        <f t="shared" si="41"/>
        <v>-5.7088502136976214</v>
      </c>
      <c r="Z109" s="5">
        <f>1</f>
        <v>1</v>
      </c>
      <c r="AA109" s="5">
        <f>IF(M109=0,0,const*($T109/omega)*O109*(wy*I109-wz*(H109-V109))/Z109)</f>
        <v>0</v>
      </c>
      <c r="AB109" s="5">
        <f>IF(M109=0,0,const*($T109/omega)*O109*(wz*(G109-U109)-wx*I109)/Z109)</f>
        <v>-3.4504906986405217</v>
      </c>
      <c r="AC109" s="5">
        <f>IF(M109=0,0,const*($T109/omega)*O109*(wx*(H109-V109)-wy*(G109-U109))/Z109)</f>
        <v>20.709835183755981</v>
      </c>
      <c r="AD109" s="5">
        <f t="shared" si="27"/>
        <v>0</v>
      </c>
      <c r="AE109" s="5">
        <f t="shared" si="27"/>
        <v>-37.714993153612994</v>
      </c>
      <c r="AF109" s="5">
        <f t="shared" si="42"/>
        <v>-17.173015029941638</v>
      </c>
      <c r="AG109">
        <f t="shared" si="53"/>
        <v>0</v>
      </c>
    </row>
    <row r="110" spans="1:33" x14ac:dyDescent="0.2">
      <c r="A110">
        <f t="shared" si="43"/>
        <v>0.78000000000000047</v>
      </c>
      <c r="B110" s="5">
        <f t="shared" si="44"/>
        <v>0</v>
      </c>
      <c r="C110" s="5">
        <f t="shared" si="45"/>
        <v>165.48291180184188</v>
      </c>
      <c r="D110" s="5">
        <f t="shared" si="46"/>
        <v>30.312220256725134</v>
      </c>
      <c r="E110" s="2">
        <f t="shared" si="28"/>
        <v>55.160970600613958</v>
      </c>
      <c r="F110" s="2">
        <f t="shared" si="47"/>
        <v>0</v>
      </c>
      <c r="G110" s="3">
        <f t="shared" si="48"/>
        <v>0</v>
      </c>
      <c r="H110" s="3">
        <f t="shared" si="49"/>
        <v>195.78662873862001</v>
      </c>
      <c r="I110" s="3">
        <f t="shared" si="50"/>
        <v>32.511354369970277</v>
      </c>
      <c r="J110" s="2">
        <f t="shared" si="29"/>
        <v>198.46760984050775</v>
      </c>
      <c r="K110" s="2">
        <f t="shared" si="51"/>
        <v>135.28807760089143</v>
      </c>
      <c r="L110" s="5">
        <f t="shared" si="30"/>
        <v>17.632193555639869</v>
      </c>
      <c r="M110" s="3">
        <f t="shared" si="31"/>
        <v>21.036033455802318</v>
      </c>
      <c r="N110" s="2">
        <v>0</v>
      </c>
      <c r="O110" s="2">
        <f t="shared" si="32"/>
        <v>198.46760984050775</v>
      </c>
      <c r="P110" s="2">
        <f t="shared" si="33"/>
        <v>135.28807760089143</v>
      </c>
      <c r="Q110" s="5">
        <f t="shared" si="34"/>
        <v>1.6726793925323706</v>
      </c>
      <c r="R110" s="5">
        <f t="shared" si="35"/>
        <v>0.15460288851536494</v>
      </c>
      <c r="S110" s="4">
        <f t="shared" si="52"/>
        <v>0.10599227487400723</v>
      </c>
      <c r="T110" s="5">
        <f t="shared" si="36"/>
        <v>9.3480535041441812E-2</v>
      </c>
      <c r="U110" s="4">
        <f t="shared" si="37"/>
        <v>0</v>
      </c>
      <c r="V110" s="4">
        <f t="shared" si="38"/>
        <v>0</v>
      </c>
      <c r="W110" s="5">
        <f t="shared" si="39"/>
        <v>0</v>
      </c>
      <c r="X110" s="5">
        <f t="shared" si="40"/>
        <v>-34.137295381140213</v>
      </c>
      <c r="Y110" s="5">
        <f t="shared" si="41"/>
        <v>-5.6686695844294652</v>
      </c>
      <c r="Z110" s="5">
        <f>1</f>
        <v>1</v>
      </c>
      <c r="AA110" s="5">
        <f>IF(M110=0,0,const*($T110/omega)*O110*(wy*I110-wz*(H110-V110))/Z110)</f>
        <v>0</v>
      </c>
      <c r="AB110" s="5">
        <f>IF(M110=0,0,const*($T110/omega)*O110*(wz*(G110-U110)-wx*I110)/Z110)</f>
        <v>-3.4275573426491954</v>
      </c>
      <c r="AC110" s="5">
        <f>IF(M110=0,0,const*($T110/omega)*O110*(wx*(H110-V110)-wy*(G110-U110))/Z110)</f>
        <v>20.641093240502929</v>
      </c>
      <c r="AD110" s="5">
        <f t="shared" si="27"/>
        <v>0</v>
      </c>
      <c r="AE110" s="5">
        <f t="shared" si="27"/>
        <v>-37.564852723789407</v>
      </c>
      <c r="AF110" s="5">
        <f t="shared" si="42"/>
        <v>-17.201576343926536</v>
      </c>
      <c r="AG110">
        <f t="shared" si="53"/>
        <v>0</v>
      </c>
    </row>
    <row r="111" spans="1:33" x14ac:dyDescent="0.2">
      <c r="A111">
        <f t="shared" si="43"/>
        <v>0.79000000000000048</v>
      </c>
      <c r="B111" s="5">
        <f t="shared" si="44"/>
        <v>0</v>
      </c>
      <c r="C111" s="5">
        <f t="shared" si="45"/>
        <v>167.43889984659188</v>
      </c>
      <c r="D111" s="5">
        <f t="shared" si="46"/>
        <v>30.63647372160764</v>
      </c>
      <c r="E111" s="2">
        <f t="shared" si="28"/>
        <v>55.812966615530627</v>
      </c>
      <c r="F111" s="2">
        <f t="shared" si="47"/>
        <v>0</v>
      </c>
      <c r="G111" s="3">
        <f t="shared" si="48"/>
        <v>0</v>
      </c>
      <c r="H111" s="3">
        <f t="shared" si="49"/>
        <v>195.41098021138211</v>
      </c>
      <c r="I111" s="3">
        <f t="shared" si="50"/>
        <v>32.339338606531015</v>
      </c>
      <c r="J111" s="2">
        <f t="shared" si="29"/>
        <v>198.0688870284302</v>
      </c>
      <c r="K111" s="2">
        <f t="shared" si="51"/>
        <v>135.01628290963203</v>
      </c>
      <c r="L111" s="5">
        <f t="shared" si="30"/>
        <v>17.667688064156959</v>
      </c>
      <c r="M111" s="3">
        <f t="shared" si="31"/>
        <v>21.025998884331688</v>
      </c>
      <c r="N111" s="2">
        <v>0</v>
      </c>
      <c r="O111" s="2">
        <f t="shared" si="32"/>
        <v>198.0688870284302</v>
      </c>
      <c r="P111" s="2">
        <f t="shared" si="33"/>
        <v>135.01628290963203</v>
      </c>
      <c r="Q111" s="5">
        <f t="shared" si="34"/>
        <v>1.6693189679692362</v>
      </c>
      <c r="R111" s="5">
        <f t="shared" si="35"/>
        <v>0.15463684876286962</v>
      </c>
      <c r="S111" s="4">
        <f t="shared" si="52"/>
        <v>0.1061549807230132</v>
      </c>
      <c r="T111" s="5">
        <f t="shared" si="36"/>
        <v>9.3537908396652741E-2</v>
      </c>
      <c r="U111" s="4">
        <f t="shared" si="37"/>
        <v>0</v>
      </c>
      <c r="V111" s="4">
        <f t="shared" si="38"/>
        <v>0</v>
      </c>
      <c r="W111" s="5">
        <f t="shared" si="39"/>
        <v>0</v>
      </c>
      <c r="X111" s="5">
        <f t="shared" si="40"/>
        <v>-34.010816156884907</v>
      </c>
      <c r="Y111" s="5">
        <f t="shared" si="41"/>
        <v>-5.6285849382270872</v>
      </c>
      <c r="Z111" s="5">
        <f>1</f>
        <v>1</v>
      </c>
      <c r="AA111" s="5">
        <f>IF(M111=0,0,const*($T111/omega)*O111*(wy*I111-wz*(H111-V111))/Z111)</f>
        <v>0</v>
      </c>
      <c r="AB111" s="5">
        <f>IF(M111=0,0,const*($T111/omega)*O111*(wz*(G111-U111)-wx*I111)/Z111)</f>
        <v>-3.4046610918851123</v>
      </c>
      <c r="AC111" s="5">
        <f>IF(M111=0,0,const*($T111/omega)*O111*(wx*(H111-V111)-wy*(G111-U111))/Z111)</f>
        <v>20.572720096336898</v>
      </c>
      <c r="AD111" s="5">
        <f t="shared" si="27"/>
        <v>0</v>
      </c>
      <c r="AE111" s="5">
        <f t="shared" si="27"/>
        <v>-37.415477248770017</v>
      </c>
      <c r="AF111" s="5">
        <f t="shared" si="42"/>
        <v>-17.229864841890191</v>
      </c>
      <c r="AG111">
        <f t="shared" si="53"/>
        <v>0</v>
      </c>
    </row>
    <row r="112" spans="1:33" x14ac:dyDescent="0.2">
      <c r="A112">
        <f t="shared" si="43"/>
        <v>0.80000000000000049</v>
      </c>
      <c r="B112" s="5">
        <f t="shared" si="44"/>
        <v>0</v>
      </c>
      <c r="C112" s="5">
        <f t="shared" si="45"/>
        <v>169.39113887484328</v>
      </c>
      <c r="D112" s="5">
        <f t="shared" si="46"/>
        <v>30.959005614430854</v>
      </c>
      <c r="E112" s="2">
        <f t="shared" si="28"/>
        <v>56.463712958281093</v>
      </c>
      <c r="F112" s="2">
        <f t="shared" si="47"/>
        <v>0</v>
      </c>
      <c r="G112" s="3">
        <f t="shared" si="48"/>
        <v>0</v>
      </c>
      <c r="H112" s="3">
        <f t="shared" si="49"/>
        <v>195.0368254388944</v>
      </c>
      <c r="I112" s="3">
        <f t="shared" si="50"/>
        <v>32.167039958112113</v>
      </c>
      <c r="J112" s="2">
        <f t="shared" si="29"/>
        <v>197.67165132347264</v>
      </c>
      <c r="K112" s="2">
        <f t="shared" si="51"/>
        <v>134.74550192465756</v>
      </c>
      <c r="L112" s="5">
        <f t="shared" si="30"/>
        <v>17.703192581249549</v>
      </c>
      <c r="M112" s="3">
        <f t="shared" si="31"/>
        <v>21.016009845913832</v>
      </c>
      <c r="N112" s="2">
        <v>0</v>
      </c>
      <c r="O112" s="2">
        <f t="shared" si="32"/>
        <v>197.67165132347264</v>
      </c>
      <c r="P112" s="2">
        <f t="shared" si="33"/>
        <v>134.74550192465756</v>
      </c>
      <c r="Q112" s="5">
        <f t="shared" si="34"/>
        <v>1.6659710767027742</v>
      </c>
      <c r="R112" s="5">
        <f t="shared" si="35"/>
        <v>0.15467082714688357</v>
      </c>
      <c r="S112" s="4">
        <f t="shared" si="52"/>
        <v>0.10631777346526508</v>
      </c>
      <c r="T112" s="5">
        <f t="shared" si="36"/>
        <v>9.3595259611795809E-2</v>
      </c>
      <c r="U112" s="4">
        <f t="shared" si="37"/>
        <v>0</v>
      </c>
      <c r="V112" s="4">
        <f t="shared" si="38"/>
        <v>0</v>
      </c>
      <c r="W112" s="5">
        <f t="shared" si="39"/>
        <v>0</v>
      </c>
      <c r="X112" s="5">
        <f t="shared" si="40"/>
        <v>-33.885059786093862</v>
      </c>
      <c r="Y112" s="5">
        <f t="shared" si="41"/>
        <v>-5.5885962544226997</v>
      </c>
      <c r="Z112" s="5">
        <f>1</f>
        <v>1</v>
      </c>
      <c r="AA112" s="5">
        <f>IF(M112=0,0,const*($T112/omega)*O112*(wy*I112-wz*(H112-V112))/Z112)</f>
        <v>0</v>
      </c>
      <c r="AB112" s="5">
        <f>IF(M112=0,0,const*($T112/omega)*O112*(wz*(G112-U112)-wx*I112)/Z112)</f>
        <v>-3.3818020304596361</v>
      </c>
      <c r="AC112" s="5">
        <f>IF(M112=0,0,const*($T112/omega)*O112*(wx*(H112-V112)-wy*(G112-U112))/Z112)</f>
        <v>20.504713307241008</v>
      </c>
      <c r="AD112" s="5">
        <f t="shared" ref="AD112:AE175" si="54">W112+AA112</f>
        <v>0</v>
      </c>
      <c r="AE112" s="5">
        <f t="shared" si="54"/>
        <v>-37.266861816553501</v>
      </c>
      <c r="AF112" s="5">
        <f t="shared" si="42"/>
        <v>-17.257882947181692</v>
      </c>
      <c r="AG112">
        <f t="shared" si="53"/>
        <v>0</v>
      </c>
    </row>
    <row r="113" spans="1:33" x14ac:dyDescent="0.2">
      <c r="A113">
        <f t="shared" si="43"/>
        <v>0.8100000000000005</v>
      </c>
      <c r="B113" s="5">
        <f t="shared" si="44"/>
        <v>0</v>
      </c>
      <c r="C113" s="5">
        <f t="shared" si="45"/>
        <v>171.33964378614138</v>
      </c>
      <c r="D113" s="5">
        <f t="shared" si="46"/>
        <v>31.279813119864613</v>
      </c>
      <c r="E113" s="2">
        <f t="shared" si="28"/>
        <v>57.113214595380462</v>
      </c>
      <c r="F113" s="2">
        <f t="shared" si="47"/>
        <v>0</v>
      </c>
      <c r="G113" s="3">
        <f t="shared" si="48"/>
        <v>0</v>
      </c>
      <c r="H113" s="3">
        <f t="shared" si="49"/>
        <v>194.66415682072886</v>
      </c>
      <c r="I113" s="3">
        <f t="shared" si="50"/>
        <v>31.994461128640296</v>
      </c>
      <c r="J113" s="2">
        <f t="shared" si="29"/>
        <v>197.27589688970468</v>
      </c>
      <c r="K113" s="2">
        <f t="shared" si="51"/>
        <v>134.47573066782869</v>
      </c>
      <c r="L113" s="5">
        <f t="shared" si="30"/>
        <v>17.738706889212853</v>
      </c>
      <c r="M113" s="3">
        <f t="shared" si="31"/>
        <v>21.006066040766491</v>
      </c>
      <c r="N113" s="2">
        <v>0</v>
      </c>
      <c r="O113" s="2">
        <f t="shared" si="32"/>
        <v>197.27589688970468</v>
      </c>
      <c r="P113" s="2">
        <f t="shared" si="33"/>
        <v>134.47573066782869</v>
      </c>
      <c r="Q113" s="5">
        <f t="shared" si="34"/>
        <v>1.6626356695479292</v>
      </c>
      <c r="R113" s="5">
        <f t="shared" si="35"/>
        <v>0.15470482334884977</v>
      </c>
      <c r="S113" s="4">
        <f t="shared" si="52"/>
        <v>0.10648065157453476</v>
      </c>
      <c r="T113" s="5">
        <f t="shared" si="36"/>
        <v>9.3652588194773428E-2</v>
      </c>
      <c r="U113" s="4">
        <f t="shared" si="37"/>
        <v>0</v>
      </c>
      <c r="V113" s="4">
        <f t="shared" si="38"/>
        <v>0</v>
      </c>
      <c r="W113" s="5">
        <f t="shared" si="39"/>
        <v>0</v>
      </c>
      <c r="X113" s="5">
        <f t="shared" si="40"/>
        <v>-33.760021315765208</v>
      </c>
      <c r="Y113" s="5">
        <f t="shared" si="41"/>
        <v>-5.5487035072616893</v>
      </c>
      <c r="Z113" s="5">
        <f>1</f>
        <v>1</v>
      </c>
      <c r="AA113" s="5">
        <f>IF(M113=0,0,const*($T113/omega)*O113*(wy*I113-wz*(H113-V113))/Z113)</f>
        <v>0</v>
      </c>
      <c r="AB113" s="5">
        <f>IF(M113=0,0,const*($T113/omega)*O113*(wz*(G113-U113)-wx*I113)/Z113)</f>
        <v>-3.358980239476403</v>
      </c>
      <c r="AC113" s="5">
        <f>IF(M113=0,0,const*($T113/omega)*O113*(wx*(H113-V113)-wy*(G113-U113))/Z113)</f>
        <v>20.437070449979856</v>
      </c>
      <c r="AD113" s="5">
        <f t="shared" si="54"/>
        <v>0</v>
      </c>
      <c r="AE113" s="5">
        <f t="shared" si="54"/>
        <v>-37.11900155524161</v>
      </c>
      <c r="AF113" s="5">
        <f t="shared" si="42"/>
        <v>-17.285633057281832</v>
      </c>
      <c r="AG113">
        <f t="shared" si="53"/>
        <v>0</v>
      </c>
    </row>
    <row r="114" spans="1:33" x14ac:dyDescent="0.2">
      <c r="A114">
        <f t="shared" si="43"/>
        <v>0.82000000000000051</v>
      </c>
      <c r="B114" s="5">
        <f t="shared" si="44"/>
        <v>0</v>
      </c>
      <c r="C114" s="5">
        <f t="shared" si="45"/>
        <v>173.28442940427092</v>
      </c>
      <c r="D114" s="5">
        <f t="shared" si="46"/>
        <v>31.598893449498153</v>
      </c>
      <c r="E114" s="2">
        <f t="shared" si="28"/>
        <v>57.761476468090308</v>
      </c>
      <c r="F114" s="2">
        <f t="shared" si="47"/>
        <v>0</v>
      </c>
      <c r="G114" s="3">
        <f t="shared" si="48"/>
        <v>0</v>
      </c>
      <c r="H114" s="3">
        <f t="shared" si="49"/>
        <v>194.29296680517643</v>
      </c>
      <c r="I114" s="3">
        <f t="shared" si="50"/>
        <v>31.821604798067479</v>
      </c>
      <c r="J114" s="2">
        <f t="shared" si="29"/>
        <v>196.88161793799284</v>
      </c>
      <c r="K114" s="2">
        <f t="shared" si="51"/>
        <v>134.20696519290581</v>
      </c>
      <c r="L114" s="5">
        <f t="shared" si="30"/>
        <v>17.774230768131837</v>
      </c>
      <c r="M114" s="3">
        <f t="shared" si="31"/>
        <v>20.996167171022108</v>
      </c>
      <c r="N114" s="2">
        <v>0</v>
      </c>
      <c r="O114" s="2">
        <f t="shared" si="32"/>
        <v>196.88161793799284</v>
      </c>
      <c r="P114" s="2">
        <f t="shared" si="33"/>
        <v>134.20696519290581</v>
      </c>
      <c r="Q114" s="5">
        <f t="shared" si="34"/>
        <v>1.6593126977140484</v>
      </c>
      <c r="R114" s="5">
        <f t="shared" si="35"/>
        <v>0.15473883704760971</v>
      </c>
      <c r="S114" s="4">
        <f t="shared" si="52"/>
        <v>0.1066436135121298</v>
      </c>
      <c r="T114" s="5">
        <f t="shared" si="36"/>
        <v>9.3709893650931048E-2</v>
      </c>
      <c r="U114" s="4">
        <f t="shared" si="37"/>
        <v>0</v>
      </c>
      <c r="V114" s="4">
        <f t="shared" si="38"/>
        <v>0</v>
      </c>
      <c r="W114" s="5">
        <f t="shared" si="39"/>
        <v>0</v>
      </c>
      <c r="X114" s="5">
        <f t="shared" si="40"/>
        <v>-33.635695835566409</v>
      </c>
      <c r="Y114" s="5">
        <f t="shared" si="41"/>
        <v>-5.5089066659868511</v>
      </c>
      <c r="Z114" s="5">
        <f>1</f>
        <v>1</v>
      </c>
      <c r="AA114" s="5">
        <f>IF(M114=0,0,const*($T114/omega)*O114*(wy*I114-wz*(H114-V114))/Z114)</f>
        <v>0</v>
      </c>
      <c r="AB114" s="5">
        <f>IF(M114=0,0,const*($T114/omega)*O114*(wz*(G114-U114)-wx*I114)/Z114)</f>
        <v>-3.3361957970751552</v>
      </c>
      <c r="AC114" s="5">
        <f>IF(M114=0,0,const*($T114/omega)*O114*(wx*(H114-V114)-wy*(G114-U114))/Z114)</f>
        <v>20.369789121887948</v>
      </c>
      <c r="AD114" s="5">
        <f t="shared" si="54"/>
        <v>0</v>
      </c>
      <c r="AE114" s="5">
        <f t="shared" si="54"/>
        <v>-36.971891632641565</v>
      </c>
      <c r="AF114" s="5">
        <f t="shared" si="42"/>
        <v>-17.313117544098901</v>
      </c>
      <c r="AG114">
        <f t="shared" si="53"/>
        <v>0</v>
      </c>
    </row>
    <row r="115" spans="1:33" x14ac:dyDescent="0.2">
      <c r="A115">
        <f t="shared" si="43"/>
        <v>0.83000000000000052</v>
      </c>
      <c r="B115" s="5">
        <f t="shared" si="44"/>
        <v>0</v>
      </c>
      <c r="C115" s="5">
        <f t="shared" si="45"/>
        <v>175.22551047774104</v>
      </c>
      <c r="D115" s="5">
        <f t="shared" si="46"/>
        <v>31.91624384160162</v>
      </c>
      <c r="E115" s="2">
        <f t="shared" si="28"/>
        <v>58.408503492580344</v>
      </c>
      <c r="F115" s="2">
        <f t="shared" si="47"/>
        <v>0</v>
      </c>
      <c r="G115" s="3">
        <f t="shared" si="48"/>
        <v>0</v>
      </c>
      <c r="H115" s="3">
        <f t="shared" si="49"/>
        <v>193.92324788885003</v>
      </c>
      <c r="I115" s="3">
        <f t="shared" si="50"/>
        <v>31.64847362262649</v>
      </c>
      <c r="J115" s="2">
        <f t="shared" si="29"/>
        <v>196.48880872559246</v>
      </c>
      <c r="K115" s="2">
        <f t="shared" si="51"/>
        <v>133.93920158527092</v>
      </c>
      <c r="L115" s="5">
        <f t="shared" si="30"/>
        <v>17.80976399587308</v>
      </c>
      <c r="M115" s="3">
        <f t="shared" si="31"/>
        <v>20.98631294070735</v>
      </c>
      <c r="N115" s="2">
        <v>0</v>
      </c>
      <c r="O115" s="2">
        <f t="shared" si="32"/>
        <v>196.48880872559246</v>
      </c>
      <c r="P115" s="2">
        <f t="shared" si="33"/>
        <v>133.93920158527092</v>
      </c>
      <c r="Q115" s="5">
        <f t="shared" si="34"/>
        <v>1.6560021128014424</v>
      </c>
      <c r="R115" s="5">
        <f t="shared" si="35"/>
        <v>0.15477286791939046</v>
      </c>
      <c r="S115" s="4">
        <f t="shared" si="52"/>
        <v>0.10680665772683218</v>
      </c>
      <c r="T115" s="5">
        <f t="shared" si="36"/>
        <v>9.3767175483046791E-2</v>
      </c>
      <c r="U115" s="4">
        <f t="shared" si="37"/>
        <v>0</v>
      </c>
      <c r="V115" s="4">
        <f t="shared" si="38"/>
        <v>0</v>
      </c>
      <c r="W115" s="5">
        <f t="shared" si="39"/>
        <v>0</v>
      </c>
      <c r="X115" s="5">
        <f t="shared" si="40"/>
        <v>-33.51207847739812</v>
      </c>
      <c r="Y115" s="5">
        <f t="shared" si="41"/>
        <v>-5.4692056949212473</v>
      </c>
      <c r="Z115" s="5">
        <f>1</f>
        <v>1</v>
      </c>
      <c r="AA115" s="5">
        <f>IF(M115=0,0,const*($T115/omega)*O115*(wy*I115-wz*(H115-V115))/Z115)</f>
        <v>0</v>
      </c>
      <c r="AB115" s="5">
        <f>IF(M115=0,0,const*($T115/omega)*O115*(wz*(G115-U115)-wx*I115)/Z115)</f>
        <v>-3.3134487784748874</v>
      </c>
      <c r="AC115" s="5">
        <f>IF(M115=0,0,const*($T115/omega)*O115*(wx*(H115-V115)-wy*(G115-U115))/Z115)</f>
        <v>20.302866940660618</v>
      </c>
      <c r="AD115" s="5">
        <f t="shared" si="54"/>
        <v>0</v>
      </c>
      <c r="AE115" s="5">
        <f t="shared" si="54"/>
        <v>-36.825527255873006</v>
      </c>
      <c r="AF115" s="5">
        <f t="shared" si="42"/>
        <v>-17.340338754260628</v>
      </c>
      <c r="AG115">
        <f t="shared" si="53"/>
        <v>0</v>
      </c>
    </row>
    <row r="116" spans="1:33" x14ac:dyDescent="0.2">
      <c r="A116">
        <f t="shared" si="43"/>
        <v>0.84000000000000052</v>
      </c>
      <c r="B116" s="5">
        <f t="shared" si="44"/>
        <v>0</v>
      </c>
      <c r="C116" s="5">
        <f t="shared" si="45"/>
        <v>177.16290168026674</v>
      </c>
      <c r="D116" s="5">
        <f t="shared" si="46"/>
        <v>32.231861560890174</v>
      </c>
      <c r="E116" s="2">
        <f t="shared" si="28"/>
        <v>59.054300560088912</v>
      </c>
      <c r="F116" s="2">
        <f t="shared" si="47"/>
        <v>0</v>
      </c>
      <c r="G116" s="3">
        <f t="shared" si="48"/>
        <v>0</v>
      </c>
      <c r="H116" s="3">
        <f t="shared" si="49"/>
        <v>193.55499261629129</v>
      </c>
      <c r="I116" s="3">
        <f t="shared" si="50"/>
        <v>31.475070235083884</v>
      </c>
      <c r="J116" s="2">
        <f t="shared" si="29"/>
        <v>196.09746355574322</v>
      </c>
      <c r="K116" s="2">
        <f t="shared" si="51"/>
        <v>133.67243596165181</v>
      </c>
      <c r="L116" s="5">
        <f t="shared" si="30"/>
        <v>17.845306348076726</v>
      </c>
      <c r="M116" s="3">
        <f t="shared" si="31"/>
        <v>20.976503055722851</v>
      </c>
      <c r="N116" s="2">
        <v>0</v>
      </c>
      <c r="O116" s="2">
        <f t="shared" si="32"/>
        <v>196.09746355574322</v>
      </c>
      <c r="P116" s="2">
        <f t="shared" si="33"/>
        <v>133.67243596165181</v>
      </c>
      <c r="Q116" s="5">
        <f t="shared" si="34"/>
        <v>1.6527038667979763</v>
      </c>
      <c r="R116" s="5">
        <f t="shared" si="35"/>
        <v>0.15480691563779211</v>
      </c>
      <c r="S116" s="4">
        <f t="shared" si="52"/>
        <v>0.10696978265483792</v>
      </c>
      <c r="T116" s="5">
        <f t="shared" si="36"/>
        <v>9.3824433191321555E-2</v>
      </c>
      <c r="U116" s="4">
        <f t="shared" si="37"/>
        <v>0</v>
      </c>
      <c r="V116" s="4">
        <f t="shared" si="38"/>
        <v>0</v>
      </c>
      <c r="W116" s="5">
        <f t="shared" si="39"/>
        <v>0</v>
      </c>
      <c r="X116" s="5">
        <f t="shared" si="40"/>
        <v>-33.389164414963126</v>
      </c>
      <c r="Y116" s="5">
        <f t="shared" si="41"/>
        <v>-5.429600553549724</v>
      </c>
      <c r="Z116" s="5">
        <f>1</f>
        <v>1</v>
      </c>
      <c r="AA116" s="5">
        <f>IF(M116=0,0,const*($T116/omega)*O116*(wy*I116-wz*(H116-V116))/Z116)</f>
        <v>0</v>
      </c>
      <c r="AB116" s="5">
        <f>IF(M116=0,0,const*($T116/omega)*O116*(wz*(G116-U116)-wx*I116)/Z116)</f>
        <v>-3.2907392560163156</v>
      </c>
      <c r="AC116" s="5">
        <f>IF(M116=0,0,const*($T116/omega)*O116*(wx*(H116-V116)-wy*(G116-U116))/Z116)</f>
        <v>20.236301544147466</v>
      </c>
      <c r="AD116" s="5">
        <f t="shared" si="54"/>
        <v>0</v>
      </c>
      <c r="AE116" s="5">
        <f t="shared" si="54"/>
        <v>-36.679903670979442</v>
      </c>
      <c r="AF116" s="5">
        <f t="shared" si="42"/>
        <v>-17.367299009402259</v>
      </c>
      <c r="AG116">
        <f t="shared" si="53"/>
        <v>0</v>
      </c>
    </row>
    <row r="117" spans="1:33" x14ac:dyDescent="0.2">
      <c r="A117">
        <f t="shared" si="43"/>
        <v>0.85000000000000053</v>
      </c>
      <c r="B117" s="5">
        <f t="shared" si="44"/>
        <v>0</v>
      </c>
      <c r="C117" s="5">
        <f t="shared" si="45"/>
        <v>179.0966176112461</v>
      </c>
      <c r="D117" s="5">
        <f t="shared" si="46"/>
        <v>32.545743898290539</v>
      </c>
      <c r="E117" s="2">
        <f t="shared" si="28"/>
        <v>59.698872537082032</v>
      </c>
      <c r="F117" s="2">
        <f t="shared" si="47"/>
        <v>0</v>
      </c>
      <c r="G117" s="3">
        <f t="shared" si="48"/>
        <v>0</v>
      </c>
      <c r="H117" s="3">
        <f t="shared" si="49"/>
        <v>193.18819357958148</v>
      </c>
      <c r="I117" s="3">
        <f t="shared" si="50"/>
        <v>31.301397244989861</v>
      </c>
      <c r="J117" s="2">
        <f t="shared" si="29"/>
        <v>195.70757677726866</v>
      </c>
      <c r="K117" s="2">
        <f t="shared" si="51"/>
        <v>133.40666446984912</v>
      </c>
      <c r="L117" s="5">
        <f t="shared" si="30"/>
        <v>17.88085759814847</v>
      </c>
      <c r="M117" s="3">
        <f t="shared" si="31"/>
        <v>20.966737223823245</v>
      </c>
      <c r="N117" s="2">
        <v>0</v>
      </c>
      <c r="O117" s="2">
        <f t="shared" si="32"/>
        <v>195.70757677726866</v>
      </c>
      <c r="P117" s="2">
        <f t="shared" si="33"/>
        <v>133.40666446984912</v>
      </c>
      <c r="Q117" s="5">
        <f t="shared" si="34"/>
        <v>1.6494179120756955</v>
      </c>
      <c r="R117" s="5">
        <f t="shared" si="35"/>
        <v>0.15484097987377532</v>
      </c>
      <c r="S117" s="4">
        <f t="shared" si="52"/>
        <v>0.1071329867196972</v>
      </c>
      <c r="T117" s="5">
        <f t="shared" si="36"/>
        <v>9.3881666273369177E-2</v>
      </c>
      <c r="U117" s="4">
        <f t="shared" si="37"/>
        <v>0</v>
      </c>
      <c r="V117" s="4">
        <f t="shared" si="38"/>
        <v>0</v>
      </c>
      <c r="W117" s="5">
        <f t="shared" si="39"/>
        <v>0</v>
      </c>
      <c r="X117" s="5">
        <f t="shared" si="40"/>
        <v>-33.266948863340424</v>
      </c>
      <c r="Y117" s="5">
        <f t="shared" si="41"/>
        <v>-5.3900911965990872</v>
      </c>
      <c r="Z117" s="5">
        <f>1</f>
        <v>1</v>
      </c>
      <c r="AA117" s="5">
        <f>IF(M117=0,0,const*($T117/omega)*O117*(wy*I117-wz*(H117-V117))/Z117)</f>
        <v>0</v>
      </c>
      <c r="AB117" s="5">
        <f>IF(M117=0,0,const*($T117/omega)*O117*(wz*(G117-U117)-wx*I117)/Z117)</f>
        <v>-3.2680672992036826</v>
      </c>
      <c r="AC117" s="5">
        <f>IF(M117=0,0,const*($T117/omega)*O117*(wx*(H117-V117)-wy*(G117-U117))/Z117)</f>
        <v>20.170090590148206</v>
      </c>
      <c r="AD117" s="5">
        <f t="shared" si="54"/>
        <v>0</v>
      </c>
      <c r="AE117" s="5">
        <f t="shared" si="54"/>
        <v>-36.53501616254411</v>
      </c>
      <c r="AF117" s="5">
        <f t="shared" si="42"/>
        <v>-17.394000606450881</v>
      </c>
      <c r="AG117">
        <f t="shared" si="53"/>
        <v>0</v>
      </c>
    </row>
    <row r="118" spans="1:33" x14ac:dyDescent="0.2">
      <c r="A118">
        <f t="shared" si="43"/>
        <v>0.86000000000000054</v>
      </c>
      <c r="B118" s="5">
        <f t="shared" si="44"/>
        <v>0</v>
      </c>
      <c r="C118" s="5">
        <f t="shared" si="45"/>
        <v>181.02667279623378</v>
      </c>
      <c r="D118" s="5">
        <f t="shared" si="46"/>
        <v>32.857888170710119</v>
      </c>
      <c r="E118" s="2">
        <f t="shared" si="28"/>
        <v>60.342224265411261</v>
      </c>
      <c r="F118" s="2">
        <f t="shared" si="47"/>
        <v>0</v>
      </c>
      <c r="G118" s="3">
        <f t="shared" si="48"/>
        <v>0</v>
      </c>
      <c r="H118" s="3">
        <f t="shared" si="49"/>
        <v>192.82284341795605</v>
      </c>
      <c r="I118" s="3">
        <f t="shared" si="50"/>
        <v>31.127457238925352</v>
      </c>
      <c r="J118" s="2">
        <f t="shared" si="29"/>
        <v>195.31914278417958</v>
      </c>
      <c r="K118" s="2">
        <f t="shared" si="51"/>
        <v>133.14188328846595</v>
      </c>
      <c r="L118" s="5">
        <f t="shared" si="30"/>
        <v>17.916417517251642</v>
      </c>
      <c r="M118" s="3">
        <f t="shared" si="31"/>
        <v>20.957015154597364</v>
      </c>
      <c r="N118" s="2">
        <v>0</v>
      </c>
      <c r="O118" s="2">
        <f t="shared" si="32"/>
        <v>195.31914278417958</v>
      </c>
      <c r="P118" s="2">
        <f t="shared" si="33"/>
        <v>133.14188328846595</v>
      </c>
      <c r="Q118" s="5">
        <f t="shared" si="34"/>
        <v>1.6461442013874812</v>
      </c>
      <c r="R118" s="5">
        <f t="shared" si="35"/>
        <v>0.15487506029564893</v>
      </c>
      <c r="S118" s="4">
        <f t="shared" si="52"/>
        <v>0.10729626833225503</v>
      </c>
      <c r="T118" s="5">
        <f t="shared" si="36"/>
        <v>9.3938874224206936E-2</v>
      </c>
      <c r="U118" s="4">
        <f t="shared" si="37"/>
        <v>0</v>
      </c>
      <c r="V118" s="4">
        <f t="shared" si="38"/>
        <v>0</v>
      </c>
      <c r="W118" s="5">
        <f t="shared" si="39"/>
        <v>0</v>
      </c>
      <c r="X118" s="5">
        <f t="shared" si="40"/>
        <v>-33.14542707856431</v>
      </c>
      <c r="Y118" s="5">
        <f t="shared" si="41"/>
        <v>-5.3506775741169887</v>
      </c>
      <c r="Z118" s="5">
        <f>1</f>
        <v>1</v>
      </c>
      <c r="AA118" s="5">
        <f>IF(M118=0,0,const*($T118/omega)*O118*(wy*I118-wz*(H118-V118))/Z118)</f>
        <v>0</v>
      </c>
      <c r="AB118" s="5">
        <f>IF(M118=0,0,const*($T118/omega)*O118*(wz*(G118-U118)-wx*I118)/Z118)</f>
        <v>-3.2454329747459121</v>
      </c>
      <c r="AC118" s="5">
        <f>IF(M118=0,0,const*($T118/omega)*O118*(wx*(H118-V118)-wy*(G118-U118))/Z118)</f>
        <v>20.104231756210979</v>
      </c>
      <c r="AD118" s="5">
        <f t="shared" si="54"/>
        <v>0</v>
      </c>
      <c r="AE118" s="5">
        <f t="shared" si="54"/>
        <v>-36.39086005331022</v>
      </c>
      <c r="AF118" s="5">
        <f t="shared" si="42"/>
        <v>-17.42044581790601</v>
      </c>
      <c r="AG118">
        <f t="shared" si="53"/>
        <v>0</v>
      </c>
    </row>
    <row r="119" spans="1:33" x14ac:dyDescent="0.2">
      <c r="A119">
        <f t="shared" si="43"/>
        <v>0.87000000000000055</v>
      </c>
      <c r="B119" s="5">
        <f t="shared" si="44"/>
        <v>0</v>
      </c>
      <c r="C119" s="5">
        <f t="shared" si="45"/>
        <v>182.9530816874107</v>
      </c>
      <c r="D119" s="5">
        <f t="shared" si="46"/>
        <v>33.168291720808476</v>
      </c>
      <c r="E119" s="2">
        <f t="shared" si="28"/>
        <v>60.984360562470236</v>
      </c>
      <c r="F119" s="2">
        <f t="shared" si="47"/>
        <v>0</v>
      </c>
      <c r="G119" s="3">
        <f t="shared" si="48"/>
        <v>0</v>
      </c>
      <c r="H119" s="3">
        <f t="shared" si="49"/>
        <v>192.45893481742294</v>
      </c>
      <c r="I119" s="3">
        <f t="shared" si="50"/>
        <v>30.953252780746293</v>
      </c>
      <c r="J119" s="2">
        <f t="shared" si="29"/>
        <v>194.93215601528092</v>
      </c>
      <c r="K119" s="2">
        <f t="shared" si="51"/>
        <v>132.87808862664002</v>
      </c>
      <c r="L119" s="5">
        <f t="shared" si="30"/>
        <v>17.951985874299396</v>
      </c>
      <c r="M119" s="3">
        <f t="shared" si="31"/>
        <v>20.947336559448736</v>
      </c>
      <c r="N119" s="2">
        <v>0</v>
      </c>
      <c r="O119" s="2">
        <f t="shared" si="32"/>
        <v>194.93215601528092</v>
      </c>
      <c r="P119" s="2">
        <f t="shared" si="33"/>
        <v>132.87808862664002</v>
      </c>
      <c r="Q119" s="5">
        <f t="shared" si="34"/>
        <v>1.6428826878637397</v>
      </c>
      <c r="R119" s="5">
        <f t="shared" si="35"/>
        <v>0.15490915656905765</v>
      </c>
      <c r="S119" s="4">
        <f t="shared" si="52"/>
        <v>0.1074596258905927</v>
      </c>
      <c r="T119" s="5">
        <f t="shared" si="36"/>
        <v>9.399605653624607E-2</v>
      </c>
      <c r="U119" s="4">
        <f t="shared" si="37"/>
        <v>0</v>
      </c>
      <c r="V119" s="4">
        <f t="shared" si="38"/>
        <v>0</v>
      </c>
      <c r="W119" s="5">
        <f t="shared" si="39"/>
        <v>0</v>
      </c>
      <c r="X119" s="5">
        <f t="shared" si="40"/>
        <v>-33.024594357208343</v>
      </c>
      <c r="Y119" s="5">
        <f t="shared" si="41"/>
        <v>-5.3113596315495037</v>
      </c>
      <c r="Z119" s="5">
        <f>1</f>
        <v>1</v>
      </c>
      <c r="AA119" s="5">
        <f>IF(M119=0,0,const*($T119/omega)*O119*(wy*I119-wz*(H119-V119))/Z119)</f>
        <v>0</v>
      </c>
      <c r="AB119" s="5">
        <f>IF(M119=0,0,const*($T119/omega)*O119*(wz*(G119-U119)-wx*I119)/Z119)</f>
        <v>-3.222836346597115</v>
      </c>
      <c r="AC119" s="5">
        <f>IF(M119=0,0,const*($T119/omega)*O119*(wx*(H119-V119)-wy*(G119-U119))/Z119)</f>
        <v>20.038722739432909</v>
      </c>
      <c r="AD119" s="5">
        <f t="shared" si="54"/>
        <v>0</v>
      </c>
      <c r="AE119" s="5">
        <f t="shared" si="54"/>
        <v>-36.247430703805456</v>
      </c>
      <c r="AF119" s="5">
        <f t="shared" si="42"/>
        <v>-17.446636892116594</v>
      </c>
      <c r="AG119">
        <f t="shared" si="53"/>
        <v>0</v>
      </c>
    </row>
    <row r="120" spans="1:33" x14ac:dyDescent="0.2">
      <c r="A120">
        <f t="shared" si="43"/>
        <v>0.88000000000000056</v>
      </c>
      <c r="B120" s="5">
        <f t="shared" si="44"/>
        <v>0</v>
      </c>
      <c r="C120" s="5">
        <f t="shared" si="45"/>
        <v>184.87585866404976</v>
      </c>
      <c r="D120" s="5">
        <f t="shared" si="46"/>
        <v>33.476951916771334</v>
      </c>
      <c r="E120" s="2">
        <f t="shared" si="28"/>
        <v>61.625286221349917</v>
      </c>
      <c r="F120" s="2">
        <f t="shared" si="47"/>
        <v>0</v>
      </c>
      <c r="G120" s="3">
        <f t="shared" si="48"/>
        <v>0</v>
      </c>
      <c r="H120" s="3">
        <f t="shared" si="49"/>
        <v>192.0964605103849</v>
      </c>
      <c r="I120" s="3">
        <f t="shared" si="50"/>
        <v>30.778786411825127</v>
      </c>
      <c r="J120" s="2">
        <f t="shared" si="29"/>
        <v>194.54661095378304</v>
      </c>
      <c r="K120" s="2">
        <f t="shared" si="51"/>
        <v>132.61527672377849</v>
      </c>
      <c r="L120" s="5">
        <f t="shared" si="30"/>
        <v>17.987562435946927</v>
      </c>
      <c r="M120" s="3">
        <f t="shared" si="31"/>
        <v>20.937701151576274</v>
      </c>
      <c r="N120" s="2">
        <v>0</v>
      </c>
      <c r="O120" s="2">
        <f t="shared" si="32"/>
        <v>194.54661095378304</v>
      </c>
      <c r="P120" s="2">
        <f t="shared" si="33"/>
        <v>132.61527672377849</v>
      </c>
      <c r="Q120" s="5">
        <f t="shared" si="34"/>
        <v>1.6396333250091242</v>
      </c>
      <c r="R120" s="5">
        <f t="shared" si="35"/>
        <v>0.15494326835697006</v>
      </c>
      <c r="S120" s="4">
        <f t="shared" si="52"/>
        <v>0.10762305777996968</v>
      </c>
      <c r="T120" s="5">
        <f t="shared" si="36"/>
        <v>9.4053212699282879E-2</v>
      </c>
      <c r="U120" s="4">
        <f t="shared" si="37"/>
        <v>0</v>
      </c>
      <c r="V120" s="4">
        <f t="shared" si="38"/>
        <v>0</v>
      </c>
      <c r="W120" s="5">
        <f t="shared" si="39"/>
        <v>0</v>
      </c>
      <c r="X120" s="5">
        <f t="shared" si="40"/>
        <v>-32.90444603597436</v>
      </c>
      <c r="Y120" s="5">
        <f t="shared" si="41"/>
        <v>-5.2721373098174817</v>
      </c>
      <c r="Z120" s="5">
        <f>1</f>
        <v>1</v>
      </c>
      <c r="AA120" s="5">
        <f>IF(M120=0,0,const*($T120/omega)*O120*(wy*I120-wz*(H120-V120))/Z120)</f>
        <v>0</v>
      </c>
      <c r="AB120" s="5">
        <f>IF(M120=0,0,const*($T120/omega)*O120*(wz*(G120-U120)-wx*I120)/Z120)</f>
        <v>-3.2002774759964745</v>
      </c>
      <c r="AC120" s="5">
        <f>IF(M120=0,0,const*($T120/omega)*O120*(wx*(H120-V120)-wy*(G120-U120))/Z120)</f>
        <v>19.973561256263213</v>
      </c>
      <c r="AD120" s="5">
        <f t="shared" si="54"/>
        <v>0</v>
      </c>
      <c r="AE120" s="5">
        <f t="shared" si="54"/>
        <v>-36.104723511970832</v>
      </c>
      <c r="AF120" s="5">
        <f t="shared" si="42"/>
        <v>-17.472576053554267</v>
      </c>
      <c r="AG120">
        <f t="shared" si="53"/>
        <v>0</v>
      </c>
    </row>
    <row r="121" spans="1:33" x14ac:dyDescent="0.2">
      <c r="A121">
        <f t="shared" si="43"/>
        <v>0.89000000000000057</v>
      </c>
      <c r="B121" s="5">
        <f t="shared" si="44"/>
        <v>0</v>
      </c>
      <c r="C121" s="5">
        <f t="shared" si="45"/>
        <v>186.79501803297802</v>
      </c>
      <c r="D121" s="5">
        <f t="shared" si="46"/>
        <v>33.783866152086908</v>
      </c>
      <c r="E121" s="2">
        <f t="shared" si="28"/>
        <v>62.265006010992671</v>
      </c>
      <c r="F121" s="2">
        <f t="shared" si="47"/>
        <v>0</v>
      </c>
      <c r="G121" s="3">
        <f t="shared" si="48"/>
        <v>0</v>
      </c>
      <c r="H121" s="3">
        <f t="shared" si="49"/>
        <v>191.73541327526519</v>
      </c>
      <c r="I121" s="3">
        <f t="shared" si="50"/>
        <v>30.604060651289583</v>
      </c>
      <c r="J121" s="2">
        <f t="shared" si="29"/>
        <v>194.16250212691571</v>
      </c>
      <c r="K121" s="2">
        <f t="shared" si="51"/>
        <v>132.35344384929496</v>
      </c>
      <c r="L121" s="5">
        <f t="shared" si="30"/>
        <v>18.023146966583838</v>
      </c>
      <c r="M121" s="3">
        <f t="shared" si="31"/>
        <v>20.928108645955195</v>
      </c>
      <c r="N121" s="2">
        <v>0</v>
      </c>
      <c r="O121" s="2">
        <f t="shared" si="32"/>
        <v>194.16250212691571</v>
      </c>
      <c r="P121" s="2">
        <f t="shared" si="33"/>
        <v>132.35344384929496</v>
      </c>
      <c r="Q121" s="5">
        <f t="shared" si="34"/>
        <v>1.6363960666992816</v>
      </c>
      <c r="R121" s="5">
        <f t="shared" si="35"/>
        <v>0.15497739531966656</v>
      </c>
      <c r="S121" s="4">
        <f t="shared" si="52"/>
        <v>0.10778656237276643</v>
      </c>
      <c r="T121" s="5">
        <f t="shared" si="36"/>
        <v>9.4110342200489666E-2</v>
      </c>
      <c r="U121" s="4">
        <f t="shared" si="37"/>
        <v>0</v>
      </c>
      <c r="V121" s="4">
        <f t="shared" si="38"/>
        <v>0</v>
      </c>
      <c r="W121" s="5">
        <f t="shared" si="39"/>
        <v>0</v>
      </c>
      <c r="X121" s="5">
        <f t="shared" si="40"/>
        <v>-32.784977491286085</v>
      </c>
      <c r="Y121" s="5">
        <f t="shared" si="41"/>
        <v>-5.2330105453916191</v>
      </c>
      <c r="Z121" s="5">
        <f>1</f>
        <v>1</v>
      </c>
      <c r="AA121" s="5">
        <f>IF(M121=0,0,const*($T121/omega)*O121*(wy*I121-wz*(H121-V121))/Z121)</f>
        <v>0</v>
      </c>
      <c r="AB121" s="5">
        <f>IF(M121=0,0,const*($T121/omega)*O121*(wz*(G121-U121)-wx*I121)/Z121)</f>
        <v>-3.1777564215074978</v>
      </c>
      <c r="AC121" s="5">
        <f>IF(M121=0,0,const*($T121/omega)*O121*(wx*(H121-V121)-wy*(G121-U121))/Z121)</f>
        <v>19.908745042308425</v>
      </c>
      <c r="AD121" s="5">
        <f t="shared" si="54"/>
        <v>0</v>
      </c>
      <c r="AE121" s="5">
        <f t="shared" si="54"/>
        <v>-35.962733912793581</v>
      </c>
      <c r="AF121" s="5">
        <f t="shared" si="42"/>
        <v>-17.498265503083193</v>
      </c>
      <c r="AG121">
        <f t="shared" si="53"/>
        <v>0</v>
      </c>
    </row>
    <row r="122" spans="1:33" x14ac:dyDescent="0.2">
      <c r="A122">
        <f t="shared" si="43"/>
        <v>0.90000000000000058</v>
      </c>
      <c r="B122" s="5">
        <f t="shared" si="44"/>
        <v>0</v>
      </c>
      <c r="C122" s="5">
        <f t="shared" si="45"/>
        <v>188.71057402903503</v>
      </c>
      <c r="D122" s="5">
        <f t="shared" si="46"/>
        <v>34.089031845324648</v>
      </c>
      <c r="E122" s="2">
        <f t="shared" si="28"/>
        <v>62.903524676345008</v>
      </c>
      <c r="F122" s="2">
        <f t="shared" si="47"/>
        <v>0</v>
      </c>
      <c r="G122" s="3">
        <f t="shared" si="48"/>
        <v>0</v>
      </c>
      <c r="H122" s="3">
        <f t="shared" si="49"/>
        <v>191.37578593613725</v>
      </c>
      <c r="I122" s="3">
        <f t="shared" si="50"/>
        <v>30.429077996258751</v>
      </c>
      <c r="J122" s="2">
        <f t="shared" si="29"/>
        <v>193.77982410554671</v>
      </c>
      <c r="K122" s="2">
        <f t="shared" si="51"/>
        <v>132.09258630234947</v>
      </c>
      <c r="L122" s="5">
        <f t="shared" si="30"/>
        <v>18.058739228326516</v>
      </c>
      <c r="M122" s="3">
        <f t="shared" si="31"/>
        <v>20.918558759318181</v>
      </c>
      <c r="N122" s="2">
        <v>0</v>
      </c>
      <c r="O122" s="2">
        <f t="shared" si="32"/>
        <v>193.77982410554671</v>
      </c>
      <c r="P122" s="2">
        <f t="shared" si="33"/>
        <v>132.09258630234947</v>
      </c>
      <c r="Q122" s="5">
        <f t="shared" si="34"/>
        <v>1.6331708671776395</v>
      </c>
      <c r="R122" s="5">
        <f t="shared" si="35"/>
        <v>0.15501153711472759</v>
      </c>
      <c r="S122" s="4">
        <f t="shared" si="52"/>
        <v>0.10795013802842755</v>
      </c>
      <c r="T122" s="5">
        <f t="shared" si="36"/>
        <v>9.4167444524406202E-2</v>
      </c>
      <c r="U122" s="4">
        <f t="shared" si="37"/>
        <v>0</v>
      </c>
      <c r="V122" s="4">
        <f t="shared" si="38"/>
        <v>0</v>
      </c>
      <c r="W122" s="5">
        <f t="shared" si="39"/>
        <v>0</v>
      </c>
      <c r="X122" s="5">
        <f t="shared" si="40"/>
        <v>-32.666184138887722</v>
      </c>
      <c r="Y122" s="5">
        <f t="shared" si="41"/>
        <v>-5.1939792703663503</v>
      </c>
      <c r="Z122" s="5">
        <f>1</f>
        <v>1</v>
      </c>
      <c r="AA122" s="5">
        <f>IF(M122=0,0,const*($T122/omega)*O122*(wy*I122-wz*(H122-V122))/Z122)</f>
        <v>0</v>
      </c>
      <c r="AB122" s="5">
        <f>IF(M122=0,0,const*($T122/omega)*O122*(wz*(G122-U122)-wx*I122)/Z122)</f>
        <v>-3.1552732390566649</v>
      </c>
      <c r="AC122" s="5">
        <f>IF(M122=0,0,const*($T122/omega)*O122*(wx*(H122-V122)-wy*(G122-U122))/Z122)</f>
        <v>19.844271852140018</v>
      </c>
      <c r="AD122" s="5">
        <f t="shared" si="54"/>
        <v>0</v>
      </c>
      <c r="AE122" s="5">
        <f t="shared" si="54"/>
        <v>-35.821457377944384</v>
      </c>
      <c r="AF122" s="5">
        <f t="shared" si="42"/>
        <v>-17.52370741822633</v>
      </c>
      <c r="AG122">
        <f t="shared" si="53"/>
        <v>0</v>
      </c>
    </row>
    <row r="123" spans="1:33" x14ac:dyDescent="0.2">
      <c r="A123">
        <f t="shared" si="43"/>
        <v>0.91000000000000059</v>
      </c>
      <c r="B123" s="5">
        <f t="shared" si="44"/>
        <v>0</v>
      </c>
      <c r="C123" s="5">
        <f t="shared" si="45"/>
        <v>190.62254081552751</v>
      </c>
      <c r="D123" s="5">
        <f t="shared" si="46"/>
        <v>34.39244643991632</v>
      </c>
      <c r="E123" s="2">
        <f t="shared" si="28"/>
        <v>63.540846938509169</v>
      </c>
      <c r="F123" s="2">
        <f t="shared" si="47"/>
        <v>0</v>
      </c>
      <c r="G123" s="3">
        <f t="shared" si="48"/>
        <v>0</v>
      </c>
      <c r="H123" s="3">
        <f t="shared" si="49"/>
        <v>191.01757136235781</v>
      </c>
      <c r="I123" s="3">
        <f t="shared" si="50"/>
        <v>30.253840922076488</v>
      </c>
      <c r="J123" s="2">
        <f t="shared" si="29"/>
        <v>193.39857150380342</v>
      </c>
      <c r="K123" s="2">
        <f t="shared" si="51"/>
        <v>131.83270041159059</v>
      </c>
      <c r="L123" s="5">
        <f t="shared" si="30"/>
        <v>18.094338981010665</v>
      </c>
      <c r="M123" s="3">
        <f t="shared" si="31"/>
        <v>20.909051210136735</v>
      </c>
      <c r="N123" s="2">
        <v>0</v>
      </c>
      <c r="O123" s="2">
        <f t="shared" si="32"/>
        <v>193.39857150380342</v>
      </c>
      <c r="P123" s="2">
        <f t="shared" si="33"/>
        <v>131.83270041159059</v>
      </c>
      <c r="Q123" s="5">
        <f t="shared" si="34"/>
        <v>1.6299576810522167</v>
      </c>
      <c r="R123" s="5">
        <f t="shared" si="35"/>
        <v>0.15504569339702187</v>
      </c>
      <c r="S123" s="4">
        <f t="shared" si="52"/>
        <v>0.1081137830934058</v>
      </c>
      <c r="T123" s="5">
        <f t="shared" si="36"/>
        <v>9.4224519152931147E-2</v>
      </c>
      <c r="U123" s="4">
        <f t="shared" si="37"/>
        <v>0</v>
      </c>
      <c r="V123" s="4">
        <f t="shared" si="38"/>
        <v>0</v>
      </c>
      <c r="W123" s="5">
        <f t="shared" si="39"/>
        <v>0</v>
      </c>
      <c r="X123" s="5">
        <f t="shared" si="40"/>
        <v>-32.548061433447046</v>
      </c>
      <c r="Y123" s="5">
        <f t="shared" si="41"/>
        <v>-5.1550434125325015</v>
      </c>
      <c r="Z123" s="5">
        <f>1</f>
        <v>1</v>
      </c>
      <c r="AA123" s="5">
        <f>IF(M123=0,0,const*($T123/omega)*O123*(wy*I123-wz*(H123-V123))/Z123)</f>
        <v>0</v>
      </c>
      <c r="AB123" s="5">
        <f>IF(M123=0,0,const*($T123/omega)*O123*(wz*(G123-U123)-wx*I123)/Z123)</f>
        <v>-3.1328279819714764</v>
      </c>
      <c r="AC123" s="5">
        <f>IF(M123=0,0,const*($T123/omega)*O123*(wx*(H123-V123)-wy*(G123-U123))/Z123)</f>
        <v>19.780139459104245</v>
      </c>
      <c r="AD123" s="5">
        <f t="shared" si="54"/>
        <v>0</v>
      </c>
      <c r="AE123" s="5">
        <f t="shared" si="54"/>
        <v>-35.68088941541852</v>
      </c>
      <c r="AF123" s="5">
        <f t="shared" si="42"/>
        <v>-17.548903953428258</v>
      </c>
      <c r="AG123">
        <f t="shared" si="53"/>
        <v>0</v>
      </c>
    </row>
    <row r="124" spans="1:33" x14ac:dyDescent="0.2">
      <c r="A124">
        <f t="shared" si="43"/>
        <v>0.9200000000000006</v>
      </c>
      <c r="B124" s="5">
        <f t="shared" si="44"/>
        <v>0</v>
      </c>
      <c r="C124" s="5">
        <f t="shared" si="45"/>
        <v>192.53093248468031</v>
      </c>
      <c r="D124" s="5">
        <f t="shared" si="46"/>
        <v>34.694107403939412</v>
      </c>
      <c r="E124" s="2">
        <f t="shared" si="28"/>
        <v>64.176977494893436</v>
      </c>
      <c r="F124" s="2">
        <f t="shared" si="47"/>
        <v>0</v>
      </c>
      <c r="G124" s="3">
        <f t="shared" si="48"/>
        <v>0</v>
      </c>
      <c r="H124" s="3">
        <f t="shared" si="49"/>
        <v>190.66076246820361</v>
      </c>
      <c r="I124" s="3">
        <f t="shared" si="50"/>
        <v>30.078351882542204</v>
      </c>
      <c r="J124" s="2">
        <f t="shared" si="29"/>
        <v>193.01873897869811</v>
      </c>
      <c r="K124" s="2">
        <f t="shared" si="51"/>
        <v>131.57378253489986</v>
      </c>
      <c r="L124" s="5">
        <f t="shared" si="30"/>
        <v>18.129945982183891</v>
      </c>
      <c r="M124" s="3">
        <f t="shared" si="31"/>
        <v>20.899585718602772</v>
      </c>
      <c r="N124" s="2">
        <v>0</v>
      </c>
      <c r="O124" s="2">
        <f t="shared" si="32"/>
        <v>193.01873897869811</v>
      </c>
      <c r="P124" s="2">
        <f t="shared" si="33"/>
        <v>131.57378253489986</v>
      </c>
      <c r="Q124" s="5">
        <f t="shared" si="34"/>
        <v>1.6267564632924638</v>
      </c>
      <c r="R124" s="5">
        <f t="shared" si="35"/>
        <v>0.15507986381869493</v>
      </c>
      <c r="S124" s="4">
        <f t="shared" si="52"/>
        <v>0.10827749590110672</v>
      </c>
      <c r="T124" s="5">
        <f t="shared" si="36"/>
        <v>9.4281565565313946E-2</v>
      </c>
      <c r="U124" s="4">
        <f t="shared" si="37"/>
        <v>0</v>
      </c>
      <c r="V124" s="4">
        <f t="shared" si="38"/>
        <v>0</v>
      </c>
      <c r="W124" s="5">
        <f t="shared" si="39"/>
        <v>0</v>
      </c>
      <c r="X124" s="5">
        <f t="shared" si="40"/>
        <v>-32.430604868163243</v>
      </c>
      <c r="Y124" s="5">
        <f t="shared" si="41"/>
        <v>-5.1162028954488052</v>
      </c>
      <c r="Z124" s="5">
        <f>1</f>
        <v>1</v>
      </c>
      <c r="AA124" s="5">
        <f>IF(M124=0,0,const*($T124/omega)*O124*(wy*I124-wz*(H124-V124))/Z124)</f>
        <v>0</v>
      </c>
      <c r="AB124" s="5">
        <f>IF(M124=0,0,const*($T124/omega)*O124*(wz*(G124-U124)-wx*I124)/Z124)</f>
        <v>-3.1104207010179001</v>
      </c>
      <c r="AC124" s="5">
        <f>IF(M124=0,0,const*($T124/omega)*O124*(wx*(H124-V124)-wy*(G124-U124))/Z124)</f>
        <v>19.716345655134159</v>
      </c>
      <c r="AD124" s="5">
        <f t="shared" si="54"/>
        <v>0</v>
      </c>
      <c r="AE124" s="5">
        <f t="shared" si="54"/>
        <v>-35.541025569181144</v>
      </c>
      <c r="AF124" s="5">
        <f t="shared" si="42"/>
        <v>-17.573857240314645</v>
      </c>
      <c r="AG124">
        <f t="shared" si="53"/>
        <v>0</v>
      </c>
    </row>
    <row r="125" spans="1:33" x14ac:dyDescent="0.2">
      <c r="A125">
        <f t="shared" si="43"/>
        <v>0.9300000000000006</v>
      </c>
      <c r="B125" s="5">
        <f t="shared" si="44"/>
        <v>0</v>
      </c>
      <c r="C125" s="5">
        <f t="shared" si="45"/>
        <v>194.43576305808389</v>
      </c>
      <c r="D125" s="5">
        <f t="shared" si="46"/>
        <v>34.994012229902815</v>
      </c>
      <c r="E125" s="2">
        <f t="shared" si="28"/>
        <v>64.811921019361293</v>
      </c>
      <c r="F125" s="2">
        <f t="shared" si="47"/>
        <v>0</v>
      </c>
      <c r="G125" s="3">
        <f t="shared" si="48"/>
        <v>0</v>
      </c>
      <c r="H125" s="3">
        <f t="shared" si="49"/>
        <v>190.30535221251179</v>
      </c>
      <c r="I125" s="3">
        <f t="shared" si="50"/>
        <v>29.902613310139056</v>
      </c>
      <c r="J125" s="2">
        <f t="shared" si="29"/>
        <v>192.64032122975675</v>
      </c>
      <c r="K125" s="2">
        <f t="shared" si="51"/>
        <v>131.31582905913888</v>
      </c>
      <c r="L125" s="5">
        <f t="shared" si="30"/>
        <v>18.165559987098383</v>
      </c>
      <c r="M125" s="3">
        <f t="shared" si="31"/>
        <v>20.890162006610428</v>
      </c>
      <c r="N125" s="2">
        <v>0</v>
      </c>
      <c r="O125" s="2">
        <f t="shared" si="32"/>
        <v>192.64032122975675</v>
      </c>
      <c r="P125" s="2">
        <f t="shared" si="33"/>
        <v>131.31582905913888</v>
      </c>
      <c r="Q125" s="5">
        <f t="shared" si="34"/>
        <v>1.6235671692261355</v>
      </c>
      <c r="R125" s="5">
        <f t="shared" si="35"/>
        <v>0.15511404802915765</v>
      </c>
      <c r="S125" s="4">
        <f t="shared" si="52"/>
        <v>0.10844127477183405</v>
      </c>
      <c r="T125" s="5">
        <f t="shared" si="36"/>
        <v>9.4338583238146839E-2</v>
      </c>
      <c r="U125" s="4">
        <f t="shared" si="37"/>
        <v>0</v>
      </c>
      <c r="V125" s="4">
        <f t="shared" si="38"/>
        <v>0</v>
      </c>
      <c r="W125" s="5">
        <f t="shared" si="39"/>
        <v>0</v>
      </c>
      <c r="X125" s="5">
        <f t="shared" si="40"/>
        <v>-32.313809974379261</v>
      </c>
      <c r="Y125" s="5">
        <f t="shared" si="41"/>
        <v>-5.0774576385122261</v>
      </c>
      <c r="Z125" s="5">
        <f>1</f>
        <v>1</v>
      </c>
      <c r="AA125" s="5">
        <f>IF(M125=0,0,const*($T125/omega)*O125*(wy*I125-wz*(H125-V125))/Z125)</f>
        <v>0</v>
      </c>
      <c r="AB125" s="5">
        <f>IF(M125=0,0,const*($T125/omega)*O125*(wz*(G125-U125)-wx*I125)/Z125)</f>
        <v>-3.0880514444372551</v>
      </c>
      <c r="AC125" s="5">
        <f>IF(M125=0,0,const*($T125/omega)*O125*(wx*(H125-V125)-wy*(G125-U125))/Z125)</f>
        <v>19.652888250563901</v>
      </c>
      <c r="AD125" s="5">
        <f t="shared" si="54"/>
        <v>0</v>
      </c>
      <c r="AE125" s="5">
        <f t="shared" si="54"/>
        <v>-35.401861418816516</v>
      </c>
      <c r="AF125" s="5">
        <f t="shared" si="42"/>
        <v>-17.598569387948324</v>
      </c>
      <c r="AG125">
        <f t="shared" si="53"/>
        <v>0</v>
      </c>
    </row>
    <row r="126" spans="1:33" x14ac:dyDescent="0.2">
      <c r="A126">
        <f t="shared" si="43"/>
        <v>0.94000000000000061</v>
      </c>
      <c r="B126" s="5">
        <f t="shared" si="44"/>
        <v>0</v>
      </c>
      <c r="C126" s="5">
        <f t="shared" si="45"/>
        <v>196.33704648713805</v>
      </c>
      <c r="D126" s="5">
        <f t="shared" si="46"/>
        <v>35.292158434534812</v>
      </c>
      <c r="E126" s="2">
        <f t="shared" si="28"/>
        <v>65.445682162379356</v>
      </c>
      <c r="F126" s="2">
        <f t="shared" si="47"/>
        <v>0</v>
      </c>
      <c r="G126" s="3">
        <f t="shared" si="48"/>
        <v>0</v>
      </c>
      <c r="H126" s="3">
        <f t="shared" si="49"/>
        <v>189.95133359832363</v>
      </c>
      <c r="I126" s="3">
        <f t="shared" si="50"/>
        <v>29.726627616259574</v>
      </c>
      <c r="J126" s="2">
        <f t="shared" si="29"/>
        <v>192.2633129986514</v>
      </c>
      <c r="K126" s="2">
        <f t="shared" si="51"/>
        <v>131.05883639989869</v>
      </c>
      <c r="L126" s="5">
        <f t="shared" si="30"/>
        <v>18.201180748703706</v>
      </c>
      <c r="M126" s="3">
        <f t="shared" si="31"/>
        <v>20.880779797738064</v>
      </c>
      <c r="N126" s="2">
        <v>0</v>
      </c>
      <c r="O126" s="2">
        <f t="shared" si="32"/>
        <v>192.2633129986514</v>
      </c>
      <c r="P126" s="2">
        <f t="shared" si="33"/>
        <v>131.05883639989869</v>
      </c>
      <c r="Q126" s="5">
        <f t="shared" si="34"/>
        <v>1.6203897545361932</v>
      </c>
      <c r="R126" s="5">
        <f t="shared" si="35"/>
        <v>0.15514824567507499</v>
      </c>
      <c r="S126" s="4">
        <f t="shared" si="52"/>
        <v>0.10860511801273563</v>
      </c>
      <c r="T126" s="5">
        <f t="shared" si="36"/>
        <v>9.4395571645357126E-2</v>
      </c>
      <c r="U126" s="4">
        <f t="shared" si="37"/>
        <v>0</v>
      </c>
      <c r="V126" s="4">
        <f t="shared" si="38"/>
        <v>0</v>
      </c>
      <c r="W126" s="5">
        <f t="shared" si="39"/>
        <v>0</v>
      </c>
      <c r="X126" s="5">
        <f t="shared" si="40"/>
        <v>-32.197672321198674</v>
      </c>
      <c r="Y126" s="5">
        <f t="shared" si="41"/>
        <v>-5.0388075570271642</v>
      </c>
      <c r="Z126" s="5">
        <f>1</f>
        <v>1</v>
      </c>
      <c r="AA126" s="5">
        <f>IF(M126=0,0,const*($T126/omega)*O126*(wy*I126-wz*(H126-V126))/Z126)</f>
        <v>0</v>
      </c>
      <c r="AB126" s="5">
        <f>IF(M126=0,0,const*($T126/omega)*O126*(wz*(G126-U126)-wx*I126)/Z126)</f>
        <v>-3.0657202579825089</v>
      </c>
      <c r="AC126" s="5">
        <f>IF(M126=0,0,const*($T126/omega)*O126*(wx*(H126-V126)-wy*(G126-U126))/Z126)</f>
        <v>19.589765073945124</v>
      </c>
      <c r="AD126" s="5">
        <f t="shared" si="54"/>
        <v>0</v>
      </c>
      <c r="AE126" s="5">
        <f t="shared" si="54"/>
        <v>-35.263392579181186</v>
      </c>
      <c r="AF126" s="5">
        <f t="shared" si="42"/>
        <v>-17.623042483082038</v>
      </c>
      <c r="AG126">
        <f t="shared" si="53"/>
        <v>0</v>
      </c>
    </row>
    <row r="127" spans="1:33" x14ac:dyDescent="0.2">
      <c r="A127">
        <f t="shared" si="43"/>
        <v>0.95000000000000062</v>
      </c>
      <c r="B127" s="5">
        <f t="shared" si="44"/>
        <v>0</v>
      </c>
      <c r="C127" s="5">
        <f t="shared" si="45"/>
        <v>198.23479665349234</v>
      </c>
      <c r="D127" s="5">
        <f t="shared" si="46"/>
        <v>35.588543558573257</v>
      </c>
      <c r="E127" s="2">
        <f t="shared" si="28"/>
        <v>66.078265551164108</v>
      </c>
      <c r="F127" s="2">
        <f t="shared" si="47"/>
        <v>0</v>
      </c>
      <c r="G127" s="3">
        <f t="shared" si="48"/>
        <v>0</v>
      </c>
      <c r="H127" s="3">
        <f t="shared" si="49"/>
        <v>189.59869967253181</v>
      </c>
      <c r="I127" s="3">
        <f t="shared" si="50"/>
        <v>29.550397191428754</v>
      </c>
      <c r="J127" s="2">
        <f t="shared" si="29"/>
        <v>191.88770906883565</v>
      </c>
      <c r="K127" s="2">
        <f t="shared" si="51"/>
        <v>130.80280100125128</v>
      </c>
      <c r="L127" s="5">
        <f t="shared" si="30"/>
        <v>18.236808017639664</v>
      </c>
      <c r="M127" s="3">
        <f t="shared" si="31"/>
        <v>20.871438817230501</v>
      </c>
      <c r="N127" s="2">
        <v>0</v>
      </c>
      <c r="O127" s="2">
        <f t="shared" si="32"/>
        <v>191.88770906883565</v>
      </c>
      <c r="P127" s="2">
        <f t="shared" si="33"/>
        <v>130.80280100125128</v>
      </c>
      <c r="Q127" s="5">
        <f t="shared" si="34"/>
        <v>1.617224175257731</v>
      </c>
      <c r="R127" s="5">
        <f t="shared" si="35"/>
        <v>0.15518245640035488</v>
      </c>
      <c r="S127" s="4">
        <f t="shared" si="52"/>
        <v>0.10876902391775033</v>
      </c>
      <c r="T127" s="5">
        <f t="shared" si="36"/>
        <v>9.445253025819958E-2</v>
      </c>
      <c r="U127" s="4">
        <f t="shared" si="37"/>
        <v>0</v>
      </c>
      <c r="V127" s="4">
        <f t="shared" si="38"/>
        <v>0</v>
      </c>
      <c r="W127" s="5">
        <f t="shared" si="39"/>
        <v>0</v>
      </c>
      <c r="X127" s="5">
        <f t="shared" si="40"/>
        <v>-32.082187515106952</v>
      </c>
      <c r="Y127" s="5">
        <f t="shared" si="41"/>
        <v>-5.0002525622735323</v>
      </c>
      <c r="Z127" s="5">
        <f>1</f>
        <v>1</v>
      </c>
      <c r="AA127" s="5">
        <f>IF(M127=0,0,const*($T127/omega)*O127*(wy*I127-wz*(H127-V127))/Z127)</f>
        <v>0</v>
      </c>
      <c r="AB127" s="5">
        <f>IF(M127=0,0,const*($T127/omega)*O127*(wz*(G127-U127)-wx*I127)/Z127)</f>
        <v>-3.043427184954012</v>
      </c>
      <c r="AC127" s="5">
        <f>IF(M127=0,0,const*($T127/omega)*O127*(wx*(H127-V127)-wy*(G127-U127))/Z127)</f>
        <v>19.526973971865431</v>
      </c>
      <c r="AD127" s="5">
        <f t="shared" si="54"/>
        <v>0</v>
      </c>
      <c r="AE127" s="5">
        <f t="shared" si="54"/>
        <v>-35.125614700060964</v>
      </c>
      <c r="AF127" s="5">
        <f t="shared" si="42"/>
        <v>-17.647278590408099</v>
      </c>
      <c r="AG127">
        <f t="shared" si="53"/>
        <v>0</v>
      </c>
    </row>
    <row r="128" spans="1:33" x14ac:dyDescent="0.2">
      <c r="A128">
        <f t="shared" si="43"/>
        <v>0.96000000000000063</v>
      </c>
      <c r="B128" s="5">
        <f t="shared" si="44"/>
        <v>0</v>
      </c>
      <c r="C128" s="5">
        <f t="shared" si="45"/>
        <v>200.12902736948266</v>
      </c>
      <c r="D128" s="5">
        <f t="shared" si="46"/>
        <v>35.883165166558022</v>
      </c>
      <c r="E128" s="2">
        <f t="shared" si="28"/>
        <v>66.709675789827557</v>
      </c>
      <c r="F128" s="2">
        <f t="shared" si="47"/>
        <v>0</v>
      </c>
      <c r="G128" s="3">
        <f t="shared" si="48"/>
        <v>0</v>
      </c>
      <c r="H128" s="3">
        <f t="shared" si="49"/>
        <v>189.2474435255312</v>
      </c>
      <c r="I128" s="3">
        <f t="shared" si="50"/>
        <v>29.373924405524672</v>
      </c>
      <c r="J128" s="2">
        <f t="shared" si="29"/>
        <v>191.51350426518385</v>
      </c>
      <c r="K128" s="2">
        <f t="shared" si="51"/>
        <v>130.54771933550364</v>
      </c>
      <c r="L128" s="5">
        <f t="shared" si="30"/>
        <v>18.272441542229274</v>
      </c>
      <c r="M128" s="3">
        <f t="shared" si="31"/>
        <v>20.862138791981444</v>
      </c>
      <c r="N128" s="2">
        <v>0</v>
      </c>
      <c r="O128" s="2">
        <f t="shared" si="32"/>
        <v>191.51350426518385</v>
      </c>
      <c r="P128" s="2">
        <f t="shared" si="33"/>
        <v>130.54771933550364</v>
      </c>
      <c r="Q128" s="5">
        <f t="shared" si="34"/>
        <v>1.6140703877749374</v>
      </c>
      <c r="R128" s="5">
        <f t="shared" si="35"/>
        <v>0.15521667984613732</v>
      </c>
      <c r="S128" s="4">
        <f t="shared" si="52"/>
        <v>0.10893299076755535</v>
      </c>
      <c r="T128" s="5">
        <f t="shared" si="36"/>
        <v>9.4509458545249253E-2</v>
      </c>
      <c r="U128" s="4">
        <f t="shared" si="37"/>
        <v>0</v>
      </c>
      <c r="V128" s="4">
        <f t="shared" si="38"/>
        <v>0</v>
      </c>
      <c r="W128" s="5">
        <f t="shared" si="39"/>
        <v>0</v>
      </c>
      <c r="X128" s="5">
        <f t="shared" si="40"/>
        <v>-31.967351199597239</v>
      </c>
      <c r="Y128" s="5">
        <f t="shared" si="41"/>
        <v>-4.961792561573743</v>
      </c>
      <c r="Z128" s="5">
        <f>1</f>
        <v>1</v>
      </c>
      <c r="AA128" s="5">
        <f>IF(M128=0,0,const*($T128/omega)*O128*(wy*I128-wz*(H128-V128))/Z128)</f>
        <v>0</v>
      </c>
      <c r="AB128" s="5">
        <f>IF(M128=0,0,const*($T128/omega)*O128*(wz*(G128-U128)-wx*I128)/Z128)</f>
        <v>-3.0211722662346943</v>
      </c>
      <c r="AC128" s="5">
        <f>IF(M128=0,0,const*($T128/omega)*O128*(wx*(H128-V128)-wy*(G128-U128))/Z128)</f>
        <v>19.46451280876914</v>
      </c>
      <c r="AD128" s="5">
        <f t="shared" si="54"/>
        <v>0</v>
      </c>
      <c r="AE128" s="5">
        <f t="shared" si="54"/>
        <v>-34.988523465831932</v>
      </c>
      <c r="AF128" s="5">
        <f t="shared" si="42"/>
        <v>-17.671279752804601</v>
      </c>
      <c r="AG128">
        <f t="shared" si="53"/>
        <v>0</v>
      </c>
    </row>
    <row r="129" spans="1:33" x14ac:dyDescent="0.2">
      <c r="A129">
        <f t="shared" si="43"/>
        <v>0.97000000000000064</v>
      </c>
      <c r="B129" s="5">
        <f t="shared" si="44"/>
        <v>0</v>
      </c>
      <c r="C129" s="5">
        <f t="shared" si="45"/>
        <v>202.01975237856468</v>
      </c>
      <c r="D129" s="5">
        <f t="shared" si="46"/>
        <v>36.176020846625626</v>
      </c>
      <c r="E129" s="2">
        <f t="shared" si="28"/>
        <v>67.339917459521558</v>
      </c>
      <c r="F129" s="2">
        <f t="shared" si="47"/>
        <v>0</v>
      </c>
      <c r="G129" s="3">
        <f t="shared" si="48"/>
        <v>0</v>
      </c>
      <c r="H129" s="3">
        <f t="shared" si="49"/>
        <v>188.89755829087287</v>
      </c>
      <c r="I129" s="3">
        <f t="shared" si="50"/>
        <v>29.197211607996625</v>
      </c>
      <c r="J129" s="2">
        <f t="shared" si="29"/>
        <v>191.14069345363339</v>
      </c>
      <c r="K129" s="2">
        <f t="shared" si="51"/>
        <v>130.2935879029539</v>
      </c>
      <c r="L129" s="5">
        <f t="shared" si="30"/>
        <v>18.308081068471861</v>
      </c>
      <c r="M129" s="3">
        <f t="shared" si="31"/>
        <v>20.85287945051612</v>
      </c>
      <c r="N129" s="2">
        <v>0</v>
      </c>
      <c r="O129" s="2">
        <f t="shared" si="32"/>
        <v>191.14069345363339</v>
      </c>
      <c r="P129" s="2">
        <f t="shared" si="33"/>
        <v>130.2935879029539</v>
      </c>
      <c r="Q129" s="5">
        <f t="shared" si="34"/>
        <v>1.6109283488180774</v>
      </c>
      <c r="R129" s="5">
        <f t="shared" si="35"/>
        <v>0.15525091565078347</v>
      </c>
      <c r="S129" s="4">
        <f t="shared" si="52"/>
        <v>0.10909701682951453</v>
      </c>
      <c r="T129" s="5">
        <f t="shared" si="36"/>
        <v>9.4566355972394434E-2</v>
      </c>
      <c r="U129" s="4">
        <f t="shared" si="37"/>
        <v>0</v>
      </c>
      <c r="V129" s="4">
        <f t="shared" si="38"/>
        <v>0</v>
      </c>
      <c r="W129" s="5">
        <f t="shared" si="39"/>
        <v>0</v>
      </c>
      <c r="X129" s="5">
        <f t="shared" si="40"/>
        <v>-31.853159054800265</v>
      </c>
      <c r="Y129" s="5">
        <f t="shared" si="41"/>
        <v>-4.9234274583585975</v>
      </c>
      <c r="Z129" s="5">
        <f>1</f>
        <v>1</v>
      </c>
      <c r="AA129" s="5">
        <f>IF(M129=0,0,const*($T129/omega)*O129*(wy*I129-wz*(H129-V129))/Z129)</f>
        <v>0</v>
      </c>
      <c r="AB129" s="5">
        <f>IF(M129=0,0,const*($T129/omega)*O129*(wz*(G129-U129)-wx*I129)/Z129)</f>
        <v>-2.9989555403247024</v>
      </c>
      <c r="AC129" s="5">
        <f>IF(M129=0,0,const*($T129/omega)*O129*(wx*(H129-V129)-wy*(G129-U129))/Z129)</f>
        <v>19.402379466779905</v>
      </c>
      <c r="AD129" s="5">
        <f t="shared" si="54"/>
        <v>0</v>
      </c>
      <c r="AE129" s="5">
        <f t="shared" si="54"/>
        <v>-34.852114595124966</v>
      </c>
      <c r="AF129" s="5">
        <f t="shared" si="42"/>
        <v>-17.69504799157869</v>
      </c>
      <c r="AG129">
        <f t="shared" si="53"/>
        <v>0</v>
      </c>
    </row>
    <row r="130" spans="1:33" x14ac:dyDescent="0.2">
      <c r="A130">
        <f t="shared" si="43"/>
        <v>0.98000000000000065</v>
      </c>
      <c r="B130" s="5">
        <f t="shared" si="44"/>
        <v>0</v>
      </c>
      <c r="C130" s="5">
        <f t="shared" si="45"/>
        <v>203.90698535574364</v>
      </c>
      <c r="D130" s="5">
        <f t="shared" si="46"/>
        <v>36.467108210306016</v>
      </c>
      <c r="E130" s="2">
        <f t="shared" si="28"/>
        <v>67.968995118581219</v>
      </c>
      <c r="F130" s="2">
        <f t="shared" si="47"/>
        <v>0</v>
      </c>
      <c r="G130" s="3">
        <f t="shared" si="48"/>
        <v>0</v>
      </c>
      <c r="H130" s="3">
        <f t="shared" si="49"/>
        <v>188.54903714492161</v>
      </c>
      <c r="I130" s="3">
        <f t="shared" si="50"/>
        <v>29.020261128080836</v>
      </c>
      <c r="J130" s="2">
        <f t="shared" si="29"/>
        <v>190.76927154083026</v>
      </c>
      <c r="K130" s="2">
        <f t="shared" si="51"/>
        <v>130.0404032316498</v>
      </c>
      <c r="L130" s="5">
        <f t="shared" si="30"/>
        <v>18.343726340036213</v>
      </c>
      <c r="M130" s="3">
        <f t="shared" si="31"/>
        <v>20.84366052297413</v>
      </c>
      <c r="N130" s="2">
        <v>0</v>
      </c>
      <c r="O130" s="2">
        <f t="shared" si="32"/>
        <v>190.76927154083026</v>
      </c>
      <c r="P130" s="2">
        <f t="shared" si="33"/>
        <v>130.0404032316498</v>
      </c>
      <c r="Q130" s="5">
        <f t="shared" si="34"/>
        <v>1.6077980154605085</v>
      </c>
      <c r="R130" s="5">
        <f t="shared" si="35"/>
        <v>0.15528516344986504</v>
      </c>
      <c r="S130" s="4">
        <f t="shared" si="52"/>
        <v>0.10926110035762741</v>
      </c>
      <c r="T130" s="5">
        <f t="shared" si="36"/>
        <v>9.4623222002829827E-2</v>
      </c>
      <c r="U130" s="4">
        <f t="shared" si="37"/>
        <v>0</v>
      </c>
      <c r="V130" s="4">
        <f t="shared" si="38"/>
        <v>0</v>
      </c>
      <c r="W130" s="5">
        <f t="shared" si="39"/>
        <v>0</v>
      </c>
      <c r="X130" s="5">
        <f t="shared" si="40"/>
        <v>-31.739606797118672</v>
      </c>
      <c r="Y130" s="5">
        <f t="shared" si="41"/>
        <v>-4.8851571522321189</v>
      </c>
      <c r="Z130" s="5">
        <f>1</f>
        <v>1</v>
      </c>
      <c r="AA130" s="5">
        <f>IF(M130=0,0,const*($T130/omega)*O130*(wy*I130-wz*(H130-V130))/Z130)</f>
        <v>0</v>
      </c>
      <c r="AB130" s="5">
        <f>IF(M130=0,0,const*($T130/omega)*O130*(wz*(G130-U130)-wx*I130)/Z130)</f>
        <v>-2.9767770433755083</v>
      </c>
      <c r="AC130" s="5">
        <f>IF(M130=0,0,const*($T130/omega)*O130*(wx*(H130-V130)-wy*(G130-U130))/Z130)</f>
        <v>19.34057184552551</v>
      </c>
      <c r="AD130" s="5">
        <f t="shared" si="54"/>
        <v>0</v>
      </c>
      <c r="AE130" s="5">
        <f t="shared" si="54"/>
        <v>-34.716383840494181</v>
      </c>
      <c r="AF130" s="5">
        <f t="shared" si="42"/>
        <v>-17.718585306706608</v>
      </c>
      <c r="AG130">
        <f t="shared" si="53"/>
        <v>0</v>
      </c>
    </row>
    <row r="131" spans="1:33" x14ac:dyDescent="0.2">
      <c r="A131">
        <f t="shared" si="43"/>
        <v>0.99000000000000066</v>
      </c>
      <c r="B131" s="5">
        <f t="shared" si="44"/>
        <v>0</v>
      </c>
      <c r="C131" s="5">
        <f t="shared" si="45"/>
        <v>205.79073990800083</v>
      </c>
      <c r="D131" s="5">
        <f t="shared" si="46"/>
        <v>36.75642489232149</v>
      </c>
      <c r="E131" s="2">
        <f t="shared" si="28"/>
        <v>68.596913302666948</v>
      </c>
      <c r="F131" s="2">
        <f t="shared" si="47"/>
        <v>0</v>
      </c>
      <c r="G131" s="3">
        <f t="shared" si="48"/>
        <v>0</v>
      </c>
      <c r="H131" s="3">
        <f t="shared" si="49"/>
        <v>188.20187330651666</v>
      </c>
      <c r="I131" s="3">
        <f t="shared" si="50"/>
        <v>28.843075275013771</v>
      </c>
      <c r="J131" s="2">
        <f t="shared" si="29"/>
        <v>190.39923347377808</v>
      </c>
      <c r="K131" s="2">
        <f t="shared" si="51"/>
        <v>129.78816187714932</v>
      </c>
      <c r="L131" s="5">
        <f t="shared" si="30"/>
        <v>18.379377098253869</v>
      </c>
      <c r="M131" s="3">
        <f t="shared" si="31"/>
        <v>20.834481741092461</v>
      </c>
      <c r="N131" s="2">
        <v>0</v>
      </c>
      <c r="O131" s="2">
        <f t="shared" si="32"/>
        <v>190.39923347377808</v>
      </c>
      <c r="P131" s="2">
        <f t="shared" si="33"/>
        <v>129.78816187714932</v>
      </c>
      <c r="Q131" s="5">
        <f t="shared" si="34"/>
        <v>1.6046793451157195</v>
      </c>
      <c r="R131" s="5">
        <f t="shared" si="35"/>
        <v>0.15531942287615386</v>
      </c>
      <c r="S131" s="4">
        <f t="shared" si="52"/>
        <v>0.10942523959247871</v>
      </c>
      <c r="T131" s="5">
        <f t="shared" si="36"/>
        <v>9.4680056097049936E-2</v>
      </c>
      <c r="U131" s="4">
        <f t="shared" si="37"/>
        <v>0</v>
      </c>
      <c r="V131" s="4">
        <f t="shared" si="38"/>
        <v>0</v>
      </c>
      <c r="W131" s="5">
        <f t="shared" si="39"/>
        <v>0</v>
      </c>
      <c r="X131" s="5">
        <f t="shared" si="40"/>
        <v>-31.626690178865534</v>
      </c>
      <c r="Y131" s="5">
        <f t="shared" si="41"/>
        <v>-4.8469815390353572</v>
      </c>
      <c r="Z131" s="5">
        <f>1</f>
        <v>1</v>
      </c>
      <c r="AA131" s="5">
        <f>IF(M131=0,0,const*($T131/omega)*O131*(wy*I131-wz*(H131-V131))/Z131)</f>
        <v>0</v>
      </c>
      <c r="AB131" s="5">
        <f>IF(M131=0,0,const*($T131/omega)*O131*(wz*(G131-U131)-wx*I131)/Z131)</f>
        <v>-2.9546368092234889</v>
      </c>
      <c r="AC131" s="5">
        <f>IF(M131=0,0,const*($T131/omega)*O131*(wx*(H131-V131)-wy*(G131-U131))/Z131)</f>
        <v>19.279087861964616</v>
      </c>
      <c r="AD131" s="5">
        <f t="shared" si="54"/>
        <v>0</v>
      </c>
      <c r="AE131" s="5">
        <f t="shared" si="54"/>
        <v>-34.581326988089025</v>
      </c>
      <c r="AF131" s="5">
        <f t="shared" si="42"/>
        <v>-17.741893677070742</v>
      </c>
      <c r="AG131">
        <f t="shared" si="53"/>
        <v>0</v>
      </c>
    </row>
    <row r="132" spans="1:33" x14ac:dyDescent="0.2">
      <c r="A132">
        <f t="shared" si="43"/>
        <v>1.0000000000000007</v>
      </c>
      <c r="B132" s="5">
        <f t="shared" si="44"/>
        <v>0</v>
      </c>
      <c r="C132" s="5">
        <f t="shared" si="45"/>
        <v>207.67102957471658</v>
      </c>
      <c r="D132" s="5">
        <f t="shared" si="46"/>
        <v>37.043968550387774</v>
      </c>
      <c r="E132" s="2">
        <f t="shared" si="28"/>
        <v>69.223676524905528</v>
      </c>
      <c r="F132" s="2">
        <f t="shared" si="47"/>
        <v>0</v>
      </c>
      <c r="G132" s="3">
        <f t="shared" si="48"/>
        <v>0</v>
      </c>
      <c r="H132" s="3">
        <f t="shared" si="49"/>
        <v>187.85606003663577</v>
      </c>
      <c r="I132" s="3">
        <f t="shared" si="50"/>
        <v>28.665656338243064</v>
      </c>
      <c r="J132" s="2">
        <f t="shared" si="29"/>
        <v>190.03057423949008</v>
      </c>
      <c r="K132" s="2">
        <f t="shared" si="51"/>
        <v>129.53686042228361</v>
      </c>
      <c r="L132" s="5">
        <f t="shared" si="30"/>
        <v>18.415033082112519</v>
      </c>
      <c r="M132" s="3">
        <f t="shared" si="31"/>
        <v>20.825342838188746</v>
      </c>
      <c r="N132" s="2">
        <v>0</v>
      </c>
      <c r="O132" s="2">
        <f t="shared" si="32"/>
        <v>190.03057423949008</v>
      </c>
      <c r="P132" s="2">
        <f t="shared" si="33"/>
        <v>129.53686042228361</v>
      </c>
      <c r="Q132" s="5">
        <f t="shared" si="34"/>
        <v>1.6015722955344007</v>
      </c>
      <c r="R132" s="5">
        <f t="shared" si="35"/>
        <v>0.15535369355961143</v>
      </c>
      <c r="S132" s="4">
        <f t="shared" si="52"/>
        <v>0.10958943276118907</v>
      </c>
      <c r="T132" s="5">
        <f t="shared" si="36"/>
        <v>9.4736857712842917E-2</v>
      </c>
      <c r="U132" s="4">
        <f t="shared" si="37"/>
        <v>0</v>
      </c>
      <c r="V132" s="4">
        <f t="shared" si="38"/>
        <v>0</v>
      </c>
      <c r="W132" s="5">
        <f t="shared" si="39"/>
        <v>0</v>
      </c>
      <c r="X132" s="5">
        <f t="shared" si="40"/>
        <v>-31.514404987906957</v>
      </c>
      <c r="Y132" s="5">
        <f t="shared" si="41"/>
        <v>-4.8089005109091296</v>
      </c>
      <c r="Z132" s="5">
        <f>1</f>
        <v>1</v>
      </c>
      <c r="AA132" s="5">
        <f>IF(M132=0,0,const*($T132/omega)*O132*(wy*I132-wz*(H132-V132))/Z132)</f>
        <v>0</v>
      </c>
      <c r="AB132" s="5">
        <f>IF(M132=0,0,const*($T132/omega)*O132*(wz*(G132-U132)-wx*I132)/Z132)</f>
        <v>-2.9325348694230002</v>
      </c>
      <c r="AC132" s="5">
        <f>IF(M132=0,0,const*($T132/omega)*O132*(wx*(H132-V132)-wy*(G132-U132))/Z132)</f>
        <v>19.217925450215581</v>
      </c>
      <c r="AD132" s="5">
        <f t="shared" si="54"/>
        <v>0</v>
      </c>
      <c r="AE132" s="5">
        <f t="shared" si="54"/>
        <v>-34.446939857329959</v>
      </c>
      <c r="AF132" s="5">
        <f t="shared" si="42"/>
        <v>-17.764975060693548</v>
      </c>
      <c r="AG132">
        <f t="shared" si="53"/>
        <v>0</v>
      </c>
    </row>
    <row r="133" spans="1:33" x14ac:dyDescent="0.2">
      <c r="A133">
        <f t="shared" si="43"/>
        <v>1.0100000000000007</v>
      </c>
      <c r="B133" s="5">
        <f t="shared" si="44"/>
        <v>0</v>
      </c>
      <c r="C133" s="5">
        <f t="shared" si="45"/>
        <v>209.54786782809009</v>
      </c>
      <c r="D133" s="5">
        <f t="shared" si="46"/>
        <v>37.329736865017168</v>
      </c>
      <c r="E133" s="2">
        <f t="shared" si="28"/>
        <v>69.849289276030035</v>
      </c>
      <c r="F133" s="2">
        <f t="shared" si="47"/>
        <v>0</v>
      </c>
      <c r="G133" s="3">
        <f t="shared" si="48"/>
        <v>0</v>
      </c>
      <c r="H133" s="3">
        <f t="shared" si="49"/>
        <v>187.51159063806247</v>
      </c>
      <c r="I133" s="3">
        <f t="shared" si="50"/>
        <v>28.488006587636129</v>
      </c>
      <c r="J133" s="2">
        <f t="shared" si="29"/>
        <v>189.6632888646443</v>
      </c>
      <c r="K133" s="2">
        <f t="shared" si="51"/>
        <v>129.2864954769218</v>
      </c>
      <c r="L133" s="5">
        <f t="shared" si="30"/>
        <v>18.45069402824948</v>
      </c>
      <c r="M133" s="3">
        <f t="shared" si="31"/>
        <v>20.816243549144684</v>
      </c>
      <c r="N133" s="2">
        <v>0</v>
      </c>
      <c r="O133" s="2">
        <f t="shared" si="32"/>
        <v>189.6632888646443</v>
      </c>
      <c r="P133" s="2">
        <f t="shared" si="33"/>
        <v>129.2864954769218</v>
      </c>
      <c r="Q133" s="5">
        <f t="shared" si="34"/>
        <v>1.5984768248015349</v>
      </c>
      <c r="R133" s="5">
        <f t="shared" si="35"/>
        <v>0.15538797512737887</v>
      </c>
      <c r="S133" s="4">
        <f t="shared" si="52"/>
        <v>0.10975367807736619</v>
      </c>
      <c r="T133" s="5">
        <f t="shared" si="36"/>
        <v>9.479362630528429E-2</v>
      </c>
      <c r="U133" s="4">
        <f t="shared" si="37"/>
        <v>0</v>
      </c>
      <c r="V133" s="4">
        <f t="shared" si="38"/>
        <v>0</v>
      </c>
      <c r="W133" s="5">
        <f t="shared" si="39"/>
        <v>0</v>
      </c>
      <c r="X133" s="5">
        <f t="shared" si="40"/>
        <v>-31.40274704730885</v>
      </c>
      <c r="Y133" s="5">
        <f t="shared" si="41"/>
        <v>-4.7709139563557876</v>
      </c>
      <c r="Z133" s="5">
        <f>1</f>
        <v>1</v>
      </c>
      <c r="AA133" s="5">
        <f>IF(M133=0,0,const*($T133/omega)*O133*(wy*I133-wz*(H133-V133))/Z133)</f>
        <v>0</v>
      </c>
      <c r="AB133" s="5">
        <f>IF(M133=0,0,const*($T133/omega)*O133*(wz*(G133-U133)-wx*I133)/Z133)</f>
        <v>-2.9104712532789194</v>
      </c>
      <c r="AC133" s="5">
        <f>IF(M133=0,0,const*($T133/omega)*O133*(wx*(H133-V133)-wy*(G133-U133))/Z133)</f>
        <v>19.157082561387117</v>
      </c>
      <c r="AD133" s="5">
        <f t="shared" si="54"/>
        <v>0</v>
      </c>
      <c r="AE133" s="5">
        <f t="shared" si="54"/>
        <v>-34.313218300587771</v>
      </c>
      <c r="AF133" s="5">
        <f t="shared" si="42"/>
        <v>-17.78783139496867</v>
      </c>
      <c r="AG133">
        <f t="shared" si="53"/>
        <v>0</v>
      </c>
    </row>
    <row r="134" spans="1:33" x14ac:dyDescent="0.2">
      <c r="A134">
        <f t="shared" si="43"/>
        <v>1.0200000000000007</v>
      </c>
      <c r="B134" s="5">
        <f t="shared" si="44"/>
        <v>0</v>
      </c>
      <c r="C134" s="5">
        <f t="shared" si="45"/>
        <v>211.42126807355567</v>
      </c>
      <c r="D134" s="5">
        <f t="shared" si="46"/>
        <v>37.613727539323776</v>
      </c>
      <c r="E134" s="2">
        <f t="shared" si="28"/>
        <v>70.473756024518551</v>
      </c>
      <c r="F134" s="2">
        <f t="shared" si="47"/>
        <v>0</v>
      </c>
      <c r="G134" s="3">
        <f t="shared" si="48"/>
        <v>0</v>
      </c>
      <c r="H134" s="3">
        <f t="shared" si="49"/>
        <v>187.16845845505659</v>
      </c>
      <c r="I134" s="3">
        <f t="shared" si="50"/>
        <v>28.310128273686441</v>
      </c>
      <c r="J134" s="2">
        <f t="shared" si="29"/>
        <v>189.29737241524199</v>
      </c>
      <c r="K134" s="2">
        <f t="shared" si="51"/>
        <v>129.03706367773822</v>
      </c>
      <c r="L134" s="5">
        <f t="shared" si="30"/>
        <v>18.486359670945333</v>
      </c>
      <c r="M134" s="3">
        <f t="shared" si="31"/>
        <v>20.807183610389661</v>
      </c>
      <c r="N134" s="2">
        <v>0</v>
      </c>
      <c r="O134" s="2">
        <f t="shared" si="32"/>
        <v>189.29737241524199</v>
      </c>
      <c r="P134" s="2">
        <f t="shared" si="33"/>
        <v>129.03706367773822</v>
      </c>
      <c r="Q134" s="5">
        <f t="shared" si="34"/>
        <v>1.5953928913335211</v>
      </c>
      <c r="R134" s="5">
        <f t="shared" si="35"/>
        <v>0.15542226720376687</v>
      </c>
      <c r="S134" s="4">
        <f t="shared" si="52"/>
        <v>0.10991797374105702</v>
      </c>
      <c r="T134" s="5">
        <f t="shared" si="36"/>
        <v>9.4850361326731344E-2</v>
      </c>
      <c r="U134" s="4">
        <f t="shared" si="37"/>
        <v>0</v>
      </c>
      <c r="V134" s="4">
        <f t="shared" si="38"/>
        <v>0</v>
      </c>
      <c r="W134" s="5">
        <f t="shared" si="39"/>
        <v>0</v>
      </c>
      <c r="X134" s="5">
        <f t="shared" si="40"/>
        <v>-31.291712214987704</v>
      </c>
      <c r="Y134" s="5">
        <f t="shared" si="41"/>
        <v>-4.7330217602999651</v>
      </c>
      <c r="Z134" s="5">
        <f>1</f>
        <v>1</v>
      </c>
      <c r="AA134" s="5">
        <f>IF(M134=0,0,const*($T134/omega)*O134*(wy*I134-wz*(H134-V134))/Z134)</f>
        <v>0</v>
      </c>
      <c r="AB134" s="5">
        <f>IF(M134=0,0,const*($T134/omega)*O134*(wz*(G134-U134)-wx*I134)/Z134)</f>
        <v>-2.8884459878787134</v>
      </c>
      <c r="AC134" s="5">
        <f>IF(M134=0,0,const*($T134/omega)*O134*(wx*(H134-V134)-wy*(G134-U134))/Z134)</f>
        <v>19.096557163411028</v>
      </c>
      <c r="AD134" s="5">
        <f t="shared" si="54"/>
        <v>0</v>
      </c>
      <c r="AE134" s="5">
        <f t="shared" si="54"/>
        <v>-34.180158202866416</v>
      </c>
      <c r="AF134" s="5">
        <f t="shared" si="42"/>
        <v>-17.810464596888938</v>
      </c>
      <c r="AG134">
        <f t="shared" si="53"/>
        <v>0</v>
      </c>
    </row>
    <row r="135" spans="1:33" x14ac:dyDescent="0.2">
      <c r="A135">
        <f t="shared" si="43"/>
        <v>1.0300000000000007</v>
      </c>
      <c r="B135" s="5">
        <f t="shared" si="44"/>
        <v>0</v>
      </c>
      <c r="C135" s="5">
        <f t="shared" si="45"/>
        <v>213.29124365019609</v>
      </c>
      <c r="D135" s="5">
        <f t="shared" si="46"/>
        <v>37.895938298830799</v>
      </c>
      <c r="E135" s="2">
        <f t="shared" si="28"/>
        <v>71.097081216732036</v>
      </c>
      <c r="F135" s="2">
        <f t="shared" si="47"/>
        <v>0</v>
      </c>
      <c r="G135" s="3">
        <f t="shared" si="48"/>
        <v>0</v>
      </c>
      <c r="H135" s="3">
        <f t="shared" si="49"/>
        <v>186.82665687302793</v>
      </c>
      <c r="I135" s="3">
        <f t="shared" si="50"/>
        <v>28.132023627717551</v>
      </c>
      <c r="J135" s="2">
        <f t="shared" si="29"/>
        <v>188.93281999626899</v>
      </c>
      <c r="K135" s="2">
        <f t="shared" si="51"/>
        <v>128.78856168798157</v>
      </c>
      <c r="L135" s="5">
        <f t="shared" si="30"/>
        <v>18.522029742117621</v>
      </c>
      <c r="M135" s="3">
        <f t="shared" si="31"/>
        <v>20.798162759884573</v>
      </c>
      <c r="N135" s="2">
        <v>0</v>
      </c>
      <c r="O135" s="2">
        <f t="shared" si="32"/>
        <v>188.93281999626899</v>
      </c>
      <c r="P135" s="2">
        <f t="shared" si="33"/>
        <v>128.78856168798157</v>
      </c>
      <c r="Q135" s="5">
        <f t="shared" si="34"/>
        <v>1.5923204538753182</v>
      </c>
      <c r="R135" s="5">
        <f t="shared" si="35"/>
        <v>0.1554565694102458</v>
      </c>
      <c r="S135" s="4">
        <f t="shared" si="52"/>
        <v>0.1100823179387006</v>
      </c>
      <c r="T135" s="5">
        <f t="shared" si="36"/>
        <v>9.4907062226817343E-2</v>
      </c>
      <c r="U135" s="4">
        <f t="shared" si="37"/>
        <v>0</v>
      </c>
      <c r="V135" s="4">
        <f t="shared" si="38"/>
        <v>0</v>
      </c>
      <c r="W135" s="5">
        <f t="shared" si="39"/>
        <v>0</v>
      </c>
      <c r="X135" s="5">
        <f t="shared" si="40"/>
        <v>-31.181296383365385</v>
      </c>
      <c r="Y135" s="5">
        <f t="shared" si="41"/>
        <v>-4.6952238041483616</v>
      </c>
      <c r="Z135" s="5">
        <f>1</f>
        <v>1</v>
      </c>
      <c r="AA135" s="5">
        <f>IF(M135=0,0,const*($T135/omega)*O135*(wy*I135-wz*(H135-V135))/Z135)</f>
        <v>0</v>
      </c>
      <c r="AB135" s="5">
        <f>IF(M135=0,0,const*($T135/omega)*O135*(wz*(G135-U135)-wx*I135)/Z135)</f>
        <v>-2.8664590981239906</v>
      </c>
      <c r="AC135" s="5">
        <f>IF(M135=0,0,const*($T135/omega)*O135*(wx*(H135-V135)-wy*(G135-U135))/Z135)</f>
        <v>19.036347240876726</v>
      </c>
      <c r="AD135" s="5">
        <f t="shared" si="54"/>
        <v>0</v>
      </c>
      <c r="AE135" s="5">
        <f t="shared" si="54"/>
        <v>-34.047755481489375</v>
      </c>
      <c r="AF135" s="5">
        <f t="shared" si="42"/>
        <v>-17.832876563271636</v>
      </c>
      <c r="AG135">
        <f t="shared" si="53"/>
        <v>0</v>
      </c>
    </row>
    <row r="136" spans="1:33" x14ac:dyDescent="0.2">
      <c r="A136">
        <f t="shared" si="43"/>
        <v>1.0400000000000007</v>
      </c>
      <c r="B136" s="5">
        <f t="shared" si="44"/>
        <v>0</v>
      </c>
      <c r="C136" s="5">
        <f t="shared" si="45"/>
        <v>215.1578078311523</v>
      </c>
      <c r="D136" s="5">
        <f t="shared" si="46"/>
        <v>38.176366891279812</v>
      </c>
      <c r="E136" s="2">
        <f t="shared" si="28"/>
        <v>71.71926927705077</v>
      </c>
      <c r="F136" s="2">
        <f t="shared" si="47"/>
        <v>0</v>
      </c>
      <c r="G136" s="3">
        <f t="shared" si="48"/>
        <v>0</v>
      </c>
      <c r="H136" s="3">
        <f t="shared" si="49"/>
        <v>186.48617931821303</v>
      </c>
      <c r="I136" s="3">
        <f t="shared" si="50"/>
        <v>27.953694862084834</v>
      </c>
      <c r="J136" s="2">
        <f t="shared" si="29"/>
        <v>188.56962675136006</v>
      </c>
      <c r="K136" s="2">
        <f t="shared" si="51"/>
        <v>128.54098619724613</v>
      </c>
      <c r="L136" s="5">
        <f t="shared" si="30"/>
        <v>18.557703971314719</v>
      </c>
      <c r="M136" s="3">
        <f t="shared" si="31"/>
        <v>20.789180737105816</v>
      </c>
      <c r="N136" s="2">
        <v>0</v>
      </c>
      <c r="O136" s="2">
        <f t="shared" si="32"/>
        <v>188.56962675136006</v>
      </c>
      <c r="P136" s="2">
        <f t="shared" si="33"/>
        <v>128.54098619724613</v>
      </c>
      <c r="Q136" s="5">
        <f t="shared" si="34"/>
        <v>1.5892594714976183</v>
      </c>
      <c r="R136" s="5">
        <f t="shared" si="35"/>
        <v>0.15549088136543618</v>
      </c>
      <c r="S136" s="4">
        <f t="shared" si="52"/>
        <v>0.11024670884308188</v>
      </c>
      <c r="T136" s="5">
        <f t="shared" si="36"/>
        <v>9.4963728452446397E-2</v>
      </c>
      <c r="U136" s="4">
        <f t="shared" si="37"/>
        <v>0</v>
      </c>
      <c r="V136" s="4">
        <f t="shared" si="38"/>
        <v>0</v>
      </c>
      <c r="W136" s="5">
        <f t="shared" si="39"/>
        <v>0</v>
      </c>
      <c r="X136" s="5">
        <f t="shared" si="40"/>
        <v>-31.071495479027842</v>
      </c>
      <c r="Y136" s="5">
        <f t="shared" si="41"/>
        <v>-4.6575199658485644</v>
      </c>
      <c r="Z136" s="5">
        <f>1</f>
        <v>1</v>
      </c>
      <c r="AA136" s="5">
        <f>IF(M136=0,0,const*($T136/omega)*O136*(wy*I136-wz*(H136-V136))/Z136)</f>
        <v>0</v>
      </c>
      <c r="AB136" s="5">
        <f>IF(M136=0,0,const*($T136/omega)*O136*(wz*(G136-U136)-wx*I136)/Z136)</f>
        <v>-2.8445106067615851</v>
      </c>
      <c r="AC136" s="5">
        <f>IF(M136=0,0,const*($T136/omega)*O136*(wx*(H136-V136)-wy*(G136-U136))/Z136)</f>
        <v>18.976450794867734</v>
      </c>
      <c r="AD136" s="5">
        <f t="shared" si="54"/>
        <v>0</v>
      </c>
      <c r="AE136" s="5">
        <f t="shared" si="54"/>
        <v>-33.916006085789427</v>
      </c>
      <c r="AF136" s="5">
        <f t="shared" si="42"/>
        <v>-17.85506917098083</v>
      </c>
      <c r="AG136">
        <f t="shared" si="53"/>
        <v>0</v>
      </c>
    </row>
    <row r="137" spans="1:33" x14ac:dyDescent="0.2">
      <c r="A137">
        <f t="shared" si="43"/>
        <v>1.0500000000000007</v>
      </c>
      <c r="B137" s="5">
        <f t="shared" si="44"/>
        <v>0</v>
      </c>
      <c r="C137" s="5">
        <f t="shared" si="45"/>
        <v>217.02097382403016</v>
      </c>
      <c r="D137" s="5">
        <f t="shared" si="46"/>
        <v>38.455011086442113</v>
      </c>
      <c r="E137" s="2">
        <f t="shared" si="28"/>
        <v>72.34032460801005</v>
      </c>
      <c r="F137" s="2">
        <f t="shared" si="47"/>
        <v>0</v>
      </c>
      <c r="G137" s="3">
        <f t="shared" si="48"/>
        <v>0</v>
      </c>
      <c r="H137" s="3">
        <f t="shared" si="49"/>
        <v>186.14701925735514</v>
      </c>
      <c r="I137" s="3">
        <f t="shared" si="50"/>
        <v>27.775144170375025</v>
      </c>
      <c r="J137" s="2">
        <f t="shared" si="29"/>
        <v>188.20778786246672</v>
      </c>
      <c r="K137" s="2">
        <f t="shared" si="51"/>
        <v>128.2943339212452</v>
      </c>
      <c r="L137" s="5">
        <f t="shared" si="30"/>
        <v>18.593382085709745</v>
      </c>
      <c r="M137" s="3">
        <f t="shared" si="31"/>
        <v>20.780237283029471</v>
      </c>
      <c r="N137" s="2">
        <v>0</v>
      </c>
      <c r="O137" s="2">
        <f t="shared" si="32"/>
        <v>188.20778786246672</v>
      </c>
      <c r="P137" s="2">
        <f t="shared" si="33"/>
        <v>128.2943339212452</v>
      </c>
      <c r="Q137" s="5">
        <f t="shared" si="34"/>
        <v>1.586209903594044</v>
      </c>
      <c r="R137" s="5">
        <f t="shared" si="35"/>
        <v>0.15552520268509906</v>
      </c>
      <c r="S137" s="4">
        <f t="shared" si="52"/>
        <v>0.11041114461328602</v>
      </c>
      <c r="T137" s="5">
        <f t="shared" si="36"/>
        <v>9.5020359447788208E-2</v>
      </c>
      <c r="U137" s="4">
        <f t="shared" si="37"/>
        <v>0</v>
      </c>
      <c r="V137" s="4">
        <f t="shared" si="38"/>
        <v>0</v>
      </c>
      <c r="W137" s="5">
        <f t="shared" si="39"/>
        <v>0</v>
      </c>
      <c r="X137" s="5">
        <f t="shared" si="40"/>
        <v>-30.96230546238775</v>
      </c>
      <c r="Y137" s="5">
        <f t="shared" si="41"/>
        <v>-4.6199101199469235</v>
      </c>
      <c r="Z137" s="5">
        <f>1</f>
        <v>1</v>
      </c>
      <c r="AA137" s="5">
        <f>IF(M137=0,0,const*($T137/omega)*O137*(wy*I137-wz*(H137-V137))/Z137)</f>
        <v>0</v>
      </c>
      <c r="AB137" s="5">
        <f>IF(M137=0,0,const*($T137/omega)*O137*(wz*(G137-U137)-wx*I137)/Z137)</f>
        <v>-2.8226005344141596</v>
      </c>
      <c r="AC137" s="5">
        <f>IF(M137=0,0,const*($T137/omega)*O137*(wx*(H137-V137)-wy*(G137-U137))/Z137)</f>
        <v>18.916865842800025</v>
      </c>
      <c r="AD137" s="5">
        <f t="shared" si="54"/>
        <v>0</v>
      </c>
      <c r="AE137" s="5">
        <f t="shared" si="54"/>
        <v>-33.784905996801911</v>
      </c>
      <c r="AF137" s="5">
        <f t="shared" si="42"/>
        <v>-17.877044277146897</v>
      </c>
      <c r="AG137">
        <f t="shared" si="53"/>
        <v>0</v>
      </c>
    </row>
    <row r="138" spans="1:33" x14ac:dyDescent="0.2">
      <c r="A138">
        <f t="shared" si="43"/>
        <v>1.0600000000000007</v>
      </c>
      <c r="B138" s="5">
        <f t="shared" si="44"/>
        <v>0</v>
      </c>
      <c r="C138" s="5">
        <f t="shared" si="45"/>
        <v>218.88075477130388</v>
      </c>
      <c r="D138" s="5">
        <f t="shared" si="46"/>
        <v>38.731868675932006</v>
      </c>
      <c r="E138" s="2">
        <f t="shared" si="28"/>
        <v>72.960251590434623</v>
      </c>
      <c r="F138" s="2">
        <f t="shared" si="47"/>
        <v>0</v>
      </c>
      <c r="G138" s="3">
        <f t="shared" si="48"/>
        <v>0</v>
      </c>
      <c r="H138" s="3">
        <f t="shared" si="49"/>
        <v>185.80917019738712</v>
      </c>
      <c r="I138" s="3">
        <f t="shared" si="50"/>
        <v>27.596373727603556</v>
      </c>
      <c r="J138" s="2">
        <f t="shared" si="29"/>
        <v>187.84729854952704</v>
      </c>
      <c r="K138" s="2">
        <f t="shared" si="51"/>
        <v>128.04860160158626</v>
      </c>
      <c r="L138" s="5">
        <f t="shared" si="30"/>
        <v>18.629063810094699</v>
      </c>
      <c r="M138" s="3">
        <f t="shared" si="31"/>
        <v>20.771332140115696</v>
      </c>
      <c r="N138" s="2">
        <v>0</v>
      </c>
      <c r="O138" s="2">
        <f t="shared" si="32"/>
        <v>187.84729854952704</v>
      </c>
      <c r="P138" s="2">
        <f t="shared" si="33"/>
        <v>128.04860160158626</v>
      </c>
      <c r="Q138" s="5">
        <f t="shared" si="34"/>
        <v>1.5831717098783697</v>
      </c>
      <c r="R138" s="5">
        <f t="shared" si="35"/>
        <v>0.15555953298212685</v>
      </c>
      <c r="S138" s="4">
        <f t="shared" si="52"/>
        <v>0.11057562339465432</v>
      </c>
      <c r="T138" s="5">
        <f t="shared" si="36"/>
        <v>9.5076954654273418E-2</v>
      </c>
      <c r="U138" s="4">
        <f t="shared" si="37"/>
        <v>0</v>
      </c>
      <c r="V138" s="4">
        <f t="shared" si="38"/>
        <v>0</v>
      </c>
      <c r="W138" s="5">
        <f t="shared" si="39"/>
        <v>0</v>
      </c>
      <c r="X138" s="5">
        <f t="shared" si="40"/>
        <v>-30.853722327350905</v>
      </c>
      <c r="Y138" s="5">
        <f t="shared" si="41"/>
        <v>-4.5823941376455011</v>
      </c>
      <c r="Z138" s="5">
        <f>1</f>
        <v>1</v>
      </c>
      <c r="AA138" s="5">
        <f>IF(M138=0,0,const*($T138/omega)*O138*(wy*I138-wz*(H138-V138))/Z138)</f>
        <v>0</v>
      </c>
      <c r="AB138" s="5">
        <f>IF(M138=0,0,const*($T138/omega)*O138*(wz*(G138-U138)-wx*I138)/Z138)</f>
        <v>-2.8007288996103341</v>
      </c>
      <c r="AC138" s="5">
        <f>IF(M138=0,0,const*($T138/omega)*O138*(wx*(H138-V138)-wy*(G138-U138))/Z138)</f>
        <v>18.85759041826212</v>
      </c>
      <c r="AD138" s="5">
        <f t="shared" si="54"/>
        <v>0</v>
      </c>
      <c r="AE138" s="5">
        <f t="shared" si="54"/>
        <v>-33.654451226961243</v>
      </c>
      <c r="AF138" s="5">
        <f t="shared" si="42"/>
        <v>-17.89880371938338</v>
      </c>
      <c r="AG138">
        <f t="shared" si="53"/>
        <v>0</v>
      </c>
    </row>
    <row r="139" spans="1:33" x14ac:dyDescent="0.2">
      <c r="A139">
        <f t="shared" si="43"/>
        <v>1.0700000000000007</v>
      </c>
      <c r="B139" s="5">
        <f t="shared" si="44"/>
        <v>0</v>
      </c>
      <c r="C139" s="5">
        <f t="shared" si="45"/>
        <v>220.73716375071641</v>
      </c>
      <c r="D139" s="5">
        <f t="shared" si="46"/>
        <v>39.00693747302207</v>
      </c>
      <c r="E139" s="2">
        <f t="shared" si="28"/>
        <v>73.57905458357213</v>
      </c>
      <c r="F139" s="2">
        <f t="shared" si="47"/>
        <v>0</v>
      </c>
      <c r="G139" s="3">
        <f t="shared" si="48"/>
        <v>0</v>
      </c>
      <c r="H139" s="3">
        <f t="shared" si="49"/>
        <v>185.47262568511749</v>
      </c>
      <c r="I139" s="3">
        <f t="shared" si="50"/>
        <v>27.417385690409724</v>
      </c>
      <c r="J139" s="2">
        <f t="shared" si="29"/>
        <v>187.48815407013956</v>
      </c>
      <c r="K139" s="2">
        <f t="shared" si="51"/>
        <v>127.80378600554843</v>
      </c>
      <c r="L139" s="5">
        <f t="shared" si="30"/>
        <v>18.664748866874607</v>
      </c>
      <c r="M139" s="3">
        <f t="shared" si="31"/>
        <v>20.762465052293241</v>
      </c>
      <c r="N139" s="2">
        <v>0</v>
      </c>
      <c r="O139" s="2">
        <f t="shared" si="32"/>
        <v>187.48815407013956</v>
      </c>
      <c r="P139" s="2">
        <f t="shared" si="33"/>
        <v>127.80378600554843</v>
      </c>
      <c r="Q139" s="5">
        <f t="shared" si="34"/>
        <v>1.5801448503817694</v>
      </c>
      <c r="R139" s="5">
        <f t="shared" si="35"/>
        <v>0.15559387186653409</v>
      </c>
      <c r="S139" s="4">
        <f t="shared" si="52"/>
        <v>0.11074014331873989</v>
      </c>
      <c r="T139" s="5">
        <f t="shared" si="36"/>
        <v>9.5133513510588949E-2</v>
      </c>
      <c r="U139" s="4">
        <f t="shared" si="37"/>
        <v>0</v>
      </c>
      <c r="V139" s="4">
        <f t="shared" si="38"/>
        <v>0</v>
      </c>
      <c r="W139" s="5">
        <f t="shared" si="39"/>
        <v>0</v>
      </c>
      <c r="X139" s="5">
        <f t="shared" si="40"/>
        <v>-30.745742100986526</v>
      </c>
      <c r="Y139" s="5">
        <f t="shared" si="41"/>
        <v>-4.5449718868581064</v>
      </c>
      <c r="Z139" s="5">
        <f>1</f>
        <v>1</v>
      </c>
      <c r="AA139" s="5">
        <f>IF(M139=0,0,const*($T139/omega)*O139*(wy*I139-wz*(H139-V139))/Z139)</f>
        <v>0</v>
      </c>
      <c r="AB139" s="5">
        <f>IF(M139=0,0,const*($T139/omega)*O139*(wz*(G139-U139)-wx*I139)/Z139)</f>
        <v>-2.7788957188143661</v>
      </c>
      <c r="AC139" s="5">
        <f>IF(M139=0,0,const*($T139/omega)*O139*(wx*(H139-V139)-wy*(G139-U139))/Z139)</f>
        <v>18.798622570857162</v>
      </c>
      <c r="AD139" s="5">
        <f t="shared" si="54"/>
        <v>0</v>
      </c>
      <c r="AE139" s="5">
        <f t="shared" si="54"/>
        <v>-33.524637819800894</v>
      </c>
      <c r="AF139" s="5">
        <f t="shared" si="42"/>
        <v>-17.920349316000944</v>
      </c>
      <c r="AG139">
        <f t="shared" si="53"/>
        <v>0</v>
      </c>
    </row>
    <row r="140" spans="1:33" x14ac:dyDescent="0.2">
      <c r="A140">
        <f t="shared" si="43"/>
        <v>1.0800000000000007</v>
      </c>
      <c r="B140" s="5">
        <f t="shared" si="44"/>
        <v>0</v>
      </c>
      <c r="C140" s="5">
        <f t="shared" si="45"/>
        <v>222.59021377567657</v>
      </c>
      <c r="D140" s="5">
        <f t="shared" si="46"/>
        <v>39.280215312460371</v>
      </c>
      <c r="E140" s="2">
        <f t="shared" si="28"/>
        <v>74.19673792522552</v>
      </c>
      <c r="F140" s="2">
        <f t="shared" si="47"/>
        <v>0</v>
      </c>
      <c r="G140" s="3">
        <f t="shared" si="48"/>
        <v>0</v>
      </c>
      <c r="H140" s="3">
        <f t="shared" si="49"/>
        <v>185.13737930691948</v>
      </c>
      <c r="I140" s="3">
        <f t="shared" si="50"/>
        <v>27.238182197249714</v>
      </c>
      <c r="J140" s="2">
        <f t="shared" si="29"/>
        <v>187.13034971923915</v>
      </c>
      <c r="K140" s="2">
        <f t="shared" si="51"/>
        <v>127.55988392586171</v>
      </c>
      <c r="L140" s="5">
        <f t="shared" si="30"/>
        <v>18.700436976061869</v>
      </c>
      <c r="M140" s="3">
        <f t="shared" si="31"/>
        <v>20.753635764944207</v>
      </c>
      <c r="N140" s="2">
        <v>0</v>
      </c>
      <c r="O140" s="2">
        <f t="shared" si="32"/>
        <v>187.13034971923915</v>
      </c>
      <c r="P140" s="2">
        <f t="shared" si="33"/>
        <v>127.55988392586171</v>
      </c>
      <c r="Q140" s="5">
        <f t="shared" si="34"/>
        <v>1.5771292854500887</v>
      </c>
      <c r="R140" s="5">
        <f t="shared" si="35"/>
        <v>0.15562821894544854</v>
      </c>
      <c r="S140" s="4">
        <f t="shared" si="52"/>
        <v>0.11090470250326527</v>
      </c>
      <c r="T140" s="5">
        <f t="shared" si="36"/>
        <v>9.5190035452673641E-2</v>
      </c>
      <c r="U140" s="4">
        <f t="shared" si="37"/>
        <v>0</v>
      </c>
      <c r="V140" s="4">
        <f t="shared" si="38"/>
        <v>0</v>
      </c>
      <c r="W140" s="5">
        <f t="shared" si="39"/>
        <v>0</v>
      </c>
      <c r="X140" s="5">
        <f t="shared" si="40"/>
        <v>-30.638360843201163</v>
      </c>
      <c r="Y140" s="5">
        <f t="shared" si="41"/>
        <v>-4.5076432322654361</v>
      </c>
      <c r="Z140" s="5">
        <f>1</f>
        <v>1</v>
      </c>
      <c r="AA140" s="5">
        <f>IF(M140=0,0,const*($T140/omega)*O140*(wy*I140-wz*(H140-V140))/Z140)</f>
        <v>0</v>
      </c>
      <c r="AB140" s="5">
        <f>IF(M140=0,0,const*($T140/omega)*O140*(wz*(G140-U140)-wx*I140)/Z140)</f>
        <v>-2.7571010064553594</v>
      </c>
      <c r="AC140" s="5">
        <f>IF(M140=0,0,const*($T140/omega)*O140*(wx*(H140-V140)-wy*(G140-U140))/Z140)</f>
        <v>18.739960366046589</v>
      </c>
      <c r="AD140" s="5">
        <f t="shared" si="54"/>
        <v>0</v>
      </c>
      <c r="AE140" s="5">
        <f t="shared" si="54"/>
        <v>-33.39546184965652</v>
      </c>
      <c r="AF140" s="5">
        <f t="shared" si="42"/>
        <v>-17.941682866218848</v>
      </c>
      <c r="AG140">
        <f t="shared" si="53"/>
        <v>0</v>
      </c>
    </row>
    <row r="141" spans="1:33" x14ac:dyDescent="0.2">
      <c r="A141">
        <f t="shared" si="43"/>
        <v>1.0900000000000007</v>
      </c>
      <c r="B141" s="5">
        <f t="shared" si="44"/>
        <v>0</v>
      </c>
      <c r="C141" s="5">
        <f t="shared" si="45"/>
        <v>224.43991779565329</v>
      </c>
      <c r="D141" s="5">
        <f t="shared" si="46"/>
        <v>39.551700050289554</v>
      </c>
      <c r="E141" s="2">
        <f t="shared" si="28"/>
        <v>74.813305931884429</v>
      </c>
      <c r="F141" s="2">
        <f t="shared" si="47"/>
        <v>0</v>
      </c>
      <c r="G141" s="3">
        <f t="shared" si="48"/>
        <v>0</v>
      </c>
      <c r="H141" s="3">
        <f t="shared" si="49"/>
        <v>184.80342468842292</v>
      </c>
      <c r="I141" s="3">
        <f t="shared" si="50"/>
        <v>27.058765368587526</v>
      </c>
      <c r="J141" s="2">
        <f t="shared" si="29"/>
        <v>186.77388082877613</v>
      </c>
      <c r="K141" s="2">
        <f t="shared" si="51"/>
        <v>127.31689218048815</v>
      </c>
      <c r="L141" s="5">
        <f t="shared" si="30"/>
        <v>18.736127855270734</v>
      </c>
      <c r="M141" s="3">
        <f t="shared" si="31"/>
        <v>20.744844024888934</v>
      </c>
      <c r="N141" s="2">
        <v>0</v>
      </c>
      <c r="O141" s="2">
        <f t="shared" si="32"/>
        <v>186.77388082877613</v>
      </c>
      <c r="P141" s="2">
        <f t="shared" si="33"/>
        <v>127.31689218048815</v>
      </c>
      <c r="Q141" s="5">
        <f t="shared" si="34"/>
        <v>1.5741249757411366</v>
      </c>
      <c r="R141" s="5">
        <f t="shared" si="35"/>
        <v>0.15566257382310242</v>
      </c>
      <c r="S141" s="4">
        <f t="shared" si="52"/>
        <v>0.11106929905208025</v>
      </c>
      <c r="T141" s="5">
        <f t="shared" si="36"/>
        <v>9.5246519913714398E-2</v>
      </c>
      <c r="U141" s="4">
        <f t="shared" si="37"/>
        <v>0</v>
      </c>
      <c r="V141" s="4">
        <f t="shared" si="38"/>
        <v>0</v>
      </c>
      <c r="W141" s="5">
        <f t="shared" si="39"/>
        <v>0</v>
      </c>
      <c r="X141" s="5">
        <f t="shared" si="40"/>
        <v>-30.531574646416377</v>
      </c>
      <c r="Y141" s="5">
        <f t="shared" si="41"/>
        <v>-4.4704080353693287</v>
      </c>
      <c r="Z141" s="5">
        <f>1</f>
        <v>1</v>
      </c>
      <c r="AA141" s="5">
        <f>IF(M141=0,0,const*($T141/omega)*O141*(wy*I141-wz*(H141-V141))/Z141)</f>
        <v>0</v>
      </c>
      <c r="AB141" s="5">
        <f>IF(M141=0,0,const*($T141/omega)*O141*(wz*(G141-U141)-wx*I141)/Z141)</f>
        <v>-2.7353447749560504</v>
      </c>
      <c r="AC141" s="5">
        <f>IF(M141=0,0,const*($T141/omega)*O141*(wx*(H141-V141)-wy*(G141-U141))/Z141)</f>
        <v>18.681601884995718</v>
      </c>
      <c r="AD141" s="5">
        <f t="shared" si="54"/>
        <v>0</v>
      </c>
      <c r="AE141" s="5">
        <f t="shared" si="54"/>
        <v>-33.266919421372428</v>
      </c>
      <c r="AF141" s="5">
        <f t="shared" si="42"/>
        <v>-17.962806150373609</v>
      </c>
      <c r="AG141">
        <f t="shared" si="53"/>
        <v>0</v>
      </c>
    </row>
    <row r="142" spans="1:33" x14ac:dyDescent="0.2">
      <c r="A142">
        <f t="shared" si="43"/>
        <v>1.1000000000000008</v>
      </c>
      <c r="B142" s="5">
        <f t="shared" si="44"/>
        <v>0</v>
      </c>
      <c r="C142" s="5">
        <f t="shared" si="45"/>
        <v>226.28628869656643</v>
      </c>
      <c r="D142" s="5">
        <f t="shared" si="46"/>
        <v>39.821389563667907</v>
      </c>
      <c r="E142" s="2">
        <f t="shared" si="28"/>
        <v>75.428762898855481</v>
      </c>
      <c r="F142" s="2">
        <f t="shared" si="47"/>
        <v>0</v>
      </c>
      <c r="G142" s="3">
        <f t="shared" si="48"/>
        <v>0</v>
      </c>
      <c r="H142" s="3">
        <f t="shared" si="49"/>
        <v>184.47075549420919</v>
      </c>
      <c r="I142" s="3">
        <f t="shared" si="50"/>
        <v>26.879137307083791</v>
      </c>
      <c r="J142" s="2">
        <f t="shared" si="29"/>
        <v>186.41874276739819</v>
      </c>
      <c r="K142" s="2">
        <f t="shared" si="51"/>
        <v>127.07480761240502</v>
      </c>
      <c r="L142" s="5">
        <f t="shared" si="30"/>
        <v>18.771821219711843</v>
      </c>
      <c r="M142" s="3">
        <f t="shared" si="31"/>
        <v>20.7360895803711</v>
      </c>
      <c r="N142" s="2">
        <v>0</v>
      </c>
      <c r="O142" s="2">
        <f t="shared" si="32"/>
        <v>186.41874276739819</v>
      </c>
      <c r="P142" s="2">
        <f t="shared" si="33"/>
        <v>127.07480761240502</v>
      </c>
      <c r="Q142" s="5">
        <f t="shared" si="34"/>
        <v>1.5711318822220068</v>
      </c>
      <c r="R142" s="5">
        <f t="shared" si="35"/>
        <v>0.15569693610082391</v>
      </c>
      <c r="S142" s="4">
        <f t="shared" si="52"/>
        <v>0.11123393105512097</v>
      </c>
      <c r="T142" s="5">
        <f t="shared" si="36"/>
        <v>9.5302966324142258E-2</v>
      </c>
      <c r="U142" s="4">
        <f t="shared" si="37"/>
        <v>0</v>
      </c>
      <c r="V142" s="4">
        <f t="shared" si="38"/>
        <v>0</v>
      </c>
      <c r="W142" s="5">
        <f t="shared" si="39"/>
        <v>0</v>
      </c>
      <c r="X142" s="5">
        <f t="shared" si="40"/>
        <v>-30.425379635250067</v>
      </c>
      <c r="Y142" s="5">
        <f t="shared" si="41"/>
        <v>-4.4332661545461596</v>
      </c>
      <c r="Z142" s="5">
        <f>1</f>
        <v>1</v>
      </c>
      <c r="AA142" s="5">
        <f>IF(M142=0,0,const*($T142/omega)*O142*(wy*I142-wz*(H142-V142))/Z142)</f>
        <v>0</v>
      </c>
      <c r="AB142" s="5">
        <f>IF(M142=0,0,const*($T142/omega)*O142*(wz*(G142-U142)-wx*I142)/Z142)</f>
        <v>-2.7136270347611315</v>
      </c>
      <c r="AC142" s="5">
        <f>IF(M142=0,0,const*($T142/omega)*O142*(wx*(H142-V142)-wy*(G142-U142))/Z142)</f>
        <v>18.623545224420997</v>
      </c>
      <c r="AD142" s="5">
        <f t="shared" si="54"/>
        <v>0</v>
      </c>
      <c r="AE142" s="5">
        <f t="shared" si="54"/>
        <v>-33.139006670011199</v>
      </c>
      <c r="AF142" s="5">
        <f t="shared" si="42"/>
        <v>-17.983720930125163</v>
      </c>
      <c r="AG142">
        <f t="shared" si="53"/>
        <v>0</v>
      </c>
    </row>
    <row r="143" spans="1:33" x14ac:dyDescent="0.2">
      <c r="A143">
        <f t="shared" si="43"/>
        <v>1.1100000000000008</v>
      </c>
      <c r="B143" s="5">
        <f t="shared" si="44"/>
        <v>0</v>
      </c>
      <c r="C143" s="5">
        <f t="shared" si="45"/>
        <v>228.12933930117501</v>
      </c>
      <c r="D143" s="5">
        <f t="shared" si="46"/>
        <v>40.089281750692244</v>
      </c>
      <c r="E143" s="2">
        <f t="shared" si="28"/>
        <v>76.043113100391665</v>
      </c>
      <c r="F143" s="2">
        <f t="shared" si="47"/>
        <v>0</v>
      </c>
      <c r="G143" s="3">
        <f t="shared" si="48"/>
        <v>0</v>
      </c>
      <c r="H143" s="3">
        <f t="shared" si="49"/>
        <v>184.13936542750906</v>
      </c>
      <c r="I143" s="3">
        <f t="shared" si="50"/>
        <v>26.69930009778254</v>
      </c>
      <c r="J143" s="2">
        <f t="shared" si="29"/>
        <v>186.0649309401349</v>
      </c>
      <c r="K143" s="2">
        <f t="shared" si="51"/>
        <v>126.83362708938984</v>
      </c>
      <c r="L143" s="5">
        <f t="shared" si="30"/>
        <v>18.807516782186983</v>
      </c>
      <c r="M143" s="3">
        <f t="shared" si="31"/>
        <v>20.727372181042949</v>
      </c>
      <c r="N143" s="2">
        <v>0</v>
      </c>
      <c r="O143" s="2">
        <f t="shared" si="32"/>
        <v>186.0649309401349</v>
      </c>
      <c r="P143" s="2">
        <f t="shared" si="33"/>
        <v>126.83362708938984</v>
      </c>
      <c r="Q143" s="5">
        <f t="shared" si="34"/>
        <v>1.5681499661664191</v>
      </c>
      <c r="R143" s="5">
        <f t="shared" si="35"/>
        <v>0.15573130537702864</v>
      </c>
      <c r="S143" s="4">
        <f t="shared" si="52"/>
        <v>0.11139859658836966</v>
      </c>
      <c r="T143" s="5">
        <f t="shared" si="36"/>
        <v>9.5359374111628828E-2</v>
      </c>
      <c r="U143" s="4">
        <f t="shared" si="37"/>
        <v>0</v>
      </c>
      <c r="V143" s="4">
        <f t="shared" si="38"/>
        <v>0</v>
      </c>
      <c r="W143" s="5">
        <f t="shared" si="39"/>
        <v>0</v>
      </c>
      <c r="X143" s="5">
        <f t="shared" si="40"/>
        <v>-30.319771966201298</v>
      </c>
      <c r="Y143" s="5">
        <f t="shared" si="41"/>
        <v>-4.3962174450993672</v>
      </c>
      <c r="Z143" s="5">
        <f>1</f>
        <v>1</v>
      </c>
      <c r="AA143" s="5">
        <f>IF(M143=0,0,const*($T143/omega)*O143*(wy*I143-wz*(H143-V143))/Z143)</f>
        <v>0</v>
      </c>
      <c r="AB143" s="5">
        <f>IF(M143=0,0,const*($T143/omega)*O143*(wz*(G143-U143)-wx*I143)/Z143)</f>
        <v>-2.6919477943651611</v>
      </c>
      <c r="AC143" s="5">
        <f>IF(M143=0,0,const*($T143/omega)*O143*(wx*(H143-V143)-wy*(G143-U143))/Z143)</f>
        <v>18.565788496438984</v>
      </c>
      <c r="AD143" s="5">
        <f t="shared" si="54"/>
        <v>0</v>
      </c>
      <c r="AE143" s="5">
        <f t="shared" si="54"/>
        <v>-33.011719760566457</v>
      </c>
      <c r="AF143" s="5">
        <f t="shared" si="42"/>
        <v>-18.004428948660383</v>
      </c>
      <c r="AG143">
        <f t="shared" si="53"/>
        <v>0</v>
      </c>
    </row>
    <row r="144" spans="1:33" x14ac:dyDescent="0.2">
      <c r="A144">
        <f t="shared" si="43"/>
        <v>1.1200000000000008</v>
      </c>
      <c r="B144" s="5">
        <f t="shared" si="44"/>
        <v>0</v>
      </c>
      <c r="C144" s="5">
        <f t="shared" si="45"/>
        <v>229.96908236946209</v>
      </c>
      <c r="D144" s="5">
        <f t="shared" si="46"/>
        <v>40.35537453022264</v>
      </c>
      <c r="E144" s="2">
        <f t="shared" si="28"/>
        <v>76.656360789820695</v>
      </c>
      <c r="F144" s="2">
        <f t="shared" si="47"/>
        <v>0</v>
      </c>
      <c r="G144" s="3">
        <f t="shared" si="48"/>
        <v>0</v>
      </c>
      <c r="H144" s="3">
        <f t="shared" si="49"/>
        <v>183.8092482299034</v>
      </c>
      <c r="I144" s="3">
        <f t="shared" si="50"/>
        <v>26.519255808295938</v>
      </c>
      <c r="J144" s="2">
        <f t="shared" si="29"/>
        <v>185.71244078808527</v>
      </c>
      <c r="K144" s="2">
        <f t="shared" si="51"/>
        <v>126.59334750380727</v>
      </c>
      <c r="L144" s="5">
        <f t="shared" si="30"/>
        <v>18.843214253083904</v>
      </c>
      <c r="M144" s="3">
        <f t="shared" si="31"/>
        <v>20.718691577950747</v>
      </c>
      <c r="N144" s="2">
        <v>0</v>
      </c>
      <c r="O144" s="2">
        <f t="shared" si="32"/>
        <v>185.71244078808527</v>
      </c>
      <c r="P144" s="2">
        <f t="shared" si="33"/>
        <v>126.59334750380727</v>
      </c>
      <c r="Q144" s="5">
        <f t="shared" si="34"/>
        <v>1.565179189152085</v>
      </c>
      <c r="R144" s="5">
        <f t="shared" si="35"/>
        <v>0.15576568124721171</v>
      </c>
      <c r="S144" s="4">
        <f t="shared" si="52"/>
        <v>0.1115632937138156</v>
      </c>
      <c r="T144" s="5">
        <f t="shared" si="36"/>
        <v>9.5415742701083259E-2</v>
      </c>
      <c r="U144" s="4">
        <f t="shared" si="37"/>
        <v>0</v>
      </c>
      <c r="V144" s="4">
        <f t="shared" si="38"/>
        <v>0</v>
      </c>
      <c r="W144" s="5">
        <f t="shared" si="39"/>
        <v>0</v>
      </c>
      <c r="X144" s="5">
        <f t="shared" si="40"/>
        <v>-30.214747827338815</v>
      </c>
      <c r="Y144" s="5">
        <f t="shared" si="41"/>
        <v>-4.3592617593111678</v>
      </c>
      <c r="Z144" s="5">
        <f>1</f>
        <v>1</v>
      </c>
      <c r="AA144" s="5">
        <f>IF(M144=0,0,const*($T144/omega)*O144*(wy*I144-wz*(H144-V144))/Z144)</f>
        <v>0</v>
      </c>
      <c r="AB144" s="5">
        <f>IF(M144=0,0,const*($T144/omega)*O144*(wz*(G144-U144)-wx*I144)/Z144)</f>
        <v>-2.6703070603400416</v>
      </c>
      <c r="AC144" s="5">
        <f>IF(M144=0,0,const*($T144/omega)*O144*(wx*(H144-V144)-wy*(G144-U144))/Z144)</f>
        <v>18.508329828417072</v>
      </c>
      <c r="AD144" s="5">
        <f t="shared" si="54"/>
        <v>0</v>
      </c>
      <c r="AE144" s="5">
        <f t="shared" si="54"/>
        <v>-32.885054887678855</v>
      </c>
      <c r="AF144" s="5">
        <f t="shared" si="42"/>
        <v>-18.024931930894095</v>
      </c>
      <c r="AG144">
        <f t="shared" si="53"/>
        <v>0</v>
      </c>
    </row>
    <row r="145" spans="1:33" x14ac:dyDescent="0.2">
      <c r="A145">
        <f t="shared" si="43"/>
        <v>1.1300000000000008</v>
      </c>
      <c r="B145" s="5">
        <f t="shared" si="44"/>
        <v>0</v>
      </c>
      <c r="C145" s="5">
        <f t="shared" si="45"/>
        <v>231.80553059901675</v>
      </c>
      <c r="D145" s="5">
        <f t="shared" si="46"/>
        <v>40.619665841709057</v>
      </c>
      <c r="E145" s="2">
        <f t="shared" si="28"/>
        <v>77.268510199672249</v>
      </c>
      <c r="F145" s="2">
        <f t="shared" si="47"/>
        <v>0</v>
      </c>
      <c r="G145" s="3">
        <f t="shared" si="48"/>
        <v>0</v>
      </c>
      <c r="H145" s="3">
        <f t="shared" si="49"/>
        <v>183.4803976810266</v>
      </c>
      <c r="I145" s="3">
        <f t="shared" si="50"/>
        <v>26.339006488986996</v>
      </c>
      <c r="J145" s="2">
        <f t="shared" si="29"/>
        <v>185.36126778810768</v>
      </c>
      <c r="K145" s="2">
        <f t="shared" si="51"/>
        <v>126.35396577239787</v>
      </c>
      <c r="L145" s="5">
        <f t="shared" si="30"/>
        <v>18.878913340371334</v>
      </c>
      <c r="M145" s="3">
        <f t="shared" si="31"/>
        <v>20.710047523520348</v>
      </c>
      <c r="N145" s="2">
        <v>0</v>
      </c>
      <c r="O145" s="2">
        <f t="shared" si="32"/>
        <v>185.36126778810768</v>
      </c>
      <c r="P145" s="2">
        <f t="shared" si="33"/>
        <v>126.35396577239787</v>
      </c>
      <c r="Q145" s="5">
        <f t="shared" si="34"/>
        <v>1.5622195130580954</v>
      </c>
      <c r="R145" s="5">
        <f t="shared" si="35"/>
        <v>0.15580006330393945</v>
      </c>
      <c r="S145" s="4">
        <f t="shared" si="52"/>
        <v>0.11172802047941675</v>
      </c>
      <c r="T145" s="5">
        <f t="shared" si="36"/>
        <v>9.5472071514648968E-2</v>
      </c>
      <c r="U145" s="4">
        <f t="shared" si="37"/>
        <v>0</v>
      </c>
      <c r="V145" s="4">
        <f t="shared" si="38"/>
        <v>0</v>
      </c>
      <c r="W145" s="5">
        <f t="shared" si="39"/>
        <v>0</v>
      </c>
      <c r="X145" s="5">
        <f t="shared" si="40"/>
        <v>-30.11030343799289</v>
      </c>
      <c r="Y145" s="5">
        <f t="shared" si="41"/>
        <v>-4.3223989464934149</v>
      </c>
      <c r="Z145" s="5">
        <f>1</f>
        <v>1</v>
      </c>
      <c r="AA145" s="5">
        <f>IF(M145=0,0,const*($T145/omega)*O145*(wy*I145-wz*(H145-V145))/Z145)</f>
        <v>0</v>
      </c>
      <c r="AB145" s="5">
        <f>IF(M145=0,0,const*($T145/omega)*O145*(wz*(G145-U145)-wx*I145)/Z145)</f>
        <v>-2.6487048373620796</v>
      </c>
      <c r="AC145" s="5">
        <f>IF(M145=0,0,const*($T145/omega)*O145*(wx*(H145-V145)-wy*(G145-U145))/Z145)</f>
        <v>18.451167362825778</v>
      </c>
      <c r="AD145" s="5">
        <f t="shared" si="54"/>
        <v>0</v>
      </c>
      <c r="AE145" s="5">
        <f t="shared" si="54"/>
        <v>-32.759008275354972</v>
      </c>
      <c r="AF145" s="5">
        <f t="shared" si="42"/>
        <v>-18.045231583667636</v>
      </c>
      <c r="AG145">
        <f t="shared" si="53"/>
        <v>0</v>
      </c>
    </row>
    <row r="146" spans="1:33" x14ac:dyDescent="0.2">
      <c r="A146">
        <f t="shared" si="43"/>
        <v>1.1400000000000008</v>
      </c>
      <c r="B146" s="5">
        <f t="shared" si="44"/>
        <v>0</v>
      </c>
      <c r="C146" s="5">
        <f t="shared" si="45"/>
        <v>233.63869662541325</v>
      </c>
      <c r="D146" s="5">
        <f t="shared" si="46"/>
        <v>40.882153645019741</v>
      </c>
      <c r="E146" s="2">
        <f t="shared" si="28"/>
        <v>77.879565541804411</v>
      </c>
      <c r="F146" s="2">
        <f t="shared" si="47"/>
        <v>0</v>
      </c>
      <c r="G146" s="3">
        <f t="shared" si="48"/>
        <v>0</v>
      </c>
      <c r="H146" s="3">
        <f t="shared" si="49"/>
        <v>183.15280759827306</v>
      </c>
      <c r="I146" s="3">
        <f t="shared" si="50"/>
        <v>26.158554173150321</v>
      </c>
      <c r="J146" s="2">
        <f t="shared" si="29"/>
        <v>185.01140745251269</v>
      </c>
      <c r="K146" s="2">
        <f t="shared" si="51"/>
        <v>126.11547883606863</v>
      </c>
      <c r="L146" s="5">
        <f t="shared" si="30"/>
        <v>18.914613749594078</v>
      </c>
      <c r="M146" s="3">
        <f t="shared" si="31"/>
        <v>20.701439771542965</v>
      </c>
      <c r="N146" s="2">
        <v>0</v>
      </c>
      <c r="O146" s="2">
        <f t="shared" si="32"/>
        <v>185.01140745251269</v>
      </c>
      <c r="P146" s="2">
        <f t="shared" si="33"/>
        <v>126.11547883606863</v>
      </c>
      <c r="Q146" s="5">
        <f t="shared" si="34"/>
        <v>1.5592709000623299</v>
      </c>
      <c r="R146" s="5">
        <f t="shared" si="35"/>
        <v>0.15583445113684186</v>
      </c>
      <c r="S146" s="4">
        <f t="shared" si="52"/>
        <v>0.11189277491906251</v>
      </c>
      <c r="T146" s="5">
        <f t="shared" si="36"/>
        <v>9.5528359971701143E-2</v>
      </c>
      <c r="U146" s="4">
        <f t="shared" si="37"/>
        <v>0</v>
      </c>
      <c r="V146" s="4">
        <f t="shared" si="38"/>
        <v>0</v>
      </c>
      <c r="W146" s="5">
        <f t="shared" si="39"/>
        <v>0</v>
      </c>
      <c r="X146" s="5">
        <f t="shared" si="40"/>
        <v>-30.006435048450811</v>
      </c>
      <c r="Y146" s="5">
        <f t="shared" si="41"/>
        <v>-4.285628853037676</v>
      </c>
      <c r="Z146" s="5">
        <f>1</f>
        <v>1</v>
      </c>
      <c r="AA146" s="5">
        <f>IF(M146=0,0,const*($T146/omega)*O146*(wy*I146-wz*(H146-V146))/Z146)</f>
        <v>0</v>
      </c>
      <c r="AB146" s="5">
        <f>IF(M146=0,0,const*($T146/omega)*O146*(wz*(G146-U146)-wx*I146)/Z146)</f>
        <v>-2.6271411282386388</v>
      </c>
      <c r="AC146" s="5">
        <f>IF(M146=0,0,const*($T146/omega)*O146*(wx*(H146-V146)-wy*(G146-U146))/Z146)</f>
        <v>18.394299257092829</v>
      </c>
      <c r="AD146" s="5">
        <f t="shared" si="54"/>
        <v>0</v>
      </c>
      <c r="AE146" s="5">
        <f t="shared" si="54"/>
        <v>-32.633576176689452</v>
      </c>
      <c r="AF146" s="5">
        <f t="shared" si="42"/>
        <v>-18.065329595944846</v>
      </c>
      <c r="AG146">
        <f t="shared" si="53"/>
        <v>0</v>
      </c>
    </row>
    <row r="147" spans="1:33" x14ac:dyDescent="0.2">
      <c r="A147">
        <f t="shared" si="43"/>
        <v>1.1500000000000008</v>
      </c>
      <c r="B147" s="5">
        <f t="shared" si="44"/>
        <v>0</v>
      </c>
      <c r="C147" s="5">
        <f t="shared" si="45"/>
        <v>235.46859302258716</v>
      </c>
      <c r="D147" s="5">
        <f t="shared" si="46"/>
        <v>41.142835920271452</v>
      </c>
      <c r="E147" s="2">
        <f t="shared" si="28"/>
        <v>78.489531007529052</v>
      </c>
      <c r="F147" s="2">
        <f t="shared" si="47"/>
        <v>0</v>
      </c>
      <c r="G147" s="3">
        <f t="shared" si="48"/>
        <v>0</v>
      </c>
      <c r="H147" s="3">
        <f t="shared" si="49"/>
        <v>182.82647183650616</v>
      </c>
      <c r="I147" s="3">
        <f t="shared" si="50"/>
        <v>25.977900877190873</v>
      </c>
      <c r="J147" s="2">
        <f t="shared" si="29"/>
        <v>184.66285532875835</v>
      </c>
      <c r="K147" s="2">
        <f t="shared" si="51"/>
        <v>125.87788365968531</v>
      </c>
      <c r="L147" s="5">
        <f t="shared" si="30"/>
        <v>18.950315183868323</v>
      </c>
      <c r="M147" s="3">
        <f t="shared" si="31"/>
        <v>20.692868077161091</v>
      </c>
      <c r="N147" s="2">
        <v>0</v>
      </c>
      <c r="O147" s="2">
        <f t="shared" si="32"/>
        <v>184.66285532875835</v>
      </c>
      <c r="P147" s="2">
        <f t="shared" si="33"/>
        <v>125.87788365968531</v>
      </c>
      <c r="Q147" s="5">
        <f t="shared" si="34"/>
        <v>1.5563333126388919</v>
      </c>
      <c r="R147" s="5">
        <f t="shared" si="35"/>
        <v>0.15586884433260495</v>
      </c>
      <c r="S147" s="4">
        <f t="shared" si="52"/>
        <v>0.11205755505253741</v>
      </c>
      <c r="T147" s="5">
        <f t="shared" si="36"/>
        <v>9.5584607488844203E-2</v>
      </c>
      <c r="U147" s="4">
        <f t="shared" si="37"/>
        <v>0</v>
      </c>
      <c r="V147" s="4">
        <f t="shared" si="38"/>
        <v>0</v>
      </c>
      <c r="W147" s="5">
        <f t="shared" si="39"/>
        <v>0</v>
      </c>
      <c r="X147" s="5">
        <f t="shared" si="40"/>
        <v>-29.903138939655602</v>
      </c>
      <c r="Y147" s="5">
        <f t="shared" si="41"/>
        <v>-4.2489513224644906</v>
      </c>
      <c r="Z147" s="5">
        <f>1</f>
        <v>1</v>
      </c>
      <c r="AA147" s="5">
        <f>IF(M147=0,0,const*($T147/omega)*O147*(wy*I147-wz*(H147-V147))/Z147)</f>
        <v>0</v>
      </c>
      <c r="AB147" s="5">
        <f>IF(M147=0,0,const*($T147/omega)*O147*(wz*(G147-U147)-wx*I147)/Z147)</f>
        <v>-2.6056159339343856</v>
      </c>
      <c r="AC147" s="5">
        <f>IF(M147=0,0,const*($T147/omega)*O147*(wx*(H147-V147)-wy*(G147-U147))/Z147)</f>
        <v>18.337723683458741</v>
      </c>
      <c r="AD147" s="5">
        <f t="shared" si="54"/>
        <v>0</v>
      </c>
      <c r="AE147" s="5">
        <f t="shared" si="54"/>
        <v>-32.508754873589986</v>
      </c>
      <c r="AF147" s="5">
        <f t="shared" si="42"/>
        <v>-18.085227639005751</v>
      </c>
      <c r="AG147">
        <f t="shared" si="53"/>
        <v>0</v>
      </c>
    </row>
    <row r="148" spans="1:33" x14ac:dyDescent="0.2">
      <c r="A148">
        <f t="shared" si="43"/>
        <v>1.1600000000000008</v>
      </c>
      <c r="B148" s="5">
        <f t="shared" si="44"/>
        <v>0</v>
      </c>
      <c r="C148" s="5">
        <f t="shared" si="45"/>
        <v>237.29523230320854</v>
      </c>
      <c r="D148" s="5">
        <f t="shared" si="46"/>
        <v>41.401710667661412</v>
      </c>
      <c r="E148" s="2">
        <f t="shared" si="28"/>
        <v>79.098410767736183</v>
      </c>
      <c r="F148" s="2">
        <f t="shared" si="47"/>
        <v>0</v>
      </c>
      <c r="G148" s="3">
        <f t="shared" si="48"/>
        <v>0</v>
      </c>
      <c r="H148" s="3">
        <f t="shared" si="49"/>
        <v>182.50138428777026</v>
      </c>
      <c r="I148" s="3">
        <f t="shared" si="50"/>
        <v>25.797048600800814</v>
      </c>
      <c r="J148" s="2">
        <f t="shared" si="29"/>
        <v>184.31560699914829</v>
      </c>
      <c r="K148" s="2">
        <f t="shared" si="51"/>
        <v>125.64117723186658</v>
      </c>
      <c r="L148" s="5">
        <f t="shared" si="30"/>
        <v>18.986017343877013</v>
      </c>
      <c r="M148" s="3">
        <f t="shared" si="31"/>
        <v>20.684332196854591</v>
      </c>
      <c r="N148" s="2">
        <v>0</v>
      </c>
      <c r="O148" s="2">
        <f t="shared" si="32"/>
        <v>184.31560699914829</v>
      </c>
      <c r="P148" s="2">
        <f t="shared" si="33"/>
        <v>125.64117723186658</v>
      </c>
      <c r="Q148" s="5">
        <f t="shared" si="34"/>
        <v>1.5534067135555614</v>
      </c>
      <c r="R148" s="5">
        <f t="shared" si="35"/>
        <v>0.15590324247496334</v>
      </c>
      <c r="S148" s="4">
        <f t="shared" si="52"/>
        <v>0.11222235888548587</v>
      </c>
      <c r="T148" s="5">
        <f t="shared" si="36"/>
        <v>9.5640813479909673E-2</v>
      </c>
      <c r="U148" s="4">
        <f t="shared" si="37"/>
        <v>0</v>
      </c>
      <c r="V148" s="4">
        <f t="shared" si="38"/>
        <v>0</v>
      </c>
      <c r="W148" s="5">
        <f t="shared" si="39"/>
        <v>0</v>
      </c>
      <c r="X148" s="5">
        <f t="shared" si="40"/>
        <v>-29.800411422908205</v>
      </c>
      <c r="Y148" s="5">
        <f t="shared" si="41"/>
        <v>-4.2123661954718603</v>
      </c>
      <c r="Z148" s="5">
        <f>1</f>
        <v>1</v>
      </c>
      <c r="AA148" s="5">
        <f>IF(M148=0,0,const*($T148/omega)*O148*(wy*I148-wz*(H148-V148))/Z148)</f>
        <v>0</v>
      </c>
      <c r="AB148" s="5">
        <f>IF(M148=0,0,const*($T148/omega)*O148*(wz*(G148-U148)-wx*I148)/Z148)</f>
        <v>-2.5841292535971401</v>
      </c>
      <c r="AC148" s="5">
        <f>IF(M148=0,0,const*($T148/omega)*O148*(wx*(H148-V148)-wy*(G148-U148))/Z148)</f>
        <v>18.281438828834105</v>
      </c>
      <c r="AD148" s="5">
        <f t="shared" si="54"/>
        <v>0</v>
      </c>
      <c r="AE148" s="5">
        <f t="shared" si="54"/>
        <v>-32.384540676505345</v>
      </c>
      <c r="AF148" s="5">
        <f t="shared" si="42"/>
        <v>-18.104927366637753</v>
      </c>
      <c r="AG148">
        <f t="shared" si="53"/>
        <v>0</v>
      </c>
    </row>
    <row r="149" spans="1:33" x14ac:dyDescent="0.2">
      <c r="A149">
        <f t="shared" si="43"/>
        <v>1.1700000000000008</v>
      </c>
      <c r="B149" s="5">
        <f t="shared" si="44"/>
        <v>0</v>
      </c>
      <c r="C149" s="5">
        <f t="shared" si="45"/>
        <v>239.11862691905242</v>
      </c>
      <c r="D149" s="5">
        <f t="shared" si="46"/>
        <v>41.658775907301084</v>
      </c>
      <c r="E149" s="2">
        <f t="shared" si="28"/>
        <v>79.706208973017468</v>
      </c>
      <c r="F149" s="2">
        <f t="shared" si="47"/>
        <v>0</v>
      </c>
      <c r="G149" s="3">
        <f t="shared" si="48"/>
        <v>0</v>
      </c>
      <c r="H149" s="3">
        <f t="shared" si="49"/>
        <v>182.1775388810052</v>
      </c>
      <c r="I149" s="3">
        <f t="shared" si="50"/>
        <v>25.615999327134436</v>
      </c>
      <c r="J149" s="2">
        <f t="shared" si="29"/>
        <v>183.96965808053218</v>
      </c>
      <c r="K149" s="2">
        <f t="shared" si="51"/>
        <v>125.40535656477994</v>
      </c>
      <c r="L149" s="5">
        <f t="shared" si="30"/>
        <v>19.021719927865433</v>
      </c>
      <c r="M149" s="3">
        <f t="shared" si="31"/>
        <v>20.675831888426949</v>
      </c>
      <c r="N149" s="2">
        <v>0</v>
      </c>
      <c r="O149" s="2">
        <f t="shared" si="32"/>
        <v>183.96965808053218</v>
      </c>
      <c r="P149" s="2">
        <f t="shared" si="33"/>
        <v>125.40535656477994</v>
      </c>
      <c r="Q149" s="5">
        <f t="shared" si="34"/>
        <v>1.5504910658712712</v>
      </c>
      <c r="R149" s="5">
        <f t="shared" si="35"/>
        <v>0.15593764514469313</v>
      </c>
      <c r="S149" s="4">
        <f t="shared" si="52"/>
        <v>0.11238718440937778</v>
      </c>
      <c r="T149" s="5">
        <f t="shared" si="36"/>
        <v>9.5696977355954282E-2</v>
      </c>
      <c r="U149" s="4">
        <f t="shared" si="37"/>
        <v>0</v>
      </c>
      <c r="V149" s="4">
        <f t="shared" si="38"/>
        <v>0</v>
      </c>
      <c r="W149" s="5">
        <f t="shared" si="39"/>
        <v>0</v>
      </c>
      <c r="X149" s="5">
        <f t="shared" si="40"/>
        <v>-29.698248839573001</v>
      </c>
      <c r="Y149" s="5">
        <f t="shared" si="41"/>
        <v>-4.1758733099829621</v>
      </c>
      <c r="Z149" s="5">
        <f>1</f>
        <v>1</v>
      </c>
      <c r="AA149" s="5">
        <f>IF(M149=0,0,const*($T149/omega)*O149*(wy*I149-wz*(H149-V149))/Z149)</f>
        <v>0</v>
      </c>
      <c r="AB149" s="5">
        <f>IF(M149=0,0,const*($T149/omega)*O149*(wz*(G149-U149)-wx*I149)/Z149)</f>
        <v>-2.562681084583335</v>
      </c>
      <c r="AC149" s="5">
        <f>IF(M149=0,0,const*($T149/omega)*O149*(wx*(H149-V149)-wy*(G149-U149))/Z149)</f>
        <v>18.225442894658414</v>
      </c>
      <c r="AD149" s="5">
        <f t="shared" si="54"/>
        <v>0</v>
      </c>
      <c r="AE149" s="5">
        <f t="shared" si="54"/>
        <v>-32.260929924156336</v>
      </c>
      <c r="AF149" s="5">
        <f t="shared" si="42"/>
        <v>-18.124430415324547</v>
      </c>
      <c r="AG149">
        <f t="shared" si="53"/>
        <v>0</v>
      </c>
    </row>
    <row r="150" spans="1:33" x14ac:dyDescent="0.2">
      <c r="A150">
        <f t="shared" si="43"/>
        <v>1.1800000000000008</v>
      </c>
      <c r="B150" s="5">
        <f t="shared" si="44"/>
        <v>0</v>
      </c>
      <c r="C150" s="5">
        <f t="shared" si="45"/>
        <v>240.93878926136625</v>
      </c>
      <c r="D150" s="5">
        <f t="shared" si="46"/>
        <v>41.914029679051666</v>
      </c>
      <c r="E150" s="2">
        <f t="shared" si="28"/>
        <v>80.312929753788751</v>
      </c>
      <c r="F150" s="2">
        <f t="shared" si="47"/>
        <v>0</v>
      </c>
      <c r="G150" s="3">
        <f t="shared" si="48"/>
        <v>0</v>
      </c>
      <c r="H150" s="3">
        <f t="shared" si="49"/>
        <v>181.85492958176363</v>
      </c>
      <c r="I150" s="3">
        <f t="shared" si="50"/>
        <v>25.434755022981189</v>
      </c>
      <c r="J150" s="2">
        <f t="shared" si="29"/>
        <v>183.62500422400885</v>
      </c>
      <c r="K150" s="2">
        <f t="shared" si="51"/>
        <v>125.17041869393923</v>
      </c>
      <c r="L150" s="5">
        <f t="shared" si="30"/>
        <v>19.057422631636907</v>
      </c>
      <c r="M150" s="3">
        <f t="shared" si="31"/>
        <v>20.667366910991653</v>
      </c>
      <c r="N150" s="2">
        <v>0</v>
      </c>
      <c r="O150" s="2">
        <f t="shared" si="32"/>
        <v>183.62500422400885</v>
      </c>
      <c r="P150" s="2">
        <f t="shared" si="33"/>
        <v>125.17041869393923</v>
      </c>
      <c r="Q150" s="5">
        <f t="shared" si="34"/>
        <v>1.5475863329336066</v>
      </c>
      <c r="R150" s="5">
        <f t="shared" si="35"/>
        <v>0.15597205191960495</v>
      </c>
      <c r="S150" s="4">
        <f t="shared" si="52"/>
        <v>0.1125520296014752</v>
      </c>
      <c r="T150" s="5">
        <f t="shared" si="36"/>
        <v>9.5753098525258304E-2</v>
      </c>
      <c r="U150" s="4">
        <f t="shared" si="37"/>
        <v>0</v>
      </c>
      <c r="V150" s="4">
        <f t="shared" si="38"/>
        <v>0</v>
      </c>
      <c r="W150" s="5">
        <f t="shared" si="39"/>
        <v>0</v>
      </c>
      <c r="X150" s="5">
        <f t="shared" si="40"/>
        <v>-29.596647560786522</v>
      </c>
      <c r="Y150" s="5">
        <f t="shared" si="41"/>
        <v>-4.1394725011931044</v>
      </c>
      <c r="Z150" s="5">
        <f>1</f>
        <v>1</v>
      </c>
      <c r="AA150" s="5">
        <f>IF(M150=0,0,const*($T150/omega)*O150*(wy*I150-wz*(H150-V150))/Z150)</f>
        <v>0</v>
      </c>
      <c r="AB150" s="5">
        <f>IF(M150=0,0,const*($T150/omega)*O150*(wz*(G150-U150)-wx*I150)/Z150)</f>
        <v>-2.541271422483089</v>
      </c>
      <c r="AC150" s="5">
        <f>IF(M150=0,0,const*($T150/omega)*O150*(wx*(H150-V150)-wy*(G150-U150))/Z150)</f>
        <v>18.16973409676045</v>
      </c>
      <c r="AD150" s="5">
        <f t="shared" si="54"/>
        <v>0</v>
      </c>
      <c r="AE150" s="5">
        <f t="shared" si="54"/>
        <v>-32.137918983269614</v>
      </c>
      <c r="AF150" s="5">
        <f t="shared" si="42"/>
        <v>-18.143738404432654</v>
      </c>
      <c r="AG150">
        <f t="shared" si="53"/>
        <v>0</v>
      </c>
    </row>
    <row r="151" spans="1:33" x14ac:dyDescent="0.2">
      <c r="A151">
        <f t="shared" si="43"/>
        <v>1.1900000000000008</v>
      </c>
      <c r="B151" s="5">
        <f t="shared" si="44"/>
        <v>0</v>
      </c>
      <c r="C151" s="5">
        <f t="shared" si="45"/>
        <v>242.75573166123473</v>
      </c>
      <c r="D151" s="5">
        <f t="shared" si="46"/>
        <v>42.167470042361252</v>
      </c>
      <c r="E151" s="2">
        <f t="shared" si="28"/>
        <v>80.918577220411578</v>
      </c>
      <c r="F151" s="2">
        <f t="shared" si="47"/>
        <v>0</v>
      </c>
      <c r="G151" s="3">
        <f t="shared" si="48"/>
        <v>0</v>
      </c>
      <c r="H151" s="3">
        <f t="shared" si="49"/>
        <v>181.53355039193093</v>
      </c>
      <c r="I151" s="3">
        <f t="shared" si="50"/>
        <v>25.253317638936863</v>
      </c>
      <c r="J151" s="2">
        <f t="shared" si="29"/>
        <v>183.28164111463201</v>
      </c>
      <c r="K151" s="2">
        <f t="shared" si="51"/>
        <v>124.93636067800409</v>
      </c>
      <c r="L151" s="5">
        <f t="shared" si="30"/>
        <v>19.093125148548651</v>
      </c>
      <c r="M151" s="3">
        <f t="shared" si="31"/>
        <v>20.658937024958806</v>
      </c>
      <c r="N151" s="2">
        <v>0</v>
      </c>
      <c r="O151" s="2">
        <f t="shared" si="32"/>
        <v>183.28164111463201</v>
      </c>
      <c r="P151" s="2">
        <f t="shared" si="33"/>
        <v>124.93636067800409</v>
      </c>
      <c r="Q151" s="5">
        <f t="shared" si="34"/>
        <v>1.544692478376321</v>
      </c>
      <c r="R151" s="5">
        <f t="shared" si="35"/>
        <v>0.15600646237453719</v>
      </c>
      <c r="S151" s="4">
        <f t="shared" si="52"/>
        <v>0.11271689242480017</v>
      </c>
      <c r="T151" s="5">
        <f t="shared" si="36"/>
        <v>9.5809176393324244E-2</v>
      </c>
      <c r="U151" s="4">
        <f t="shared" si="37"/>
        <v>0</v>
      </c>
      <c r="V151" s="4">
        <f t="shared" si="38"/>
        <v>0</v>
      </c>
      <c r="W151" s="5">
        <f t="shared" si="39"/>
        <v>0</v>
      </c>
      <c r="X151" s="5">
        <f t="shared" si="40"/>
        <v>-29.495603987169527</v>
      </c>
      <c r="Y151" s="5">
        <f t="shared" si="41"/>
        <v>-4.1031636016159432</v>
      </c>
      <c r="Z151" s="5">
        <f>1</f>
        <v>1</v>
      </c>
      <c r="AA151" s="5">
        <f>IF(M151=0,0,const*($T151/omega)*O151*(wy*I151-wz*(H151-V151))/Z151)</f>
        <v>0</v>
      </c>
      <c r="AB151" s="5">
        <f>IF(M151=0,0,const*($T151/omega)*O151*(wz*(G151-U151)-wx*I151)/Z151)</f>
        <v>-2.5199002611449082</v>
      </c>
      <c r="AC151" s="5">
        <f>IF(M151=0,0,const*($T151/omega)*O151*(wx*(H151-V151)-wy*(G151-U151))/Z151)</f>
        <v>18.114310665220266</v>
      </c>
      <c r="AD151" s="5">
        <f t="shared" si="54"/>
        <v>0</v>
      </c>
      <c r="AE151" s="5">
        <f t="shared" si="54"/>
        <v>-32.015504248314436</v>
      </c>
      <c r="AF151" s="5">
        <f t="shared" si="42"/>
        <v>-18.162852936395677</v>
      </c>
      <c r="AG151">
        <f t="shared" si="53"/>
        <v>0</v>
      </c>
    </row>
    <row r="152" spans="1:33" x14ac:dyDescent="0.2">
      <c r="A152">
        <f t="shared" si="43"/>
        <v>1.2000000000000008</v>
      </c>
      <c r="B152" s="5">
        <f t="shared" si="44"/>
        <v>0</v>
      </c>
      <c r="C152" s="5">
        <f t="shared" si="45"/>
        <v>244.56946638994162</v>
      </c>
      <c r="D152" s="5">
        <f t="shared" si="46"/>
        <v>42.419095076103801</v>
      </c>
      <c r="E152" s="2">
        <f t="shared" si="28"/>
        <v>81.52315546331387</v>
      </c>
      <c r="F152" s="2">
        <f t="shared" si="47"/>
        <v>0</v>
      </c>
      <c r="G152" s="3">
        <f t="shared" si="48"/>
        <v>0</v>
      </c>
      <c r="H152" s="3">
        <f t="shared" si="49"/>
        <v>181.21339534944778</v>
      </c>
      <c r="I152" s="3">
        <f t="shared" si="50"/>
        <v>25.071689109572908</v>
      </c>
      <c r="J152" s="2">
        <f t="shared" si="29"/>
        <v>182.93956447111799</v>
      </c>
      <c r="K152" s="2">
        <f t="shared" si="51"/>
        <v>124.70317959858076</v>
      </c>
      <c r="L152" s="5">
        <f t="shared" si="30"/>
        <v>19.128827169507819</v>
      </c>
      <c r="M152" s="3">
        <f t="shared" si="31"/>
        <v>20.650541992021793</v>
      </c>
      <c r="N152" s="2">
        <v>0</v>
      </c>
      <c r="O152" s="2">
        <f t="shared" si="32"/>
        <v>182.93956447111799</v>
      </c>
      <c r="P152" s="2">
        <f t="shared" si="33"/>
        <v>124.70317959858076</v>
      </c>
      <c r="Q152" s="5">
        <f t="shared" si="34"/>
        <v>1.5418094661168782</v>
      </c>
      <c r="R152" s="5">
        <f t="shared" si="35"/>
        <v>0.15604087608134959</v>
      </c>
      <c r="S152" s="4">
        <f t="shared" si="52"/>
        <v>0.11288177082810343</v>
      </c>
      <c r="T152" s="5">
        <f t="shared" si="36"/>
        <v>9.5865210362875874E-2</v>
      </c>
      <c r="U152" s="4">
        <f t="shared" si="37"/>
        <v>0</v>
      </c>
      <c r="V152" s="4">
        <f t="shared" si="38"/>
        <v>0</v>
      </c>
      <c r="W152" s="5">
        <f t="shared" si="39"/>
        <v>0</v>
      </c>
      <c r="X152" s="5">
        <f t="shared" si="40"/>
        <v>-29.395114548542132</v>
      </c>
      <c r="Y152" s="5">
        <f t="shared" si="41"/>
        <v>-4.0669464411289606</v>
      </c>
      <c r="Z152" s="5">
        <f>1</f>
        <v>1</v>
      </c>
      <c r="AA152" s="5">
        <f>IF(M152=0,0,const*($T152/omega)*O152*(wy*I152-wz*(H152-V152))/Z152)</f>
        <v>0</v>
      </c>
      <c r="AB152" s="5">
        <f>IF(M152=0,0,const*($T152/omega)*O152*(wz*(G152-U152)-wx*I152)/Z152)</f>
        <v>-2.4985675927000033</v>
      </c>
      <c r="AC152" s="5">
        <f>IF(M152=0,0,const*($T152/omega)*O152*(wx*(H152-V152)-wy*(G152-U152))/Z152)</f>
        <v>18.059170844232629</v>
      </c>
      <c r="AD152" s="5">
        <f t="shared" si="54"/>
        <v>0</v>
      </c>
      <c r="AE152" s="5">
        <f t="shared" si="54"/>
        <v>-31.893682141242135</v>
      </c>
      <c r="AF152" s="5">
        <f t="shared" si="42"/>
        <v>-18.18177559689633</v>
      </c>
      <c r="AG152">
        <f t="shared" si="53"/>
        <v>0</v>
      </c>
    </row>
    <row r="153" spans="1:33" x14ac:dyDescent="0.2">
      <c r="A153">
        <f t="shared" si="43"/>
        <v>1.2100000000000009</v>
      </c>
      <c r="B153" s="5">
        <f t="shared" si="44"/>
        <v>0</v>
      </c>
      <c r="C153" s="5">
        <f t="shared" si="45"/>
        <v>246.38000565932904</v>
      </c>
      <c r="D153" s="5">
        <f t="shared" si="46"/>
        <v>42.668902878419686</v>
      </c>
      <c r="E153" s="2">
        <f t="shared" si="28"/>
        <v>82.126668553109681</v>
      </c>
      <c r="F153" s="2">
        <f t="shared" si="47"/>
        <v>0</v>
      </c>
      <c r="G153" s="3">
        <f t="shared" si="48"/>
        <v>0</v>
      </c>
      <c r="H153" s="3">
        <f t="shared" si="49"/>
        <v>180.89445852803536</v>
      </c>
      <c r="I153" s="3">
        <f t="shared" si="50"/>
        <v>24.889871353603944</v>
      </c>
      <c r="J153" s="2">
        <f t="shared" si="29"/>
        <v>182.59877004555659</v>
      </c>
      <c r="K153" s="2">
        <f t="shared" si="51"/>
        <v>124.47087256002493</v>
      </c>
      <c r="L153" s="5">
        <f t="shared" si="30"/>
        <v>19.164528382967632</v>
      </c>
      <c r="M153" s="3">
        <f t="shared" si="31"/>
        <v>20.642181575144189</v>
      </c>
      <c r="N153" s="2">
        <v>0</v>
      </c>
      <c r="O153" s="2">
        <f t="shared" si="32"/>
        <v>182.59877004555659</v>
      </c>
      <c r="P153" s="2">
        <f t="shared" si="33"/>
        <v>124.47087256002493</v>
      </c>
      <c r="Q153" s="5">
        <f t="shared" si="34"/>
        <v>1.5389372603540104</v>
      </c>
      <c r="R153" s="5">
        <f t="shared" si="35"/>
        <v>0.15607529260891681</v>
      </c>
      <c r="S153" s="4">
        <f t="shared" si="52"/>
        <v>0.11304666274583432</v>
      </c>
      <c r="T153" s="5">
        <f t="shared" si="36"/>
        <v>9.5921199833857357E-2</v>
      </c>
      <c r="U153" s="4">
        <f t="shared" si="37"/>
        <v>0</v>
      </c>
      <c r="V153" s="4">
        <f t="shared" si="38"/>
        <v>0</v>
      </c>
      <c r="W153" s="5">
        <f t="shared" si="39"/>
        <v>0</v>
      </c>
      <c r="X153" s="5">
        <f t="shared" si="40"/>
        <v>-29.295175703642208</v>
      </c>
      <c r="Y153" s="5">
        <f t="shared" si="41"/>
        <v>-4.0308208470182239</v>
      </c>
      <c r="Z153" s="5">
        <f>1</f>
        <v>1</v>
      </c>
      <c r="AA153" s="5">
        <f>IF(M153=0,0,const*($T153/omega)*O153*(wy*I153-wz*(H153-V153))/Z153)</f>
        <v>0</v>
      </c>
      <c r="AB153" s="5">
        <f>IF(M153=0,0,const*($T153/omega)*O153*(wz*(G153-U153)-wx*I153)/Z153)</f>
        <v>-2.4772734075862552</v>
      </c>
      <c r="AC153" s="5">
        <f>IF(M153=0,0,const*($T153/omega)*O153*(wx*(H153-V153)-wy*(G153-U153))/Z153)</f>
        <v>18.004312891972024</v>
      </c>
      <c r="AD153" s="5">
        <f t="shared" si="54"/>
        <v>0</v>
      </c>
      <c r="AE153" s="5">
        <f t="shared" si="54"/>
        <v>-31.772449111228465</v>
      </c>
      <c r="AF153" s="5">
        <f t="shared" si="42"/>
        <v>-18.200507955046199</v>
      </c>
      <c r="AG153">
        <f t="shared" si="53"/>
        <v>0</v>
      </c>
    </row>
    <row r="154" spans="1:33" x14ac:dyDescent="0.2">
      <c r="A154">
        <f t="shared" si="43"/>
        <v>1.2200000000000009</v>
      </c>
      <c r="B154" s="5">
        <f t="shared" si="44"/>
        <v>0</v>
      </c>
      <c r="C154" s="5">
        <f t="shared" si="45"/>
        <v>248.18736162215384</v>
      </c>
      <c r="D154" s="5">
        <f t="shared" si="46"/>
        <v>42.916891566557972</v>
      </c>
      <c r="E154" s="2">
        <f t="shared" si="28"/>
        <v>82.729120540717943</v>
      </c>
      <c r="F154" s="2">
        <f t="shared" si="47"/>
        <v>0</v>
      </c>
      <c r="G154" s="3">
        <f t="shared" si="48"/>
        <v>0</v>
      </c>
      <c r="H154" s="3">
        <f t="shared" si="49"/>
        <v>180.57673403692309</v>
      </c>
      <c r="I154" s="3">
        <f t="shared" si="50"/>
        <v>24.707866274053483</v>
      </c>
      <c r="J154" s="2">
        <f t="shared" si="29"/>
        <v>182.25925362312381</v>
      </c>
      <c r="K154" s="2">
        <f t="shared" si="51"/>
        <v>124.23943668924595</v>
      </c>
      <c r="L154" s="5">
        <f t="shared" si="30"/>
        <v>19.200228474923733</v>
      </c>
      <c r="M154" s="3">
        <f t="shared" si="31"/>
        <v>20.633855538546772</v>
      </c>
      <c r="N154" s="2">
        <v>0</v>
      </c>
      <c r="O154" s="2">
        <f t="shared" si="32"/>
        <v>182.25925362312381</v>
      </c>
      <c r="P154" s="2">
        <f t="shared" si="33"/>
        <v>124.23943668924595</v>
      </c>
      <c r="Q154" s="5">
        <f t="shared" si="34"/>
        <v>1.5360758255653011</v>
      </c>
      <c r="R154" s="5">
        <f t="shared" si="35"/>
        <v>0.15610971152312242</v>
      </c>
      <c r="S154" s="4">
        <f t="shared" si="52"/>
        <v>0.11321156609811163</v>
      </c>
      <c r="T154" s="5">
        <f t="shared" si="36"/>
        <v>9.5977144203432799E-2</v>
      </c>
      <c r="U154" s="4">
        <f t="shared" si="37"/>
        <v>0</v>
      </c>
      <c r="V154" s="4">
        <f t="shared" si="38"/>
        <v>0</v>
      </c>
      <c r="W154" s="5">
        <f t="shared" si="39"/>
        <v>0</v>
      </c>
      <c r="X154" s="5">
        <f t="shared" si="40"/>
        <v>-29.195783939846809</v>
      </c>
      <c r="Y154" s="5">
        <f t="shared" si="41"/>
        <v>-3.9947866440224433</v>
      </c>
      <c r="Z154" s="5">
        <f>1</f>
        <v>1</v>
      </c>
      <c r="AA154" s="5">
        <f>IF(M154=0,0,const*($T154/omega)*O154*(wy*I154-wz*(H154-V154))/Z154)</f>
        <v>0</v>
      </c>
      <c r="AB154" s="5">
        <f>IF(M154=0,0,const*($T154/omega)*O154*(wz*(G154-U154)-wx*I154)/Z154)</f>
        <v>-2.45601769457181</v>
      </c>
      <c r="AC154" s="5">
        <f>IF(M154=0,0,const*($T154/omega)*O154*(wx*(H154-V154)-wy*(G154-U154))/Z154)</f>
        <v>17.949735080459124</v>
      </c>
      <c r="AD154" s="5">
        <f t="shared" si="54"/>
        <v>0</v>
      </c>
      <c r="AE154" s="5">
        <f t="shared" si="54"/>
        <v>-31.651801634418618</v>
      </c>
      <c r="AF154" s="5">
        <f t="shared" si="42"/>
        <v>-18.219051563563319</v>
      </c>
      <c r="AG154">
        <f t="shared" si="53"/>
        <v>0</v>
      </c>
    </row>
    <row r="155" spans="1:33" x14ac:dyDescent="0.2">
      <c r="A155">
        <f t="shared" si="43"/>
        <v>1.2300000000000009</v>
      </c>
      <c r="B155" s="5">
        <f t="shared" si="44"/>
        <v>0</v>
      </c>
      <c r="C155" s="5">
        <f t="shared" si="45"/>
        <v>249.99154637244138</v>
      </c>
      <c r="D155" s="5">
        <f t="shared" si="46"/>
        <v>43.163059276720325</v>
      </c>
      <c r="E155" s="2">
        <f t="shared" si="28"/>
        <v>83.330515457480459</v>
      </c>
      <c r="F155" s="2">
        <f t="shared" si="47"/>
        <v>0</v>
      </c>
      <c r="G155" s="3">
        <f t="shared" si="48"/>
        <v>0</v>
      </c>
      <c r="H155" s="3">
        <f t="shared" si="49"/>
        <v>180.26021602057889</v>
      </c>
      <c r="I155" s="3">
        <f t="shared" si="50"/>
        <v>24.525675758417851</v>
      </c>
      <c r="J155" s="2">
        <f t="shared" si="29"/>
        <v>181.92101102179709</v>
      </c>
      <c r="K155" s="2">
        <f t="shared" si="51"/>
        <v>124.00886913551267</v>
      </c>
      <c r="L155" s="5">
        <f t="shared" si="30"/>
        <v>19.235927128910699</v>
      </c>
      <c r="M155" s="3">
        <f t="shared" si="31"/>
        <v>20.625563647694694</v>
      </c>
      <c r="N155" s="2">
        <v>0</v>
      </c>
      <c r="O155" s="2">
        <f t="shared" si="32"/>
        <v>181.92101102179709</v>
      </c>
      <c r="P155" s="2">
        <f t="shared" si="33"/>
        <v>124.00886913551267</v>
      </c>
      <c r="Q155" s="5">
        <f t="shared" si="34"/>
        <v>1.5332251265047823</v>
      </c>
      <c r="R155" s="5">
        <f t="shared" si="35"/>
        <v>0.1561441323868531</v>
      </c>
      <c r="S155" s="4">
        <f t="shared" si="52"/>
        <v>0.11337647879069569</v>
      </c>
      <c r="T155" s="5">
        <f t="shared" si="36"/>
        <v>9.6033042865986143E-2</v>
      </c>
      <c r="U155" s="4">
        <f t="shared" si="37"/>
        <v>0</v>
      </c>
      <c r="V155" s="4">
        <f t="shared" si="38"/>
        <v>0</v>
      </c>
      <c r="W155" s="5">
        <f t="shared" si="39"/>
        <v>0</v>
      </c>
      <c r="X155" s="5">
        <f t="shared" si="40"/>
        <v>-29.096935772896732</v>
      </c>
      <c r="Y155" s="5">
        <f t="shared" si="41"/>
        <v>-3.9588436543763263</v>
      </c>
      <c r="Z155" s="5">
        <f>1</f>
        <v>1</v>
      </c>
      <c r="AA155" s="5">
        <f>IF(M155=0,0,const*($T155/omega)*O155*(wy*I155-wz*(H155-V155))/Z155)</f>
        <v>0</v>
      </c>
      <c r="AB155" s="5">
        <f>IF(M155=0,0,const*($T155/omega)*O155*(wz*(G155-U155)-wx*I155)/Z155)</f>
        <v>-2.4348004407783246</v>
      </c>
      <c r="AC155" s="5">
        <f>IF(M155=0,0,const*($T155/omega)*O155*(wx*(H155-V155)-wy*(G155-U155))/Z155)</f>
        <v>17.895435695428713</v>
      </c>
      <c r="AD155" s="5">
        <f t="shared" si="54"/>
        <v>0</v>
      </c>
      <c r="AE155" s="5">
        <f t="shared" si="54"/>
        <v>-31.531736213675057</v>
      </c>
      <c r="AF155" s="5">
        <f t="shared" si="42"/>
        <v>-18.237407958947614</v>
      </c>
      <c r="AG155">
        <f t="shared" si="53"/>
        <v>0</v>
      </c>
    </row>
    <row r="156" spans="1:33" x14ac:dyDescent="0.2">
      <c r="A156">
        <f t="shared" si="43"/>
        <v>1.2400000000000009</v>
      </c>
      <c r="B156" s="5">
        <f t="shared" si="44"/>
        <v>0</v>
      </c>
      <c r="C156" s="5">
        <f t="shared" si="45"/>
        <v>251.7925719458365</v>
      </c>
      <c r="D156" s="5">
        <f t="shared" si="46"/>
        <v>43.407404163906556</v>
      </c>
      <c r="E156" s="2">
        <f t="shared" si="28"/>
        <v>83.930857315278828</v>
      </c>
      <c r="F156" s="2">
        <f t="shared" si="47"/>
        <v>0</v>
      </c>
      <c r="G156" s="3">
        <f t="shared" si="48"/>
        <v>0</v>
      </c>
      <c r="H156" s="3">
        <f t="shared" si="49"/>
        <v>179.94489865844216</v>
      </c>
      <c r="I156" s="3">
        <f t="shared" si="50"/>
        <v>24.343301678828375</v>
      </c>
      <c r="J156" s="2">
        <f t="shared" si="29"/>
        <v>181.58403809207314</v>
      </c>
      <c r="K156" s="2">
        <f t="shared" si="51"/>
        <v>123.77916707026117</v>
      </c>
      <c r="L156" s="5">
        <f t="shared" si="30"/>
        <v>19.271624025998637</v>
      </c>
      <c r="M156" s="3">
        <f t="shared" si="31"/>
        <v>20.617305669284814</v>
      </c>
      <c r="N156" s="2">
        <v>0</v>
      </c>
      <c r="O156" s="2">
        <f t="shared" si="32"/>
        <v>181.58403809207314</v>
      </c>
      <c r="P156" s="2">
        <f t="shared" si="33"/>
        <v>123.77916707026117</v>
      </c>
      <c r="Q156" s="5">
        <f t="shared" si="34"/>
        <v>1.5303851282005581</v>
      </c>
      <c r="R156" s="5">
        <f t="shared" si="35"/>
        <v>0.15617855475999293</v>
      </c>
      <c r="S156" s="4">
        <f t="shared" si="52"/>
        <v>0.1135413987149614</v>
      </c>
      <c r="T156" s="5">
        <f t="shared" si="36"/>
        <v>9.6088895213121125E-2</v>
      </c>
      <c r="U156" s="4">
        <f t="shared" si="37"/>
        <v>0</v>
      </c>
      <c r="V156" s="4">
        <f t="shared" si="38"/>
        <v>0</v>
      </c>
      <c r="W156" s="5">
        <f t="shared" si="39"/>
        <v>0</v>
      </c>
      <c r="X156" s="5">
        <f t="shared" si="40"/>
        <v>-28.998627746624138</v>
      </c>
      <c r="Y156" s="5">
        <f t="shared" si="41"/>
        <v>-3.9229916978532584</v>
      </c>
      <c r="Z156" s="5">
        <f>1</f>
        <v>1</v>
      </c>
      <c r="AA156" s="5">
        <f>IF(M156=0,0,const*($T156/omega)*O156*(wy*I156-wz*(H156-V156))/Z156)</f>
        <v>0</v>
      </c>
      <c r="AB156" s="5">
        <f>IF(M156=0,0,const*($T156/omega)*O156*(wz*(G156-U156)-wx*I156)/Z156)</f>
        <v>-2.413621631703867</v>
      </c>
      <c r="AC156" s="5">
        <f>IF(M156=0,0,const*($T156/omega)*O156*(wx*(H156-V156)-wy*(G156-U156))/Z156)</f>
        <v>17.841413036199107</v>
      </c>
      <c r="AD156" s="5">
        <f t="shared" si="54"/>
        <v>0</v>
      </c>
      <c r="AE156" s="5">
        <f t="shared" si="54"/>
        <v>-31.412249378328006</v>
      </c>
      <c r="AF156" s="5">
        <f t="shared" si="42"/>
        <v>-18.255578661654152</v>
      </c>
      <c r="AG156">
        <f t="shared" si="53"/>
        <v>0</v>
      </c>
    </row>
    <row r="157" spans="1:33" x14ac:dyDescent="0.2">
      <c r="A157">
        <f t="shared" si="43"/>
        <v>1.2500000000000009</v>
      </c>
      <c r="B157" s="5">
        <f t="shared" si="44"/>
        <v>0</v>
      </c>
      <c r="C157" s="5">
        <f t="shared" si="45"/>
        <v>253.590450319952</v>
      </c>
      <c r="D157" s="5">
        <f t="shared" si="46"/>
        <v>43.649924401761751</v>
      </c>
      <c r="E157" s="2">
        <f t="shared" si="28"/>
        <v>84.530150106650666</v>
      </c>
      <c r="F157" s="2">
        <f t="shared" si="47"/>
        <v>0</v>
      </c>
      <c r="G157" s="3">
        <f t="shared" si="48"/>
        <v>0</v>
      </c>
      <c r="H157" s="3">
        <f t="shared" si="49"/>
        <v>179.63077616465887</v>
      </c>
      <c r="I157" s="3">
        <f t="shared" si="50"/>
        <v>24.160745892211832</v>
      </c>
      <c r="J157" s="2">
        <f t="shared" si="29"/>
        <v>181.24833071668772</v>
      </c>
      <c r="K157" s="2">
        <f t="shared" si="51"/>
        <v>123.55032768690369</v>
      </c>
      <c r="L157" s="5">
        <f t="shared" si="30"/>
        <v>19.307318844790078</v>
      </c>
      <c r="M157" s="3">
        <f t="shared" si="31"/>
        <v>20.609081371233163</v>
      </c>
      <c r="N157" s="2">
        <v>0</v>
      </c>
      <c r="O157" s="2">
        <f t="shared" si="32"/>
        <v>181.24833071668772</v>
      </c>
      <c r="P157" s="2">
        <f t="shared" si="33"/>
        <v>123.55032768690369</v>
      </c>
      <c r="Q157" s="5">
        <f t="shared" si="34"/>
        <v>1.5275557959524415</v>
      </c>
      <c r="R157" s="5">
        <f t="shared" si="35"/>
        <v>0.1562129781994181</v>
      </c>
      <c r="S157" s="4">
        <f t="shared" si="52"/>
        <v>0.11370632374787253</v>
      </c>
      <c r="T157" s="5">
        <f t="shared" si="36"/>
        <v>9.6144700633661789E-2</v>
      </c>
      <c r="U157" s="4">
        <f t="shared" si="37"/>
        <v>0</v>
      </c>
      <c r="V157" s="4">
        <f t="shared" si="38"/>
        <v>0</v>
      </c>
      <c r="W157" s="5">
        <f t="shared" si="39"/>
        <v>0</v>
      </c>
      <c r="X157" s="5">
        <f t="shared" si="40"/>
        <v>-28.900856432683035</v>
      </c>
      <c r="Y157" s="5">
        <f t="shared" si="41"/>
        <v>-3.8872305918072945</v>
      </c>
      <c r="Z157" s="5">
        <f>1</f>
        <v>1</v>
      </c>
      <c r="AA157" s="5">
        <f>IF(M157=0,0,const*($T157/omega)*O157*(wy*I157-wz*(H157-V157))/Z157)</f>
        <v>0</v>
      </c>
      <c r="AB157" s="5">
        <f>IF(M157=0,0,const*($T157/omega)*O157*(wz*(G157-U157)-wx*I157)/Z157)</f>
        <v>-2.3924812512454645</v>
      </c>
      <c r="AC157" s="5">
        <f>IF(M157=0,0,const*($T157/omega)*O157*(wx*(H157-V157)-wy*(G157-U157))/Z157)</f>
        <v>17.787665415542914</v>
      </c>
      <c r="AD157" s="5">
        <f t="shared" si="54"/>
        <v>0</v>
      </c>
      <c r="AE157" s="5">
        <f t="shared" si="54"/>
        <v>-31.293337683928499</v>
      </c>
      <c r="AF157" s="5">
        <f t="shared" si="42"/>
        <v>-18.27356517626438</v>
      </c>
      <c r="AG157">
        <f t="shared" si="53"/>
        <v>0</v>
      </c>
    </row>
    <row r="158" spans="1:33" x14ac:dyDescent="0.2">
      <c r="A158">
        <f t="shared" si="43"/>
        <v>1.2600000000000009</v>
      </c>
      <c r="B158" s="5">
        <f t="shared" si="44"/>
        <v>0</v>
      </c>
      <c r="C158" s="5">
        <f t="shared" si="45"/>
        <v>255.38519341471439</v>
      </c>
      <c r="D158" s="5">
        <f t="shared" si="46"/>
        <v>43.890618182425058</v>
      </c>
      <c r="E158" s="2">
        <f t="shared" si="28"/>
        <v>85.128397804904793</v>
      </c>
      <c r="F158" s="2">
        <f t="shared" si="47"/>
        <v>0</v>
      </c>
      <c r="G158" s="3">
        <f t="shared" si="48"/>
        <v>0</v>
      </c>
      <c r="H158" s="3">
        <f t="shared" si="49"/>
        <v>179.31784278781959</v>
      </c>
      <c r="I158" s="3">
        <f t="shared" si="50"/>
        <v>23.978010240449187</v>
      </c>
      <c r="J158" s="2">
        <f t="shared" si="29"/>
        <v>180.91388481033806</v>
      </c>
      <c r="K158" s="2">
        <f t="shared" si="51"/>
        <v>123.32234820063944</v>
      </c>
      <c r="L158" s="5">
        <f t="shared" si="30"/>
        <v>19.343011261416898</v>
      </c>
      <c r="M158" s="3">
        <f t="shared" si="31"/>
        <v>20.600890522662556</v>
      </c>
      <c r="N158" s="2">
        <v>0</v>
      </c>
      <c r="O158" s="2">
        <f t="shared" si="32"/>
        <v>180.91388481033806</v>
      </c>
      <c r="P158" s="2">
        <f t="shared" si="33"/>
        <v>123.32234820063944</v>
      </c>
      <c r="Q158" s="5">
        <f t="shared" si="34"/>
        <v>1.5247370953296173</v>
      </c>
      <c r="R158" s="5">
        <f t="shared" si="35"/>
        <v>0.15624740225899172</v>
      </c>
      <c r="S158" s="4">
        <f t="shared" si="52"/>
        <v>0.113871251751957</v>
      </c>
      <c r="T158" s="5">
        <f t="shared" si="36"/>
        <v>9.620045851365315E-2</v>
      </c>
      <c r="U158" s="4">
        <f t="shared" si="37"/>
        <v>0</v>
      </c>
      <c r="V158" s="4">
        <f t="shared" si="38"/>
        <v>0</v>
      </c>
      <c r="W158" s="5">
        <f t="shared" si="39"/>
        <v>0</v>
      </c>
      <c r="X158" s="5">
        <f t="shared" si="40"/>
        <v>-28.803618430282896</v>
      </c>
      <c r="Y158" s="5">
        <f t="shared" si="41"/>
        <v>-3.8515601512145108</v>
      </c>
      <c r="Z158" s="5">
        <f>1</f>
        <v>1</v>
      </c>
      <c r="AA158" s="5">
        <f>IF(M158=0,0,const*($T158/omega)*O158*(wy*I158-wz*(H158-V158))/Z158)</f>
        <v>0</v>
      </c>
      <c r="AB158" s="5">
        <f>IF(M158=0,0,const*($T158/omega)*O158*(wz*(G158-U158)-wx*I158)/Z158)</f>
        <v>-2.3713792817213286</v>
      </c>
      <c r="AC158" s="5">
        <f>IF(M158=0,0,const*($T158/omega)*O158*(wx*(H158-V158)-wy*(G158-U158))/Z158)</f>
        <v>17.734191159559359</v>
      </c>
      <c r="AD158" s="5">
        <f t="shared" si="54"/>
        <v>0</v>
      </c>
      <c r="AE158" s="5">
        <f t="shared" si="54"/>
        <v>-31.174997712004224</v>
      </c>
      <c r="AF158" s="5">
        <f t="shared" si="42"/>
        <v>-18.291368991655151</v>
      </c>
      <c r="AG158">
        <f t="shared" si="53"/>
        <v>0</v>
      </c>
    </row>
    <row r="159" spans="1:33" x14ac:dyDescent="0.2">
      <c r="A159">
        <f t="shared" si="43"/>
        <v>1.2700000000000009</v>
      </c>
      <c r="B159" s="5">
        <f t="shared" si="44"/>
        <v>0</v>
      </c>
      <c r="C159" s="5">
        <f t="shared" si="45"/>
        <v>257.17681309270699</v>
      </c>
      <c r="D159" s="5">
        <f t="shared" si="46"/>
        <v>44.129483716379973</v>
      </c>
      <c r="E159" s="2">
        <f t="shared" si="28"/>
        <v>85.725604364235664</v>
      </c>
      <c r="F159" s="2">
        <f t="shared" si="47"/>
        <v>0</v>
      </c>
      <c r="G159" s="3">
        <f t="shared" si="48"/>
        <v>0</v>
      </c>
      <c r="H159" s="3">
        <f t="shared" si="49"/>
        <v>179.00609281069956</v>
      </c>
      <c r="I159" s="3">
        <f t="shared" si="50"/>
        <v>23.795096550532637</v>
      </c>
      <c r="J159" s="2">
        <f t="shared" si="29"/>
        <v>180.58069631940717</v>
      </c>
      <c r="K159" s="2">
        <f t="shared" si="51"/>
        <v>123.09522584826664</v>
      </c>
      <c r="L159" s="5">
        <f t="shared" si="30"/>
        <v>19.378700949537556</v>
      </c>
      <c r="M159" s="3">
        <f t="shared" si="31"/>
        <v>20.592732893890364</v>
      </c>
      <c r="N159" s="2">
        <v>0</v>
      </c>
      <c r="O159" s="2">
        <f t="shared" si="32"/>
        <v>180.58069631940717</v>
      </c>
      <c r="P159" s="2">
        <f t="shared" si="33"/>
        <v>123.09522584826664</v>
      </c>
      <c r="Q159" s="5">
        <f t="shared" si="34"/>
        <v>1.5219289921683159</v>
      </c>
      <c r="R159" s="5">
        <f t="shared" si="35"/>
        <v>0.15628182648955902</v>
      </c>
      <c r="S159" s="4">
        <f t="shared" si="52"/>
        <v>0.11403618057528359</v>
      </c>
      <c r="T159" s="5">
        <f t="shared" si="36"/>
        <v>9.6256168236362155E-2</v>
      </c>
      <c r="U159" s="4">
        <f t="shared" si="37"/>
        <v>0</v>
      </c>
      <c r="V159" s="4">
        <f t="shared" si="38"/>
        <v>0</v>
      </c>
      <c r="W159" s="5">
        <f t="shared" si="39"/>
        <v>0</v>
      </c>
      <c r="X159" s="5">
        <f t="shared" si="40"/>
        <v>-28.706910365925083</v>
      </c>
      <c r="Y159" s="5">
        <f t="shared" si="41"/>
        <v>-3.8159801887136897</v>
      </c>
      <c r="Z159" s="5">
        <f>1</f>
        <v>1</v>
      </c>
      <c r="AA159" s="5">
        <f>IF(M159=0,0,const*($T159/omega)*O159*(wy*I159-wz*(H159-V159))/Z159)</f>
        <v>0</v>
      </c>
      <c r="AB159" s="5">
        <f>IF(M159=0,0,const*($T159/omega)*O159*(wz*(G159-U159)-wx*I159)/Z159)</f>
        <v>-2.3503157038927331</v>
      </c>
      <c r="AC159" s="5">
        <f>IF(M159=0,0,const*($T159/omega)*O159*(wx*(H159-V159)-wy*(G159-U159))/Z159)</f>
        <v>17.680988607547789</v>
      </c>
      <c r="AD159" s="5">
        <f t="shared" si="54"/>
        <v>0</v>
      </c>
      <c r="AE159" s="5">
        <f t="shared" si="54"/>
        <v>-31.057226069817816</v>
      </c>
      <c r="AF159" s="5">
        <f t="shared" si="42"/>
        <v>-18.308991581165898</v>
      </c>
      <c r="AG159">
        <f t="shared" si="53"/>
        <v>0</v>
      </c>
    </row>
    <row r="160" spans="1:33" x14ac:dyDescent="0.2">
      <c r="A160">
        <f t="shared" si="43"/>
        <v>1.2800000000000009</v>
      </c>
      <c r="B160" s="5">
        <f t="shared" si="44"/>
        <v>0</v>
      </c>
      <c r="C160" s="5">
        <f t="shared" si="45"/>
        <v>258.96532115951049</v>
      </c>
      <c r="D160" s="5">
        <f t="shared" si="46"/>
        <v>44.366519232306239</v>
      </c>
      <c r="E160" s="2">
        <f t="shared" ref="E160:E223" si="55">SQRT(B160^2+C160^2)/3</f>
        <v>86.321773719836827</v>
      </c>
      <c r="F160" s="2">
        <f t="shared" si="47"/>
        <v>0</v>
      </c>
      <c r="G160" s="3">
        <f t="shared" si="48"/>
        <v>0</v>
      </c>
      <c r="H160" s="3">
        <f t="shared" si="49"/>
        <v>178.69552055000139</v>
      </c>
      <c r="I160" s="3">
        <f t="shared" si="50"/>
        <v>23.612006634720977</v>
      </c>
      <c r="J160" s="2">
        <f t="shared" ref="J160:J223" si="56">SQRT(G160^2+H160^2+I160^2)</f>
        <v>180.24876122169073</v>
      </c>
      <c r="K160" s="2">
        <f t="shared" si="51"/>
        <v>122.8689578879964</v>
      </c>
      <c r="L160" s="5">
        <f t="shared" ref="L160:L223" si="57">1/(0.00002*J160/(circ/(2*PI()*12)))</f>
        <v>19.414387580334374</v>
      </c>
      <c r="M160" s="3">
        <f t="shared" ref="M160:M223" si="58">romega*EXP(-A160/L160)</f>
        <v>20.584608256416395</v>
      </c>
      <c r="N160" s="2">
        <v>0</v>
      </c>
      <c r="O160" s="2">
        <f t="shared" ref="O160:O223" si="59">IF(D160&gt;=hwind,SQRT((G160-vxw)^2+(H160-vyw)^2+I160^2),J160)</f>
        <v>180.24876122169073</v>
      </c>
      <c r="P160" s="2">
        <f t="shared" ref="P160:P223" si="60">J160/1.467</f>
        <v>122.8689578879964</v>
      </c>
      <c r="Q160" s="5">
        <f t="shared" ref="Q160:Q223" si="61">(P160/100)*Re_100*0.00001</f>
        <v>1.5191314525695134</v>
      </c>
      <c r="R160" s="5">
        <f t="shared" ref="R160:R223" si="62">IF(Q160&lt;=ReLow,CdL,IF(Q160&lt;ReHigh,CdL+(CdH-CdL)*(Q160-ReLow)/(ReHigh-ReLow),CdH))+CdS*S160</f>
        <v>0.15631625043894246</v>
      </c>
      <c r="S160" s="4">
        <f t="shared" si="52"/>
        <v>0.11420110805143936</v>
      </c>
      <c r="T160" s="5">
        <f t="shared" ref="T160:T223" si="63">ClAmp*S160^0.4</f>
        <v>9.6311829182279027E-2</v>
      </c>
      <c r="U160" s="4">
        <f t="shared" ref="U160:U223" si="64">IF(D160&gt;=hwind,vxw,0)</f>
        <v>0</v>
      </c>
      <c r="V160" s="4">
        <f t="shared" ref="V160:V223" si="65">IF(D160&gt;=hwind,vyw,0)</f>
        <v>0</v>
      </c>
      <c r="W160" s="5">
        <f t="shared" ref="W160:W223" si="66">-const*$R160*$O160*(G160-U160)</f>
        <v>0</v>
      </c>
      <c r="X160" s="5">
        <f t="shared" ref="X160:X223" si="67">-const*$R160*$O160*(H160-V160)</f>
        <v>-28.610728893142134</v>
      </c>
      <c r="Y160" s="5">
        <f t="shared" ref="Y160:Y223" si="68">-const*$R160*$O160*I160</f>
        <v>-3.7804905146463672</v>
      </c>
      <c r="Z160" s="5">
        <f>1</f>
        <v>1</v>
      </c>
      <c r="AA160" s="5">
        <f>IF(M160=0,0,const*($T160/omega)*O160*(wy*I160-wz*(H160-V160))/Z160)</f>
        <v>0</v>
      </c>
      <c r="AB160" s="5">
        <f>IF(M160=0,0,const*($T160/omega)*O160*(wz*(G160-U160)-wx*I160)/Z160)</f>
        <v>-2.3292904969855823</v>
      </c>
      <c r="AC160" s="5">
        <f>IF(M160=0,0,const*($T160/omega)*O160*(wx*(H160-V160)-wy*(G160-U160))/Z160)</f>
        <v>17.628056111882788</v>
      </c>
      <c r="AD160" s="5">
        <f t="shared" si="54"/>
        <v>0</v>
      </c>
      <c r="AE160" s="5">
        <f t="shared" si="54"/>
        <v>-30.940019390127716</v>
      </c>
      <c r="AF160" s="5">
        <f t="shared" ref="AF160:AF223" si="69">Y160+AC160-32.174</f>
        <v>-18.326434402763578</v>
      </c>
      <c r="AG160">
        <f t="shared" si="53"/>
        <v>0</v>
      </c>
    </row>
    <row r="161" spans="1:33" x14ac:dyDescent="0.2">
      <c r="A161">
        <f t="shared" ref="A161:A224" si="70">A160+dt</f>
        <v>1.2900000000000009</v>
      </c>
      <c r="B161" s="5">
        <f t="shared" ref="B161:B224" si="71">B160+G160*dt+0.5*AD160*dt*dt</f>
        <v>0</v>
      </c>
      <c r="C161" s="5">
        <f t="shared" ref="C161:C224" si="72">C160+H160*dt+0.5*AE160*dt*dt</f>
        <v>260.75072936404104</v>
      </c>
      <c r="D161" s="5">
        <f t="shared" ref="D161:D224" si="73">D160+I160*dt+0.5*AF160*dt*dt</f>
        <v>44.60172297693331</v>
      </c>
      <c r="E161" s="2">
        <f t="shared" si="55"/>
        <v>86.916909788013683</v>
      </c>
      <c r="F161" s="2">
        <f t="shared" ref="F161:F224" si="74">ATAN2(C161,B161)*180/PI()</f>
        <v>0</v>
      </c>
      <c r="G161" s="3">
        <f t="shared" ref="G161:G224" si="75">G160+AD160*dt</f>
        <v>0</v>
      </c>
      <c r="H161" s="3">
        <f t="shared" ref="H161:H224" si="76">H160+AE160*dt</f>
        <v>178.38612035610012</v>
      </c>
      <c r="I161" s="3">
        <f t="shared" ref="I161:I224" si="77">I160+AF160*dt</f>
        <v>23.428742290693343</v>
      </c>
      <c r="J161" s="2">
        <f t="shared" si="56"/>
        <v>179.91807552612596</v>
      </c>
      <c r="K161" s="2">
        <f t="shared" ref="K161:K224" si="78">J161/1.467</f>
        <v>122.64354159926786</v>
      </c>
      <c r="L161" s="5">
        <f t="shared" si="57"/>
        <v>19.450070822511087</v>
      </c>
      <c r="M161" s="3">
        <f t="shared" si="58"/>
        <v>20.576516382910956</v>
      </c>
      <c r="N161" s="2">
        <v>0</v>
      </c>
      <c r="O161" s="2">
        <f t="shared" si="59"/>
        <v>179.91807552612596</v>
      </c>
      <c r="P161" s="2">
        <f t="shared" si="60"/>
        <v>122.64354159926786</v>
      </c>
      <c r="Q161" s="5">
        <f t="shared" si="61"/>
        <v>1.5163444428966457</v>
      </c>
      <c r="R161" s="5">
        <f t="shared" si="62"/>
        <v>0.15635067365193758</v>
      </c>
      <c r="S161" s="4">
        <f t="shared" ref="S161:S224" si="79">(M161/O161)</f>
        <v>0.11436603199950876</v>
      </c>
      <c r="T161" s="5">
        <f t="shared" si="63"/>
        <v>9.6367440729118792E-2</v>
      </c>
      <c r="U161" s="4">
        <f t="shared" si="64"/>
        <v>0</v>
      </c>
      <c r="V161" s="4">
        <f t="shared" si="65"/>
        <v>0</v>
      </c>
      <c r="W161" s="5">
        <f t="shared" si="66"/>
        <v>0</v>
      </c>
      <c r="X161" s="5">
        <f t="shared" si="67"/>
        <v>-28.515070692240023</v>
      </c>
      <c r="Y161" s="5">
        <f t="shared" si="68"/>
        <v>-3.7450909370962653</v>
      </c>
      <c r="Z161" s="5">
        <f>1</f>
        <v>1</v>
      </c>
      <c r="AA161" s="5">
        <f>IF(M161=0,0,const*($T161/omega)*O161*(wy*I161-wz*(H161-V161))/Z161)</f>
        <v>0</v>
      </c>
      <c r="AB161" s="5">
        <f>IF(M161=0,0,const*($T161/omega)*O161*(wz*(G161-U161)-wx*I161)/Z161)</f>
        <v>-2.308303638711644</v>
      </c>
      <c r="AC161" s="5">
        <f>IF(M161=0,0,const*($T161/omega)*O161*(wx*(H161-V161)-wy*(G161-U161))/Z161)</f>
        <v>17.575392037890456</v>
      </c>
      <c r="AD161" s="5">
        <f t="shared" si="54"/>
        <v>0</v>
      </c>
      <c r="AE161" s="5">
        <f t="shared" si="54"/>
        <v>-30.823374330951665</v>
      </c>
      <c r="AF161" s="5">
        <f t="shared" si="69"/>
        <v>-18.343698899205808</v>
      </c>
      <c r="AG161">
        <f t="shared" si="53"/>
        <v>0</v>
      </c>
    </row>
    <row r="162" spans="1:33" x14ac:dyDescent="0.2">
      <c r="A162">
        <f t="shared" si="70"/>
        <v>1.3000000000000009</v>
      </c>
      <c r="B162" s="5">
        <f t="shared" si="71"/>
        <v>0</v>
      </c>
      <c r="C162" s="5">
        <f t="shared" si="72"/>
        <v>262.53304939888551</v>
      </c>
      <c r="D162" s="5">
        <f t="shared" si="73"/>
        <v>44.835093214895281</v>
      </c>
      <c r="E162" s="2">
        <f t="shared" si="55"/>
        <v>87.511016466295175</v>
      </c>
      <c r="F162" s="2">
        <f t="shared" si="74"/>
        <v>0</v>
      </c>
      <c r="G162" s="3">
        <f t="shared" si="75"/>
        <v>0</v>
      </c>
      <c r="H162" s="3">
        <f t="shared" si="76"/>
        <v>178.07788661279059</v>
      </c>
      <c r="I162" s="3">
        <f t="shared" si="77"/>
        <v>23.245305301701286</v>
      </c>
      <c r="J162" s="2">
        <f t="shared" si="56"/>
        <v>179.58863527252277</v>
      </c>
      <c r="K162" s="2">
        <f t="shared" si="78"/>
        <v>122.41897428256493</v>
      </c>
      <c r="L162" s="5">
        <f t="shared" si="57"/>
        <v>19.485750342290526</v>
      </c>
      <c r="M162" s="3">
        <f t="shared" si="58"/>
        <v>20.568457047203026</v>
      </c>
      <c r="N162" s="2">
        <v>0</v>
      </c>
      <c r="O162" s="2">
        <f t="shared" si="59"/>
        <v>179.58863527252277</v>
      </c>
      <c r="P162" s="2">
        <f t="shared" si="60"/>
        <v>122.41897428256493</v>
      </c>
      <c r="Q162" s="5">
        <f t="shared" si="61"/>
        <v>1.5135679297733431</v>
      </c>
      <c r="R162" s="5">
        <f t="shared" si="62"/>
        <v>0.1563850956703087</v>
      </c>
      <c r="S162" s="4">
        <f t="shared" si="79"/>
        <v>0.11453095022405363</v>
      </c>
      <c r="T162" s="5">
        <f t="shared" si="63"/>
        <v>9.642300225182325E-2</v>
      </c>
      <c r="U162" s="4">
        <f t="shared" si="64"/>
        <v>0</v>
      </c>
      <c r="V162" s="4">
        <f t="shared" si="65"/>
        <v>0</v>
      </c>
      <c r="W162" s="5">
        <f t="shared" si="66"/>
        <v>0</v>
      </c>
      <c r="X162" s="5">
        <f t="shared" si="67"/>
        <v>-28.419932470043111</v>
      </c>
      <c r="Y162" s="5">
        <f t="shared" si="68"/>
        <v>-3.7097812619280903</v>
      </c>
      <c r="Z162" s="5">
        <f>1</f>
        <v>1</v>
      </c>
      <c r="AA162" s="5">
        <f>IF(M162=0,0,const*($T162/omega)*O162*(wy*I162-wz*(H162-V162))/Z162)</f>
        <v>0</v>
      </c>
      <c r="AB162" s="5">
        <f>IF(M162=0,0,const*($T162/omega)*O162*(wz*(G162-U162)-wx*I162)/Z162)</f>
        <v>-2.2873551052894774</v>
      </c>
      <c r="AC162" s="5">
        <f>IF(M162=0,0,const*($T162/omega)*O162*(wx*(H162-V162)-wy*(G162-U162))/Z162)</f>
        <v>17.522994763726143</v>
      </c>
      <c r="AD162" s="5">
        <f t="shared" si="54"/>
        <v>0</v>
      </c>
      <c r="AE162" s="5">
        <f t="shared" si="54"/>
        <v>-30.70728757533259</v>
      </c>
      <c r="AF162" s="5">
        <f t="shared" si="69"/>
        <v>-18.360786498201946</v>
      </c>
      <c r="AG162">
        <f t="shared" ref="AG162:AG225" si="80">IF($D162*$D163&lt;0,1,0)</f>
        <v>0</v>
      </c>
    </row>
    <row r="163" spans="1:33" x14ac:dyDescent="0.2">
      <c r="A163">
        <f t="shared" si="70"/>
        <v>1.3100000000000009</v>
      </c>
      <c r="B163" s="5">
        <f t="shared" si="71"/>
        <v>0</v>
      </c>
      <c r="C163" s="5">
        <f t="shared" si="72"/>
        <v>264.31229290063465</v>
      </c>
      <c r="D163" s="5">
        <f t="shared" si="73"/>
        <v>45.066628228587383</v>
      </c>
      <c r="E163" s="2">
        <f t="shared" si="55"/>
        <v>88.104097633544882</v>
      </c>
      <c r="F163" s="2">
        <f t="shared" si="74"/>
        <v>0</v>
      </c>
      <c r="G163" s="3">
        <f t="shared" si="75"/>
        <v>0</v>
      </c>
      <c r="H163" s="3">
        <f t="shared" si="76"/>
        <v>177.77081373703726</v>
      </c>
      <c r="I163" s="3">
        <f t="shared" si="77"/>
        <v>23.061697436719268</v>
      </c>
      <c r="J163" s="2">
        <f t="shared" si="56"/>
        <v>179.26043653129705</v>
      </c>
      <c r="K163" s="2">
        <f t="shared" si="78"/>
        <v>122.19525325923452</v>
      </c>
      <c r="L163" s="5">
        <f t="shared" si="57"/>
        <v>19.521425803412491</v>
      </c>
      <c r="M163" s="3">
        <f t="shared" si="58"/>
        <v>20.560430024268562</v>
      </c>
      <c r="N163" s="2">
        <v>0</v>
      </c>
      <c r="O163" s="2">
        <f t="shared" si="59"/>
        <v>179.26043653129705</v>
      </c>
      <c r="P163" s="2">
        <f t="shared" si="60"/>
        <v>122.19525325923452</v>
      </c>
      <c r="Q163" s="5">
        <f t="shared" si="61"/>
        <v>1.5108018800811818</v>
      </c>
      <c r="R163" s="5">
        <f t="shared" si="62"/>
        <v>0.15641951603278506</v>
      </c>
      <c r="S163" s="4">
        <f t="shared" si="79"/>
        <v>0.11469586051509431</v>
      </c>
      <c r="T163" s="5">
        <f t="shared" si="63"/>
        <v>9.64785131225631E-2</v>
      </c>
      <c r="U163" s="4">
        <f t="shared" si="64"/>
        <v>0</v>
      </c>
      <c r="V163" s="4">
        <f t="shared" si="65"/>
        <v>0</v>
      </c>
      <c r="W163" s="5">
        <f t="shared" si="66"/>
        <v>0</v>
      </c>
      <c r="X163" s="5">
        <f t="shared" si="67"/>
        <v>-28.325310959641936</v>
      </c>
      <c r="Y163" s="5">
        <f t="shared" si="68"/>
        <v>-3.674561292825735</v>
      </c>
      <c r="Z163" s="5">
        <f>1</f>
        <v>1</v>
      </c>
      <c r="AA163" s="5">
        <f>IF(M163=0,0,const*($T163/omega)*O163*(wy*I163-wz*(H163-V163))/Z163)</f>
        <v>0</v>
      </c>
      <c r="AB163" s="5">
        <f>IF(M163=0,0,const*($T163/omega)*O163*(wz*(G163-U163)-wx*I163)/Z163)</f>
        <v>-2.2664448714650454</v>
      </c>
      <c r="AC163" s="5">
        <f>IF(M163=0,0,const*($T163/omega)*O163*(wx*(H163-V163)-wy*(G163-U163))/Z163)</f>
        <v>17.470862680253479</v>
      </c>
      <c r="AD163" s="5">
        <f t="shared" si="54"/>
        <v>0</v>
      </c>
      <c r="AE163" s="5">
        <f t="shared" si="54"/>
        <v>-30.59175583110698</v>
      </c>
      <c r="AF163" s="5">
        <f t="shared" si="69"/>
        <v>-18.377698612572257</v>
      </c>
      <c r="AG163">
        <f t="shared" si="80"/>
        <v>0</v>
      </c>
    </row>
    <row r="164" spans="1:33" x14ac:dyDescent="0.2">
      <c r="A164">
        <f t="shared" si="70"/>
        <v>1.320000000000001</v>
      </c>
      <c r="B164" s="5">
        <f t="shared" si="71"/>
        <v>0</v>
      </c>
      <c r="C164" s="5">
        <f t="shared" si="72"/>
        <v>266.08847145021349</v>
      </c>
      <c r="D164" s="5">
        <f t="shared" si="73"/>
        <v>45.296326318023951</v>
      </c>
      <c r="E164" s="2">
        <f t="shared" si="55"/>
        <v>88.696157150071159</v>
      </c>
      <c r="F164" s="2">
        <f t="shared" si="74"/>
        <v>0</v>
      </c>
      <c r="G164" s="3">
        <f t="shared" si="75"/>
        <v>0</v>
      </c>
      <c r="H164" s="3">
        <f t="shared" si="76"/>
        <v>177.46489617872618</v>
      </c>
      <c r="I164" s="3">
        <f t="shared" si="77"/>
        <v>22.877920450593546</v>
      </c>
      <c r="J164" s="2">
        <f t="shared" si="56"/>
        <v>178.93347540320605</v>
      </c>
      <c r="K164" s="2">
        <f t="shared" si="78"/>
        <v>121.97237587130608</v>
      </c>
      <c r="L164" s="5">
        <f t="shared" si="57"/>
        <v>19.557096867131818</v>
      </c>
      <c r="M164" s="3">
        <f t="shared" si="58"/>
        <v>20.552435090218971</v>
      </c>
      <c r="N164" s="2">
        <v>0</v>
      </c>
      <c r="O164" s="2">
        <f t="shared" si="59"/>
        <v>178.93347540320605</v>
      </c>
      <c r="P164" s="2">
        <f t="shared" si="60"/>
        <v>121.97237587130608</v>
      </c>
      <c r="Q164" s="5">
        <f t="shared" si="61"/>
        <v>1.5080462609574543</v>
      </c>
      <c r="R164" s="5">
        <f t="shared" si="62"/>
        <v>0.15645393427505713</v>
      </c>
      <c r="S164" s="4">
        <f t="shared" si="79"/>
        <v>0.11486076064809236</v>
      </c>
      <c r="T164" s="5">
        <f t="shared" si="63"/>
        <v>9.6533972710740587E-2</v>
      </c>
      <c r="U164" s="4">
        <f t="shared" si="64"/>
        <v>0</v>
      </c>
      <c r="V164" s="4">
        <f t="shared" si="65"/>
        <v>0</v>
      </c>
      <c r="W164" s="5">
        <f t="shared" si="66"/>
        <v>0</v>
      </c>
      <c r="X164" s="5">
        <f t="shared" si="67"/>
        <v>-28.231202920143719</v>
      </c>
      <c r="Y164" s="5">
        <f t="shared" si="68"/>
        <v>-3.63943083132988</v>
      </c>
      <c r="Z164" s="5">
        <f>1</f>
        <v>1</v>
      </c>
      <c r="AA164" s="5">
        <f>IF(M164=0,0,const*($T164/omega)*O164*(wy*I164-wz*(H164-V164))/Z164)</f>
        <v>0</v>
      </c>
      <c r="AB164" s="5">
        <f>IF(M164=0,0,const*($T164/omega)*O164*(wz*(G164-U164)-wx*I164)/Z164)</f>
        <v>-2.2455729105320277</v>
      </c>
      <c r="AC164" s="5">
        <f>IF(M164=0,0,const*($T164/omega)*O164*(wx*(H164-V164)-wy*(G164-U164))/Z164)</f>
        <v>17.418994190924693</v>
      </c>
      <c r="AD164" s="5">
        <f t="shared" si="54"/>
        <v>0</v>
      </c>
      <c r="AE164" s="5">
        <f t="shared" si="54"/>
        <v>-30.476775830675749</v>
      </c>
      <c r="AF164" s="5">
        <f t="shared" si="69"/>
        <v>-18.394436640405189</v>
      </c>
      <c r="AG164">
        <f t="shared" si="80"/>
        <v>0</v>
      </c>
    </row>
    <row r="165" spans="1:33" x14ac:dyDescent="0.2">
      <c r="A165">
        <f t="shared" si="70"/>
        <v>1.330000000000001</v>
      </c>
      <c r="B165" s="5">
        <f t="shared" si="71"/>
        <v>0</v>
      </c>
      <c r="C165" s="5">
        <f t="shared" si="72"/>
        <v>267.86159657320923</v>
      </c>
      <c r="D165" s="5">
        <f t="shared" si="73"/>
        <v>45.524185800697865</v>
      </c>
      <c r="E165" s="2">
        <f t="shared" si="55"/>
        <v>89.287198857736414</v>
      </c>
      <c r="F165" s="2">
        <f t="shared" si="74"/>
        <v>0</v>
      </c>
      <c r="G165" s="3">
        <f t="shared" si="75"/>
        <v>0</v>
      </c>
      <c r="H165" s="3">
        <f t="shared" si="76"/>
        <v>177.16012842041943</v>
      </c>
      <c r="I165" s="3">
        <f t="shared" si="77"/>
        <v>22.693976084189494</v>
      </c>
      <c r="J165" s="2">
        <f t="shared" si="56"/>
        <v>178.60774801908585</v>
      </c>
      <c r="K165" s="2">
        <f t="shared" si="78"/>
        <v>121.75033948131278</v>
      </c>
      <c r="L165" s="5">
        <f t="shared" si="57"/>
        <v>19.592763192216633</v>
      </c>
      <c r="M165" s="3">
        <f t="shared" si="58"/>
        <v>20.544472022289693</v>
      </c>
      <c r="N165" s="2">
        <v>0</v>
      </c>
      <c r="O165" s="2">
        <f t="shared" si="59"/>
        <v>178.60774801908585</v>
      </c>
      <c r="P165" s="2">
        <f t="shared" si="60"/>
        <v>121.75033948131278</v>
      </c>
      <c r="Q165" s="5">
        <f t="shared" si="61"/>
        <v>1.5053010397929572</v>
      </c>
      <c r="R165" s="5">
        <f t="shared" si="62"/>
        <v>0.1564883499297732</v>
      </c>
      <c r="S165" s="4">
        <f t="shared" si="79"/>
        <v>0.11502564838393423</v>
      </c>
      <c r="T165" s="5">
        <f t="shared" si="63"/>
        <v>9.6589380382992154E-2</v>
      </c>
      <c r="U165" s="4">
        <f t="shared" si="64"/>
        <v>0</v>
      </c>
      <c r="V165" s="4">
        <f t="shared" si="65"/>
        <v>0</v>
      </c>
      <c r="W165" s="5">
        <f t="shared" si="66"/>
        <v>0</v>
      </c>
      <c r="X165" s="5">
        <f t="shared" si="67"/>
        <v>-28.137605136425577</v>
      </c>
      <c r="Y165" s="5">
        <f t="shared" si="68"/>
        <v>-3.6043896768750026</v>
      </c>
      <c r="Z165" s="5">
        <f>1</f>
        <v>1</v>
      </c>
      <c r="AA165" s="5">
        <f>IF(M165=0,0,const*($T165/omega)*O165*(wy*I165-wz*(H165-V165))/Z165)</f>
        <v>0</v>
      </c>
      <c r="AB165" s="5">
        <f>IF(M165=0,0,const*($T165/omega)*O165*(wz*(G165-U165)-wx*I165)/Z165)</f>
        <v>-2.2247391943518231</v>
      </c>
      <c r="AC165" s="5">
        <f>IF(M165=0,0,const*($T165/omega)*O165*(wx*(H165-V165)-wy*(G165-U165))/Z165)</f>
        <v>17.367387711662243</v>
      </c>
      <c r="AD165" s="5">
        <f t="shared" si="54"/>
        <v>0</v>
      </c>
      <c r="AE165" s="5">
        <f t="shared" si="54"/>
        <v>-30.3623443307774</v>
      </c>
      <c r="AF165" s="5">
        <f t="shared" si="69"/>
        <v>-18.411001965212758</v>
      </c>
      <c r="AG165">
        <f t="shared" si="80"/>
        <v>0</v>
      </c>
    </row>
    <row r="166" spans="1:33" x14ac:dyDescent="0.2">
      <c r="A166">
        <f t="shared" si="70"/>
        <v>1.340000000000001</v>
      </c>
      <c r="B166" s="5">
        <f t="shared" si="71"/>
        <v>0</v>
      </c>
      <c r="C166" s="5">
        <f t="shared" si="72"/>
        <v>269.63167974019683</v>
      </c>
      <c r="D166" s="5">
        <f t="shared" si="73"/>
        <v>45.750205011441501</v>
      </c>
      <c r="E166" s="2">
        <f t="shared" si="55"/>
        <v>89.87722658006561</v>
      </c>
      <c r="F166" s="2">
        <f t="shared" si="74"/>
        <v>0</v>
      </c>
      <c r="G166" s="3">
        <f t="shared" si="75"/>
        <v>0</v>
      </c>
      <c r="H166" s="3">
        <f t="shared" si="76"/>
        <v>176.85650497711165</v>
      </c>
      <c r="I166" s="3">
        <f t="shared" si="77"/>
        <v>22.509866064537366</v>
      </c>
      <c r="J166" s="2">
        <f t="shared" si="56"/>
        <v>178.28325053959088</v>
      </c>
      <c r="K166" s="2">
        <f t="shared" si="78"/>
        <v>121.52914147211375</v>
      </c>
      <c r="L166" s="5">
        <f t="shared" si="57"/>
        <v>19.628424434946805</v>
      </c>
      <c r="M166" s="3">
        <f t="shared" si="58"/>
        <v>20.536540598828918</v>
      </c>
      <c r="N166" s="2">
        <v>0</v>
      </c>
      <c r="O166" s="2">
        <f t="shared" si="59"/>
        <v>178.28325053959088</v>
      </c>
      <c r="P166" s="2">
        <f t="shared" si="60"/>
        <v>121.52914147211375</v>
      </c>
      <c r="Q166" s="5">
        <f t="shared" si="61"/>
        <v>1.5025661842297944</v>
      </c>
      <c r="R166" s="5">
        <f t="shared" si="62"/>
        <v>0.15652276252653635</v>
      </c>
      <c r="S166" s="4">
        <f t="shared" si="79"/>
        <v>0.11519052146891624</v>
      </c>
      <c r="T166" s="5">
        <f t="shared" si="63"/>
        <v>9.6644735503191734E-2</v>
      </c>
      <c r="U166" s="4">
        <f t="shared" si="64"/>
        <v>0</v>
      </c>
      <c r="V166" s="4">
        <f t="shared" si="65"/>
        <v>0</v>
      </c>
      <c r="W166" s="5">
        <f t="shared" si="66"/>
        <v>0</v>
      </c>
      <c r="X166" s="5">
        <f t="shared" si="67"/>
        <v>-28.044514418890412</v>
      </c>
      <c r="Y166" s="5">
        <f t="shared" si="68"/>
        <v>-3.5694376268258194</v>
      </c>
      <c r="Z166" s="5">
        <f>1</f>
        <v>1</v>
      </c>
      <c r="AA166" s="5">
        <f>IF(M166=0,0,const*($T166/omega)*O166*(wy*I166-wz*(H166-V166))/Z166)</f>
        <v>0</v>
      </c>
      <c r="AB166" s="5">
        <f>IF(M166=0,0,const*($T166/omega)*O166*(wz*(G166-U166)-wx*I166)/Z166)</f>
        <v>-2.2039436933732692</v>
      </c>
      <c r="AC166" s="5">
        <f>IF(M166=0,0,const*($T166/omega)*O166*(wx*(H166-V166)-wy*(G166-U166))/Z166)</f>
        <v>17.316041670741697</v>
      </c>
      <c r="AD166" s="5">
        <f t="shared" si="54"/>
        <v>0</v>
      </c>
      <c r="AE166" s="5">
        <f t="shared" si="54"/>
        <v>-30.24845811226368</v>
      </c>
      <c r="AF166" s="5">
        <f t="shared" si="69"/>
        <v>-18.427395956084123</v>
      </c>
      <c r="AG166">
        <f t="shared" si="80"/>
        <v>0</v>
      </c>
    </row>
    <row r="167" spans="1:33" x14ac:dyDescent="0.2">
      <c r="A167">
        <f t="shared" si="70"/>
        <v>1.350000000000001</v>
      </c>
      <c r="B167" s="5">
        <f t="shared" si="71"/>
        <v>0</v>
      </c>
      <c r="C167" s="5">
        <f t="shared" si="72"/>
        <v>271.39873236706234</v>
      </c>
      <c r="D167" s="5">
        <f t="shared" si="73"/>
        <v>45.974382302289072</v>
      </c>
      <c r="E167" s="2">
        <f t="shared" si="55"/>
        <v>90.466244122354112</v>
      </c>
      <c r="F167" s="2">
        <f t="shared" si="74"/>
        <v>0</v>
      </c>
      <c r="G167" s="3">
        <f t="shared" si="75"/>
        <v>0</v>
      </c>
      <c r="H167" s="3">
        <f t="shared" si="76"/>
        <v>176.55402039598903</v>
      </c>
      <c r="I167" s="3">
        <f t="shared" si="77"/>
        <v>22.325592104976526</v>
      </c>
      <c r="J167" s="2">
        <f t="shared" si="56"/>
        <v>177.95997915493555</v>
      </c>
      <c r="K167" s="2">
        <f t="shared" si="78"/>
        <v>121.30877924671816</v>
      </c>
      <c r="L167" s="5">
        <f t="shared" si="57"/>
        <v>19.664080249112548</v>
      </c>
      <c r="M167" s="3">
        <f t="shared" si="58"/>
        <v>20.528640599286437</v>
      </c>
      <c r="N167" s="2">
        <v>0</v>
      </c>
      <c r="O167" s="2">
        <f t="shared" si="59"/>
        <v>177.95997915493555</v>
      </c>
      <c r="P167" s="2">
        <f t="shared" si="60"/>
        <v>121.30877924671816</v>
      </c>
      <c r="Q167" s="5">
        <f t="shared" si="61"/>
        <v>1.499841662159201</v>
      </c>
      <c r="R167" s="5">
        <f t="shared" si="62"/>
        <v>0.1565571715919015</v>
      </c>
      <c r="S167" s="4">
        <f t="shared" si="79"/>
        <v>0.11535537763473094</v>
      </c>
      <c r="T167" s="5">
        <f t="shared" si="63"/>
        <v>9.6700037432454131E-2</v>
      </c>
      <c r="U167" s="4">
        <f t="shared" si="64"/>
        <v>0</v>
      </c>
      <c r="V167" s="4">
        <f t="shared" si="65"/>
        <v>0</v>
      </c>
      <c r="W167" s="5">
        <f t="shared" si="66"/>
        <v>0</v>
      </c>
      <c r="X167" s="5">
        <f t="shared" si="67"/>
        <v>-27.951927603225453</v>
      </c>
      <c r="Y167" s="5">
        <f t="shared" si="68"/>
        <v>-3.5345744765131539</v>
      </c>
      <c r="Z167" s="5">
        <f>1</f>
        <v>1</v>
      </c>
      <c r="AA167" s="5">
        <f>IF(M167=0,0,const*($T167/omega)*O167*(wy*I167-wz*(H167-V167))/Z167)</f>
        <v>0</v>
      </c>
      <c r="AB167" s="5">
        <f>IF(M167=0,0,const*($T167/omega)*O167*(wz*(G167-U167)-wx*I167)/Z167)</f>
        <v>-2.1831863766520643</v>
      </c>
      <c r="AC167" s="5">
        <f>IF(M167=0,0,const*($T167/omega)*O167*(wx*(H167-V167)-wy*(G167-U167))/Z167)</f>
        <v>17.264954508675913</v>
      </c>
      <c r="AD167" s="5">
        <f t="shared" si="54"/>
        <v>0</v>
      </c>
      <c r="AE167" s="5">
        <f t="shared" si="54"/>
        <v>-30.135113979877516</v>
      </c>
      <c r="AF167" s="5">
        <f t="shared" si="69"/>
        <v>-18.44361996783724</v>
      </c>
      <c r="AG167">
        <f t="shared" si="80"/>
        <v>0</v>
      </c>
    </row>
    <row r="168" spans="1:33" x14ac:dyDescent="0.2">
      <c r="A168">
        <f t="shared" si="70"/>
        <v>1.360000000000001</v>
      </c>
      <c r="B168" s="5">
        <f t="shared" si="71"/>
        <v>0</v>
      </c>
      <c r="C168" s="5">
        <f t="shared" si="72"/>
        <v>273.16276581532327</v>
      </c>
      <c r="D168" s="5">
        <f t="shared" si="73"/>
        <v>46.196716042340441</v>
      </c>
      <c r="E168" s="2">
        <f t="shared" si="55"/>
        <v>91.054255271774423</v>
      </c>
      <c r="F168" s="2">
        <f t="shared" si="74"/>
        <v>0</v>
      </c>
      <c r="G168" s="3">
        <f t="shared" si="75"/>
        <v>0</v>
      </c>
      <c r="H168" s="3">
        <f t="shared" si="76"/>
        <v>176.25266925619025</v>
      </c>
      <c r="I168" s="3">
        <f t="shared" si="77"/>
        <v>22.141155905298152</v>
      </c>
      <c r="J168" s="2">
        <f t="shared" si="56"/>
        <v>177.63793008463793</v>
      </c>
      <c r="K168" s="2">
        <f t="shared" si="78"/>
        <v>121.08925022811037</v>
      </c>
      <c r="L168" s="5">
        <f t="shared" si="57"/>
        <v>19.699730286013267</v>
      </c>
      <c r="M168" s="3">
        <f t="shared" si="58"/>
        <v>20.520771804202628</v>
      </c>
      <c r="N168" s="2">
        <v>0</v>
      </c>
      <c r="O168" s="2">
        <f t="shared" si="59"/>
        <v>177.63793008463793</v>
      </c>
      <c r="P168" s="2">
        <f t="shared" si="60"/>
        <v>121.08925022811037</v>
      </c>
      <c r="Q168" s="5">
        <f t="shared" si="61"/>
        <v>1.4971274417193823</v>
      </c>
      <c r="R168" s="5">
        <f t="shared" si="62"/>
        <v>0.15659157664937282</v>
      </c>
      <c r="S168" s="4">
        <f t="shared" si="79"/>
        <v>0.11552021459845449</v>
      </c>
      <c r="T168" s="5">
        <f t="shared" si="63"/>
        <v>9.6755285529138799E-2</v>
      </c>
      <c r="U168" s="4">
        <f t="shared" si="64"/>
        <v>0</v>
      </c>
      <c r="V168" s="4">
        <f t="shared" si="65"/>
        <v>0</v>
      </c>
      <c r="W168" s="5">
        <f t="shared" si="66"/>
        <v>0</v>
      </c>
      <c r="X168" s="5">
        <f t="shared" si="67"/>
        <v>-27.859841550163374</v>
      </c>
      <c r="Y168" s="5">
        <f t="shared" si="68"/>
        <v>-3.4998000192692458</v>
      </c>
      <c r="Z168" s="5">
        <f>1</f>
        <v>1</v>
      </c>
      <c r="AA168" s="5">
        <f>IF(M168=0,0,const*($T168/omega)*O168*(wy*I168-wz*(H168-V168))/Z168)</f>
        <v>0</v>
      </c>
      <c r="AB168" s="5">
        <f>IF(M168=0,0,const*($T168/omega)*O168*(wz*(G168-U168)-wx*I168)/Z168)</f>
        <v>-2.1624672118699024</v>
      </c>
      <c r="AC168" s="5">
        <f>IF(M168=0,0,const*($T168/omega)*O168*(wx*(H168-V168)-wy*(G168-U168))/Z168)</f>
        <v>17.214124678100422</v>
      </c>
      <c r="AD168" s="5">
        <f t="shared" si="54"/>
        <v>0</v>
      </c>
      <c r="AE168" s="5">
        <f t="shared" si="54"/>
        <v>-30.022308762033276</v>
      </c>
      <c r="AF168" s="5">
        <f t="shared" si="69"/>
        <v>-18.459675341168825</v>
      </c>
      <c r="AG168">
        <f t="shared" si="80"/>
        <v>0</v>
      </c>
    </row>
    <row r="169" spans="1:33" x14ac:dyDescent="0.2">
      <c r="A169">
        <f t="shared" si="70"/>
        <v>1.370000000000001</v>
      </c>
      <c r="B169" s="5">
        <f t="shared" si="71"/>
        <v>0</v>
      </c>
      <c r="C169" s="5">
        <f t="shared" si="72"/>
        <v>274.92379139244707</v>
      </c>
      <c r="D169" s="5">
        <f t="shared" si="73"/>
        <v>46.417204617626361</v>
      </c>
      <c r="E169" s="2">
        <f t="shared" si="55"/>
        <v>91.641263797482353</v>
      </c>
      <c r="F169" s="2">
        <f t="shared" si="74"/>
        <v>0</v>
      </c>
      <c r="G169" s="3">
        <f t="shared" si="75"/>
        <v>0</v>
      </c>
      <c r="H169" s="3">
        <f t="shared" si="76"/>
        <v>175.95244616856991</v>
      </c>
      <c r="I169" s="3">
        <f t="shared" si="77"/>
        <v>21.956559151886463</v>
      </c>
      <c r="J169" s="2">
        <f t="shared" si="56"/>
        <v>177.3170995772652</v>
      </c>
      <c r="K169" s="2">
        <f t="shared" si="78"/>
        <v>120.87055185907647</v>
      </c>
      <c r="L169" s="5">
        <f t="shared" si="57"/>
        <v>19.735374194456586</v>
      </c>
      <c r="M169" s="3">
        <f t="shared" si="58"/>
        <v>20.512933995197578</v>
      </c>
      <c r="N169" s="2">
        <v>0</v>
      </c>
      <c r="O169" s="2">
        <f t="shared" si="59"/>
        <v>177.3170995772652</v>
      </c>
      <c r="P169" s="2">
        <f t="shared" si="60"/>
        <v>120.87055185907647</v>
      </c>
      <c r="Q169" s="5">
        <f t="shared" si="61"/>
        <v>1.4944234912933689</v>
      </c>
      <c r="R169" s="5">
        <f t="shared" si="62"/>
        <v>0.15662597721940147</v>
      </c>
      <c r="S169" s="4">
        <f t="shared" si="79"/>
        <v>0.1156850300625358</v>
      </c>
      <c r="T169" s="5">
        <f t="shared" si="63"/>
        <v>9.6810479148853934E-2</v>
      </c>
      <c r="U169" s="4">
        <f t="shared" si="64"/>
        <v>0</v>
      </c>
      <c r="V169" s="4">
        <f t="shared" si="65"/>
        <v>0</v>
      </c>
      <c r="W169" s="5">
        <f t="shared" si="66"/>
        <v>0</v>
      </c>
      <c r="X169" s="5">
        <f t="shared" si="67"/>
        <v>-27.768253145246046</v>
      </c>
      <c r="Y169" s="5">
        <f t="shared" si="68"/>
        <v>-3.4651140464625207</v>
      </c>
      <c r="Z169" s="5">
        <f>1</f>
        <v>1</v>
      </c>
      <c r="AA169" s="5">
        <f>IF(M169=0,0,const*($T169/omega)*O169*(wy*I169-wz*(H169-V169))/Z169)</f>
        <v>0</v>
      </c>
      <c r="AB169" s="5">
        <f>IF(M169=0,0,const*($T169/omega)*O169*(wz*(G169-U169)-wx*I169)/Z169)</f>
        <v>-2.1417861653533352</v>
      </c>
      <c r="AC169" s="5">
        <f>IF(M169=0,0,const*($T169/omega)*O169*(wx*(H169-V169)-wy*(G169-U169))/Z169)</f>
        <v>17.163550643660034</v>
      </c>
      <c r="AD169" s="5">
        <f t="shared" si="54"/>
        <v>0</v>
      </c>
      <c r="AE169" s="5">
        <f t="shared" si="54"/>
        <v>-29.91003931059938</v>
      </c>
      <c r="AF169" s="5">
        <f t="shared" si="69"/>
        <v>-18.475563402802486</v>
      </c>
      <c r="AG169">
        <f t="shared" si="80"/>
        <v>0</v>
      </c>
    </row>
    <row r="170" spans="1:33" x14ac:dyDescent="0.2">
      <c r="A170">
        <f t="shared" si="70"/>
        <v>1.380000000000001</v>
      </c>
      <c r="B170" s="5">
        <f t="shared" si="71"/>
        <v>0</v>
      </c>
      <c r="C170" s="5">
        <f t="shared" si="72"/>
        <v>276.68182035216728</v>
      </c>
      <c r="D170" s="5">
        <f t="shared" si="73"/>
        <v>46.635846430975086</v>
      </c>
      <c r="E170" s="2">
        <f t="shared" si="55"/>
        <v>92.227273450722421</v>
      </c>
      <c r="F170" s="2">
        <f t="shared" si="74"/>
        <v>0</v>
      </c>
      <c r="G170" s="3">
        <f t="shared" si="75"/>
        <v>0</v>
      </c>
      <c r="H170" s="3">
        <f t="shared" si="76"/>
        <v>175.65334577546392</v>
      </c>
      <c r="I170" s="3">
        <f t="shared" si="77"/>
        <v>21.771803517858437</v>
      </c>
      <c r="J170" s="2">
        <f t="shared" si="56"/>
        <v>176.99748391018139</v>
      </c>
      <c r="K170" s="2">
        <f t="shared" si="78"/>
        <v>120.65268160203229</v>
      </c>
      <c r="L170" s="5">
        <f t="shared" si="57"/>
        <v>19.77101162075758</v>
      </c>
      <c r="M170" s="3">
        <f t="shared" si="58"/>
        <v>20.505126954960296</v>
      </c>
      <c r="N170" s="2">
        <v>0</v>
      </c>
      <c r="O170" s="2">
        <f t="shared" si="59"/>
        <v>176.99748391018139</v>
      </c>
      <c r="P170" s="2">
        <f t="shared" si="60"/>
        <v>120.65268160203229</v>
      </c>
      <c r="Q170" s="5">
        <f t="shared" si="61"/>
        <v>1.4917297795068907</v>
      </c>
      <c r="R170" s="5">
        <f t="shared" si="62"/>
        <v>0.15666037281938344</v>
      </c>
      <c r="S170" s="4">
        <f t="shared" si="79"/>
        <v>0.11584982171478644</v>
      </c>
      <c r="T170" s="5">
        <f t="shared" si="63"/>
        <v>9.6865617644460944E-2</v>
      </c>
      <c r="U170" s="4">
        <f t="shared" si="64"/>
        <v>0</v>
      </c>
      <c r="V170" s="4">
        <f t="shared" si="65"/>
        <v>0</v>
      </c>
      <c r="W170" s="5">
        <f t="shared" si="66"/>
        <v>0</v>
      </c>
      <c r="X170" s="5">
        <f t="shared" si="67"/>
        <v>-27.677159298590716</v>
      </c>
      <c r="Y170" s="5">
        <f t="shared" si="68"/>
        <v>-3.430516347531805</v>
      </c>
      <c r="Z170" s="5">
        <f>1</f>
        <v>1</v>
      </c>
      <c r="AA170" s="5">
        <f>IF(M170=0,0,const*($T170/omega)*O170*(wy*I170-wz*(H170-V170))/Z170)</f>
        <v>0</v>
      </c>
      <c r="AB170" s="5">
        <f>IF(M170=0,0,const*($T170/omega)*O170*(wz*(G170-U170)-wx*I170)/Z170)</f>
        <v>-2.1211432020923513</v>
      </c>
      <c r="AC170" s="5">
        <f>IF(M170=0,0,const*($T170/omega)*O170*(wx*(H170-V170)-wy*(G170-U170))/Z170)</f>
        <v>17.113230881896712</v>
      </c>
      <c r="AD170" s="5">
        <f t="shared" si="54"/>
        <v>0</v>
      </c>
      <c r="AE170" s="5">
        <f t="shared" si="54"/>
        <v>-29.798302500683068</v>
      </c>
      <c r="AF170" s="5">
        <f t="shared" si="69"/>
        <v>-18.491285465635094</v>
      </c>
      <c r="AG170">
        <f t="shared" si="80"/>
        <v>0</v>
      </c>
    </row>
    <row r="171" spans="1:33" x14ac:dyDescent="0.2">
      <c r="A171">
        <f t="shared" si="70"/>
        <v>1.390000000000001</v>
      </c>
      <c r="B171" s="5">
        <f t="shared" si="71"/>
        <v>0</v>
      </c>
      <c r="C171" s="5">
        <f t="shared" si="72"/>
        <v>278.43686389479689</v>
      </c>
      <c r="D171" s="5">
        <f t="shared" si="73"/>
        <v>46.852639901880387</v>
      </c>
      <c r="E171" s="2">
        <f t="shared" si="55"/>
        <v>92.812287964932295</v>
      </c>
      <c r="F171" s="2">
        <f t="shared" si="74"/>
        <v>0</v>
      </c>
      <c r="G171" s="3">
        <f t="shared" si="75"/>
        <v>0</v>
      </c>
      <c r="H171" s="3">
        <f t="shared" si="76"/>
        <v>175.35536275045709</v>
      </c>
      <c r="I171" s="3">
        <f t="shared" si="77"/>
        <v>21.586890663202087</v>
      </c>
      <c r="J171" s="2">
        <f t="shared" si="56"/>
        <v>176.67907938929679</v>
      </c>
      <c r="K171" s="2">
        <f t="shared" si="78"/>
        <v>120.43563693885261</v>
      </c>
      <c r="L171" s="5">
        <f t="shared" si="57"/>
        <v>19.806642208738175</v>
      </c>
      <c r="M171" s="3">
        <f t="shared" si="58"/>
        <v>20.497350467238114</v>
      </c>
      <c r="N171" s="2">
        <v>0</v>
      </c>
      <c r="O171" s="2">
        <f t="shared" si="59"/>
        <v>176.67907938929679</v>
      </c>
      <c r="P171" s="2">
        <f t="shared" si="60"/>
        <v>120.43563693885261</v>
      </c>
      <c r="Q171" s="5">
        <f t="shared" si="61"/>
        <v>1.4890462752262639</v>
      </c>
      <c r="R171" s="5">
        <f t="shared" si="62"/>
        <v>0.15669476296365789</v>
      </c>
      <c r="S171" s="4">
        <f t="shared" si="79"/>
        <v>0.11601458722837245</v>
      </c>
      <c r="T171" s="5">
        <f t="shared" si="63"/>
        <v>9.6920700366079179E-2</v>
      </c>
      <c r="U171" s="4">
        <f t="shared" si="64"/>
        <v>0</v>
      </c>
      <c r="V171" s="4">
        <f t="shared" si="65"/>
        <v>0</v>
      </c>
      <c r="W171" s="5">
        <f t="shared" si="66"/>
        <v>0</v>
      </c>
      <c r="X171" s="5">
        <f t="shared" si="67"/>
        <v>-27.586556944658831</v>
      </c>
      <c r="Y171" s="5">
        <f t="shared" si="68"/>
        <v>-3.3960067100200284</v>
      </c>
      <c r="Z171" s="5">
        <f>1</f>
        <v>1</v>
      </c>
      <c r="AA171" s="5">
        <f>IF(M171=0,0,const*($T171/omega)*O171*(wy*I171-wz*(H171-V171))/Z171)</f>
        <v>0</v>
      </c>
      <c r="AB171" s="5">
        <f>IF(M171=0,0,const*($T171/omega)*O171*(wz*(G171-U171)-wx*I171)/Z171)</f>
        <v>-2.1005382857586858</v>
      </c>
      <c r="AC171" s="5">
        <f>IF(M171=0,0,const*($T171/omega)*O171*(wx*(H171-V171)-wy*(G171-U171))/Z171)</f>
        <v>17.063163881138586</v>
      </c>
      <c r="AD171" s="5">
        <f t="shared" si="54"/>
        <v>0</v>
      </c>
      <c r="AE171" s="5">
        <f t="shared" si="54"/>
        <v>-29.687095230417516</v>
      </c>
      <c r="AF171" s="5">
        <f t="shared" si="69"/>
        <v>-18.506842828881442</v>
      </c>
      <c r="AG171">
        <f t="shared" si="80"/>
        <v>0</v>
      </c>
    </row>
    <row r="172" spans="1:33" x14ac:dyDescent="0.2">
      <c r="A172">
        <f t="shared" si="70"/>
        <v>1.400000000000001</v>
      </c>
      <c r="B172" s="5">
        <f t="shared" si="71"/>
        <v>0</v>
      </c>
      <c r="C172" s="5">
        <f t="shared" si="72"/>
        <v>280.18893316753991</v>
      </c>
      <c r="D172" s="5">
        <f t="shared" si="73"/>
        <v>47.067583466370962</v>
      </c>
      <c r="E172" s="2">
        <f t="shared" si="55"/>
        <v>93.396311055846638</v>
      </c>
      <c r="F172" s="2">
        <f t="shared" si="74"/>
        <v>0</v>
      </c>
      <c r="G172" s="3">
        <f t="shared" si="75"/>
        <v>0</v>
      </c>
      <c r="H172" s="3">
        <f t="shared" si="76"/>
        <v>175.05849179815291</v>
      </c>
      <c r="I172" s="3">
        <f t="shared" si="77"/>
        <v>21.401822234913272</v>
      </c>
      <c r="J172" s="2">
        <f t="shared" si="56"/>
        <v>176.36188234881936</v>
      </c>
      <c r="K172" s="2">
        <f t="shared" si="78"/>
        <v>120.21941537070167</v>
      </c>
      <c r="L172" s="5">
        <f t="shared" si="57"/>
        <v>19.842265599726829</v>
      </c>
      <c r="M172" s="3">
        <f t="shared" si="58"/>
        <v>20.489604316826135</v>
      </c>
      <c r="N172" s="2">
        <v>0</v>
      </c>
      <c r="O172" s="2">
        <f t="shared" si="59"/>
        <v>176.36188234881936</v>
      </c>
      <c r="P172" s="2">
        <f t="shared" si="60"/>
        <v>120.21941537070167</v>
      </c>
      <c r="Q172" s="5">
        <f t="shared" si="61"/>
        <v>1.4863729475562966</v>
      </c>
      <c r="R172" s="5">
        <f t="shared" si="62"/>
        <v>0.15672914716350567</v>
      </c>
      <c r="S172" s="4">
        <f t="shared" si="79"/>
        <v>0.11617932426180697</v>
      </c>
      <c r="T172" s="5">
        <f t="shared" si="63"/>
        <v>9.6975726661090875E-2</v>
      </c>
      <c r="U172" s="4">
        <f t="shared" si="64"/>
        <v>0</v>
      </c>
      <c r="V172" s="4">
        <f t="shared" si="65"/>
        <v>0</v>
      </c>
      <c r="W172" s="5">
        <f t="shared" si="66"/>
        <v>0</v>
      </c>
      <c r="X172" s="5">
        <f t="shared" si="67"/>
        <v>-27.496443042027252</v>
      </c>
      <c r="Y172" s="5">
        <f t="shared" si="68"/>
        <v>-3.3615849196073921</v>
      </c>
      <c r="Z172" s="5">
        <f>1</f>
        <v>1</v>
      </c>
      <c r="AA172" s="5">
        <f>IF(M172=0,0,const*($T172/omega)*O172*(wy*I172-wz*(H172-V172))/Z172)</f>
        <v>0</v>
      </c>
      <c r="AB172" s="5">
        <f>IF(M172=0,0,const*($T172/omega)*O172*(wz*(G172-U172)-wx*I172)/Z172)</f>
        <v>-2.0799713787238598</v>
      </c>
      <c r="AC172" s="5">
        <f>IF(M172=0,0,const*($T172/omega)*O172*(wx*(H172-V172)-wy*(G172-U172))/Z172)</f>
        <v>17.013348141390129</v>
      </c>
      <c r="AD172" s="5">
        <f t="shared" si="54"/>
        <v>0</v>
      </c>
      <c r="AE172" s="5">
        <f t="shared" si="54"/>
        <v>-29.576414420751114</v>
      </c>
      <c r="AF172" s="5">
        <f t="shared" si="69"/>
        <v>-18.522236778217263</v>
      </c>
      <c r="AG172">
        <f t="shared" si="80"/>
        <v>0</v>
      </c>
    </row>
    <row r="173" spans="1:33" x14ac:dyDescent="0.2">
      <c r="A173">
        <f t="shared" si="70"/>
        <v>1.410000000000001</v>
      </c>
      <c r="B173" s="5">
        <f t="shared" si="71"/>
        <v>0</v>
      </c>
      <c r="C173" s="5">
        <f t="shared" si="72"/>
        <v>281.93803926480041</v>
      </c>
      <c r="D173" s="5">
        <f t="shared" si="73"/>
        <v>47.280675576881187</v>
      </c>
      <c r="E173" s="2">
        <f t="shared" si="55"/>
        <v>93.979346421600141</v>
      </c>
      <c r="F173" s="2">
        <f t="shared" si="74"/>
        <v>0</v>
      </c>
      <c r="G173" s="3">
        <f t="shared" si="75"/>
        <v>0</v>
      </c>
      <c r="H173" s="3">
        <f t="shared" si="76"/>
        <v>174.7627276539454</v>
      </c>
      <c r="I173" s="3">
        <f t="shared" si="77"/>
        <v>21.216599867131098</v>
      </c>
      <c r="J173" s="2">
        <f t="shared" si="56"/>
        <v>176.04588915100814</v>
      </c>
      <c r="K173" s="2">
        <f t="shared" si="78"/>
        <v>120.00401441786512</v>
      </c>
      <c r="L173" s="5">
        <f t="shared" si="57"/>
        <v>19.877881432558343</v>
      </c>
      <c r="M173" s="3">
        <f t="shared" si="58"/>
        <v>20.481888289556888</v>
      </c>
      <c r="N173" s="2">
        <v>0</v>
      </c>
      <c r="O173" s="2">
        <f t="shared" si="59"/>
        <v>176.04588915100814</v>
      </c>
      <c r="P173" s="2">
        <f t="shared" si="60"/>
        <v>120.00401441786512</v>
      </c>
      <c r="Q173" s="5">
        <f t="shared" si="61"/>
        <v>1.4837097658382119</v>
      </c>
      <c r="R173" s="5">
        <f t="shared" si="62"/>
        <v>0.15676352492714798</v>
      </c>
      <c r="S173" s="4">
        <f t="shared" si="79"/>
        <v>0.11634403045894467</v>
      </c>
      <c r="T173" s="5">
        <f t="shared" si="63"/>
        <v>9.7030695874146769E-2</v>
      </c>
      <c r="U173" s="4">
        <f t="shared" si="64"/>
        <v>0</v>
      </c>
      <c r="V173" s="4">
        <f t="shared" si="65"/>
        <v>0</v>
      </c>
      <c r="W173" s="5">
        <f t="shared" si="66"/>
        <v>0</v>
      </c>
      <c r="X173" s="5">
        <f t="shared" si="67"/>
        <v>-27.406814573161935</v>
      </c>
      <c r="Y173" s="5">
        <f t="shared" si="68"/>
        <v>-3.3272507601440315</v>
      </c>
      <c r="Z173" s="5">
        <f>1</f>
        <v>1</v>
      </c>
      <c r="AA173" s="5">
        <f>IF(M173=0,0,const*($T173/omega)*O173*(wy*I173-wz*(H173-V173))/Z173)</f>
        <v>0</v>
      </c>
      <c r="AB173" s="5">
        <f>IF(M173=0,0,const*($T173/omega)*O173*(wz*(G173-U173)-wx*I173)/Z173)</f>
        <v>-2.0594424420769668</v>
      </c>
      <c r="AC173" s="5">
        <f>IF(M173=0,0,const*($T173/omega)*O173*(wx*(H173-V173)-wy*(G173-U173))/Z173)</f>
        <v>16.963782174223592</v>
      </c>
      <c r="AD173" s="5">
        <f t="shared" si="54"/>
        <v>0</v>
      </c>
      <c r="AE173" s="5">
        <f t="shared" si="54"/>
        <v>-29.466257015238902</v>
      </c>
      <c r="AF173" s="5">
        <f t="shared" si="69"/>
        <v>-18.53746858592044</v>
      </c>
      <c r="AG173">
        <f t="shared" si="80"/>
        <v>0</v>
      </c>
    </row>
    <row r="174" spans="1:33" x14ac:dyDescent="0.2">
      <c r="A174">
        <f t="shared" si="70"/>
        <v>1.420000000000001</v>
      </c>
      <c r="B174" s="5">
        <f t="shared" si="71"/>
        <v>0</v>
      </c>
      <c r="C174" s="5">
        <f t="shared" si="72"/>
        <v>283.68419322848911</v>
      </c>
      <c r="D174" s="5">
        <f t="shared" si="73"/>
        <v>47.491914702123204</v>
      </c>
      <c r="E174" s="2">
        <f t="shared" si="55"/>
        <v>94.561397742829698</v>
      </c>
      <c r="F174" s="2">
        <f t="shared" si="74"/>
        <v>0</v>
      </c>
      <c r="G174" s="3">
        <f t="shared" si="75"/>
        <v>0</v>
      </c>
      <c r="H174" s="3">
        <f t="shared" si="76"/>
        <v>174.46806508379302</v>
      </c>
      <c r="I174" s="3">
        <f t="shared" si="77"/>
        <v>21.031225181271893</v>
      </c>
      <c r="J174" s="2">
        <f t="shared" si="56"/>
        <v>175.73109618592835</v>
      </c>
      <c r="K174" s="2">
        <f t="shared" si="78"/>
        <v>119.78943161958306</v>
      </c>
      <c r="L174" s="5">
        <f t="shared" si="57"/>
        <v>19.913489343573929</v>
      </c>
      <c r="M174" s="3">
        <f t="shared" si="58"/>
        <v>20.474202172290038</v>
      </c>
      <c r="N174" s="2">
        <v>0</v>
      </c>
      <c r="O174" s="2">
        <f t="shared" si="59"/>
        <v>175.73109618592835</v>
      </c>
      <c r="P174" s="2">
        <f t="shared" si="60"/>
        <v>119.78943161958306</v>
      </c>
      <c r="Q174" s="5">
        <f t="shared" si="61"/>
        <v>1.4810566996475814</v>
      </c>
      <c r="R174" s="5">
        <f t="shared" si="62"/>
        <v>0.15679789575974565</v>
      </c>
      <c r="S174" s="4">
        <f t="shared" si="79"/>
        <v>0.11650870344897733</v>
      </c>
      <c r="T174" s="5">
        <f t="shared" si="63"/>
        <v>9.7085607347171671E-2</v>
      </c>
      <c r="U174" s="4">
        <f t="shared" si="64"/>
        <v>0</v>
      </c>
      <c r="V174" s="4">
        <f t="shared" si="65"/>
        <v>0</v>
      </c>
      <c r="W174" s="5">
        <f t="shared" si="66"/>
        <v>0</v>
      </c>
      <c r="X174" s="5">
        <f t="shared" si="67"/>
        <v>-27.317668544194039</v>
      </c>
      <c r="Y174" s="5">
        <f t="shared" si="68"/>
        <v>-3.2930040136821717</v>
      </c>
      <c r="Z174" s="5">
        <f>1</f>
        <v>1</v>
      </c>
      <c r="AA174" s="5">
        <f>IF(M174=0,0,const*($T174/omega)*O174*(wy*I174-wz*(H174-V174))/Z174)</f>
        <v>0</v>
      </c>
      <c r="AB174" s="5">
        <f>IF(M174=0,0,const*($T174/omega)*O174*(wz*(G174-U174)-wx*I174)/Z174)</f>
        <v>-2.0389514356421889</v>
      </c>
      <c r="AC174" s="5">
        <f>IF(M174=0,0,const*($T174/omega)*O174*(wx*(H174-V174)-wy*(G174-U174))/Z174)</f>
        <v>16.91446450267151</v>
      </c>
      <c r="AD174" s="5">
        <f t="shared" si="54"/>
        <v>0</v>
      </c>
      <c r="AE174" s="5">
        <f t="shared" si="54"/>
        <v>-29.356619979836228</v>
      </c>
      <c r="AF174" s="5">
        <f t="shared" si="69"/>
        <v>-18.552539511010661</v>
      </c>
      <c r="AG174">
        <f t="shared" si="80"/>
        <v>0</v>
      </c>
    </row>
    <row r="175" spans="1:33" x14ac:dyDescent="0.2">
      <c r="A175">
        <f t="shared" si="70"/>
        <v>1.430000000000001</v>
      </c>
      <c r="B175" s="5">
        <f t="shared" si="71"/>
        <v>0</v>
      </c>
      <c r="C175" s="5">
        <f t="shared" si="72"/>
        <v>285.42740604832807</v>
      </c>
      <c r="D175" s="5">
        <f t="shared" si="73"/>
        <v>47.701299326960367</v>
      </c>
      <c r="E175" s="2">
        <f t="shared" si="55"/>
        <v>95.142468682776027</v>
      </c>
      <c r="F175" s="2">
        <f t="shared" si="74"/>
        <v>0</v>
      </c>
      <c r="G175" s="3">
        <f t="shared" si="75"/>
        <v>0</v>
      </c>
      <c r="H175" s="3">
        <f t="shared" si="76"/>
        <v>174.17449888399466</v>
      </c>
      <c r="I175" s="3">
        <f t="shared" si="77"/>
        <v>20.845699786161784</v>
      </c>
      <c r="J175" s="2">
        <f t="shared" si="56"/>
        <v>175.41749987120852</v>
      </c>
      <c r="K175" s="2">
        <f t="shared" si="78"/>
        <v>119.57566453388446</v>
      </c>
      <c r="L175" s="5">
        <f t="shared" si="57"/>
        <v>19.949088966621471</v>
      </c>
      <c r="M175" s="3">
        <f t="shared" si="58"/>
        <v>20.466545752902238</v>
      </c>
      <c r="N175" s="2">
        <v>0</v>
      </c>
      <c r="O175" s="2">
        <f t="shared" si="59"/>
        <v>175.41749987120852</v>
      </c>
      <c r="P175" s="2">
        <f t="shared" si="60"/>
        <v>119.57566453388446</v>
      </c>
      <c r="Q175" s="5">
        <f t="shared" si="61"/>
        <v>1.4784137187922795</v>
      </c>
      <c r="R175" s="5">
        <f t="shared" si="62"/>
        <v>0.15683225916339832</v>
      </c>
      <c r="S175" s="4">
        <f t="shared" si="79"/>
        <v>0.11667334084643077</v>
      </c>
      <c r="T175" s="5">
        <f t="shared" si="63"/>
        <v>9.714046041937055E-2</v>
      </c>
      <c r="U175" s="4">
        <f t="shared" si="64"/>
        <v>0</v>
      </c>
      <c r="V175" s="4">
        <f t="shared" si="65"/>
        <v>0</v>
      </c>
      <c r="W175" s="5">
        <f t="shared" si="66"/>
        <v>0</v>
      </c>
      <c r="X175" s="5">
        <f t="shared" si="67"/>
        <v>-27.229001984698421</v>
      </c>
      <c r="Y175" s="5">
        <f t="shared" si="68"/>
        <v>-3.2588444605077922</v>
      </c>
      <c r="Z175" s="5">
        <f>1</f>
        <v>1</v>
      </c>
      <c r="AA175" s="5">
        <f>IF(M175=0,0,const*($T175/omega)*O175*(wy*I175-wz*(H175-V175))/Z175)</f>
        <v>0</v>
      </c>
      <c r="AB175" s="5">
        <f>IF(M175=0,0,const*($T175/omega)*O175*(wz*(G175-U175)-wx*I175)/Z175)</f>
        <v>-2.0184983179960629</v>
      </c>
      <c r="AC175" s="5">
        <f>IF(M175=0,0,const*($T175/omega)*O175*(wx*(H175-V175)-wy*(G175-U175))/Z175)</f>
        <v>16.865393661120329</v>
      </c>
      <c r="AD175" s="5">
        <f t="shared" si="54"/>
        <v>0</v>
      </c>
      <c r="AE175" s="5">
        <f t="shared" si="54"/>
        <v>-29.247500302694483</v>
      </c>
      <c r="AF175" s="5">
        <f t="shared" si="69"/>
        <v>-18.567450799387462</v>
      </c>
      <c r="AG175">
        <f t="shared" si="80"/>
        <v>0</v>
      </c>
    </row>
    <row r="176" spans="1:33" x14ac:dyDescent="0.2">
      <c r="A176">
        <f t="shared" si="70"/>
        <v>1.4400000000000011</v>
      </c>
      <c r="B176" s="5">
        <f t="shared" si="71"/>
        <v>0</v>
      </c>
      <c r="C176" s="5">
        <f t="shared" si="72"/>
        <v>287.1676886621529</v>
      </c>
      <c r="D176" s="5">
        <f t="shared" si="73"/>
        <v>47.908827952282017</v>
      </c>
      <c r="E176" s="2">
        <f t="shared" si="55"/>
        <v>95.722562887384299</v>
      </c>
      <c r="F176" s="2">
        <f t="shared" si="74"/>
        <v>0</v>
      </c>
      <c r="G176" s="3">
        <f t="shared" si="75"/>
        <v>0</v>
      </c>
      <c r="H176" s="3">
        <f t="shared" si="76"/>
        <v>173.88202388096772</v>
      </c>
      <c r="I176" s="3">
        <f t="shared" si="77"/>
        <v>20.660025278167911</v>
      </c>
      <c r="J176" s="2">
        <f t="shared" si="56"/>
        <v>175.10509665179927</v>
      </c>
      <c r="K176" s="2">
        <f t="shared" si="78"/>
        <v>119.36271073742282</v>
      </c>
      <c r="L176" s="5">
        <f t="shared" si="57"/>
        <v>19.984679933056025</v>
      </c>
      <c r="M176" s="3">
        <f t="shared" si="58"/>
        <v>20.45891882027713</v>
      </c>
      <c r="N176" s="2">
        <v>0</v>
      </c>
      <c r="O176" s="2">
        <f t="shared" si="59"/>
        <v>175.10509665179927</v>
      </c>
      <c r="P176" s="2">
        <f t="shared" si="60"/>
        <v>119.36271073742282</v>
      </c>
      <c r="Q176" s="5">
        <f t="shared" si="61"/>
        <v>1.4757807933104514</v>
      </c>
      <c r="R176" s="5">
        <f t="shared" si="62"/>
        <v>0.15686661463714432</v>
      </c>
      <c r="S176" s="4">
        <f t="shared" si="79"/>
        <v>0.11683794025116348</v>
      </c>
      <c r="T176" s="5">
        <f t="shared" si="63"/>
        <v>9.7195254427235034E-2</v>
      </c>
      <c r="U176" s="4">
        <f t="shared" si="64"/>
        <v>0</v>
      </c>
      <c r="V176" s="4">
        <f t="shared" si="65"/>
        <v>0</v>
      </c>
      <c r="W176" s="5">
        <f t="shared" si="66"/>
        <v>0</v>
      </c>
      <c r="X176" s="5">
        <f t="shared" si="67"/>
        <v>-27.140811947474486</v>
      </c>
      <c r="Y176" s="5">
        <f t="shared" si="68"/>
        <v>-3.2247718791718025</v>
      </c>
      <c r="Z176" s="5">
        <f>1</f>
        <v>1</v>
      </c>
      <c r="AA176" s="5">
        <f>IF(M176=0,0,const*($T176/omega)*O176*(wy*I176-wz*(H176-V176))/Z176)</f>
        <v>0</v>
      </c>
      <c r="AB176" s="5">
        <f>IF(M176=0,0,const*($T176/omega)*O176*(wz*(G176-U176)-wx*I176)/Z176)</f>
        <v>-1.9980830464845047</v>
      </c>
      <c r="AC176" s="5">
        <f>IF(M176=0,0,const*($T176/omega)*O176*(wx*(H176-V176)-wy*(G176-U176))/Z176)</f>
        <v>16.816568195205271</v>
      </c>
      <c r="AD176" s="5">
        <f t="shared" ref="AD176:AE239" si="81">W176+AA176</f>
        <v>0</v>
      </c>
      <c r="AE176" s="5">
        <f t="shared" si="81"/>
        <v>-29.138894993958992</v>
      </c>
      <c r="AF176" s="5">
        <f t="shared" si="69"/>
        <v>-18.582203683966533</v>
      </c>
      <c r="AG176">
        <f t="shared" si="80"/>
        <v>0</v>
      </c>
    </row>
    <row r="177" spans="1:33" x14ac:dyDescent="0.2">
      <c r="A177">
        <f t="shared" si="70"/>
        <v>1.4500000000000011</v>
      </c>
      <c r="B177" s="5">
        <f t="shared" si="71"/>
        <v>0</v>
      </c>
      <c r="C177" s="5">
        <f t="shared" si="72"/>
        <v>288.9050519562129</v>
      </c>
      <c r="D177" s="5">
        <f t="shared" si="73"/>
        <v>48.114499094879498</v>
      </c>
      <c r="E177" s="2">
        <f t="shared" si="55"/>
        <v>96.301683985404296</v>
      </c>
      <c r="F177" s="2">
        <f t="shared" si="74"/>
        <v>0</v>
      </c>
      <c r="G177" s="3">
        <f t="shared" si="75"/>
        <v>0</v>
      </c>
      <c r="H177" s="3">
        <f t="shared" si="76"/>
        <v>173.59063493102812</v>
      </c>
      <c r="I177" s="3">
        <f t="shared" si="77"/>
        <v>20.474203241328247</v>
      </c>
      <c r="J177" s="2">
        <f t="shared" si="56"/>
        <v>174.793882999734</v>
      </c>
      <c r="K177" s="2">
        <f t="shared" si="78"/>
        <v>119.15056782531288</v>
      </c>
      <c r="L177" s="5">
        <f t="shared" si="57"/>
        <v>20.020261871740527</v>
      </c>
      <c r="M177" s="3">
        <f t="shared" si="58"/>
        <v>20.451321164295411</v>
      </c>
      <c r="N177" s="2">
        <v>0</v>
      </c>
      <c r="O177" s="2">
        <f t="shared" si="59"/>
        <v>174.793882999734</v>
      </c>
      <c r="P177" s="2">
        <f t="shared" si="60"/>
        <v>119.15056782531288</v>
      </c>
      <c r="Q177" s="5">
        <f t="shared" si="61"/>
        <v>1.4731578934684939</v>
      </c>
      <c r="R177" s="5">
        <f t="shared" si="62"/>
        <v>0.15690096167696049</v>
      </c>
      <c r="S177" s="4">
        <f t="shared" si="79"/>
        <v>0.11700249924836634</v>
      </c>
      <c r="T177" s="5">
        <f t="shared" si="63"/>
        <v>9.7249988704549997E-2</v>
      </c>
      <c r="U177" s="4">
        <f t="shared" si="64"/>
        <v>0</v>
      </c>
      <c r="V177" s="4">
        <f t="shared" si="65"/>
        <v>0</v>
      </c>
      <c r="W177" s="5">
        <f t="shared" si="66"/>
        <v>0</v>
      </c>
      <c r="X177" s="5">
        <f t="shared" si="67"/>
        <v>-27.053095508329339</v>
      </c>
      <c r="Y177" s="5">
        <f t="shared" si="68"/>
        <v>-3.1907860465207336</v>
      </c>
      <c r="Z177" s="5">
        <f>1</f>
        <v>1</v>
      </c>
      <c r="AA177" s="5">
        <f>IF(M177=0,0,const*($T177/omega)*O177*(wy*I177-wz*(H177-V177))/Z177)</f>
        <v>0</v>
      </c>
      <c r="AB177" s="5">
        <f>IF(M177=0,0,const*($T177/omega)*O177*(wz*(G177-U177)-wx*I177)/Z177)</f>
        <v>-1.9777055772395717</v>
      </c>
      <c r="AC177" s="5">
        <f>IF(M177=0,0,const*($T177/omega)*O177*(wx*(H177-V177)-wy*(G177-U177))/Z177)</f>
        <v>16.767986661706143</v>
      </c>
      <c r="AD177" s="5">
        <f t="shared" si="81"/>
        <v>0</v>
      </c>
      <c r="AE177" s="5">
        <f t="shared" si="81"/>
        <v>-29.03080108556891</v>
      </c>
      <c r="AF177" s="5">
        <f t="shared" si="69"/>
        <v>-18.596799384814588</v>
      </c>
      <c r="AG177">
        <f t="shared" si="80"/>
        <v>0</v>
      </c>
    </row>
    <row r="178" spans="1:33" x14ac:dyDescent="0.2">
      <c r="A178">
        <f t="shared" si="70"/>
        <v>1.4600000000000011</v>
      </c>
      <c r="B178" s="5">
        <f t="shared" si="71"/>
        <v>0</v>
      </c>
      <c r="C178" s="5">
        <f t="shared" si="72"/>
        <v>290.63950676546887</v>
      </c>
      <c r="D178" s="5">
        <f t="shared" si="73"/>
        <v>48.318311287323546</v>
      </c>
      <c r="E178" s="2">
        <f t="shared" si="55"/>
        <v>96.879835588489627</v>
      </c>
      <c r="F178" s="2">
        <f t="shared" si="74"/>
        <v>0</v>
      </c>
      <c r="G178" s="3">
        <f t="shared" si="75"/>
        <v>0</v>
      </c>
      <c r="H178" s="3">
        <f t="shared" si="76"/>
        <v>173.30032692017244</v>
      </c>
      <c r="I178" s="3">
        <f t="shared" si="77"/>
        <v>20.288235247480102</v>
      </c>
      <c r="J178" s="2">
        <f t="shared" si="56"/>
        <v>174.48385541389135</v>
      </c>
      <c r="K178" s="2">
        <f t="shared" si="78"/>
        <v>118.93923341096887</v>
      </c>
      <c r="L178" s="5">
        <f t="shared" si="57"/>
        <v>20.055834409046685</v>
      </c>
      <c r="M178" s="3">
        <f t="shared" si="58"/>
        <v>20.443752575825069</v>
      </c>
      <c r="N178" s="2">
        <v>0</v>
      </c>
      <c r="O178" s="2">
        <f t="shared" si="59"/>
        <v>174.48385541389135</v>
      </c>
      <c r="P178" s="2">
        <f t="shared" si="60"/>
        <v>118.93923341096887</v>
      </c>
      <c r="Q178" s="5">
        <f t="shared" si="61"/>
        <v>1.4705449897590557</v>
      </c>
      <c r="R178" s="5">
        <f t="shared" si="62"/>
        <v>0.15693529977576251</v>
      </c>
      <c r="S178" s="4">
        <f t="shared" si="79"/>
        <v>0.11716701540856404</v>
      </c>
      <c r="T178" s="5">
        <f t="shared" si="63"/>
        <v>9.7304662582400753E-2</v>
      </c>
      <c r="U178" s="4">
        <f t="shared" si="64"/>
        <v>0</v>
      </c>
      <c r="V178" s="4">
        <f t="shared" si="65"/>
        <v>0</v>
      </c>
      <c r="W178" s="5">
        <f t="shared" si="66"/>
        <v>0</v>
      </c>
      <c r="X178" s="5">
        <f t="shared" si="67"/>
        <v>-26.965849765863318</v>
      </c>
      <c r="Y178" s="5">
        <f t="shared" si="68"/>
        <v>-3.1568867377269738</v>
      </c>
      <c r="Z178" s="5">
        <f>1</f>
        <v>1</v>
      </c>
      <c r="AA178" s="5">
        <f>IF(M178=0,0,const*($T178/omega)*O178*(wy*I178-wz*(H178-V178))/Z178)</f>
        <v>0</v>
      </c>
      <c r="AB178" s="5">
        <f>IF(M178=0,0,const*($T178/omega)*O178*(wz*(G178-U178)-wx*I178)/Z178)</f>
        <v>-1.957365865196</v>
      </c>
      <c r="AC178" s="5">
        <f>IF(M178=0,0,const*($T178/omega)*O178*(wx*(H178-V178)-wy*(G178-U178))/Z178)</f>
        <v>16.71964762844441</v>
      </c>
      <c r="AD178" s="5">
        <f t="shared" si="81"/>
        <v>0</v>
      </c>
      <c r="AE178" s="5">
        <f t="shared" si="81"/>
        <v>-28.923215631059318</v>
      </c>
      <c r="AF178" s="5">
        <f t="shared" si="69"/>
        <v>-18.611239109282565</v>
      </c>
      <c r="AG178">
        <f t="shared" si="80"/>
        <v>0</v>
      </c>
    </row>
    <row r="179" spans="1:33" x14ac:dyDescent="0.2">
      <c r="A179">
        <f t="shared" si="70"/>
        <v>1.4700000000000011</v>
      </c>
      <c r="B179" s="5">
        <f t="shared" si="71"/>
        <v>0</v>
      </c>
      <c r="C179" s="5">
        <f t="shared" si="72"/>
        <v>292.37106387388906</v>
      </c>
      <c r="D179" s="5">
        <f t="shared" si="73"/>
        <v>48.520263077842884</v>
      </c>
      <c r="E179" s="2">
        <f t="shared" si="55"/>
        <v>97.457021291296357</v>
      </c>
      <c r="F179" s="2">
        <f t="shared" si="74"/>
        <v>0</v>
      </c>
      <c r="G179" s="3">
        <f t="shared" si="75"/>
        <v>0</v>
      </c>
      <c r="H179" s="3">
        <f t="shared" si="76"/>
        <v>173.01109476386185</v>
      </c>
      <c r="I179" s="3">
        <f t="shared" si="77"/>
        <v>20.102122856387275</v>
      </c>
      <c r="J179" s="2">
        <f t="shared" si="56"/>
        <v>174.17501041975933</v>
      </c>
      <c r="K179" s="2">
        <f t="shared" si="78"/>
        <v>118.72870512594365</v>
      </c>
      <c r="L179" s="5">
        <f t="shared" si="57"/>
        <v>20.091397168856183</v>
      </c>
      <c r="M179" s="3">
        <f t="shared" si="58"/>
        <v>20.43621284671169</v>
      </c>
      <c r="N179" s="2">
        <v>0</v>
      </c>
      <c r="O179" s="2">
        <f t="shared" si="59"/>
        <v>174.17501041975933</v>
      </c>
      <c r="P179" s="2">
        <f t="shared" si="60"/>
        <v>118.72870512594365</v>
      </c>
      <c r="Q179" s="5">
        <f t="shared" si="61"/>
        <v>1.4679420528990486</v>
      </c>
      <c r="R179" s="5">
        <f t="shared" si="62"/>
        <v>0.15696962842340548</v>
      </c>
      <c r="S179" s="4">
        <f t="shared" si="79"/>
        <v>0.11733148628761786</v>
      </c>
      <c r="T179" s="5">
        <f t="shared" si="63"/>
        <v>9.7359275389180516E-2</v>
      </c>
      <c r="U179" s="4">
        <f t="shared" si="64"/>
        <v>0</v>
      </c>
      <c r="V179" s="4">
        <f t="shared" si="65"/>
        <v>0</v>
      </c>
      <c r="W179" s="5">
        <f t="shared" si="66"/>
        <v>0</v>
      </c>
      <c r="X179" s="5">
        <f t="shared" si="67"/>
        <v>-26.879071841257662</v>
      </c>
      <c r="Y179" s="5">
        <f t="shared" si="68"/>
        <v>-3.1230737263185238</v>
      </c>
      <c r="Z179" s="5">
        <f>1</f>
        <v>1</v>
      </c>
      <c r="AA179" s="5">
        <f>IF(M179=0,0,const*($T179/omega)*O179*(wy*I179-wz*(H179-V179))/Z179)</f>
        <v>0</v>
      </c>
      <c r="AB179" s="5">
        <f>IF(M179=0,0,const*($T179/omega)*O179*(wz*(G179-U179)-wx*I179)/Z179)</f>
        <v>-1.9370638641074942</v>
      </c>
      <c r="AC179" s="5">
        <f>IF(M179=0,0,const*($T179/omega)*O179*(wx*(H179-V179)-wy*(G179-U179))/Z179)</f>
        <v>16.671549674181218</v>
      </c>
      <c r="AD179" s="5">
        <f t="shared" si="81"/>
        <v>0</v>
      </c>
      <c r="AE179" s="5">
        <f t="shared" si="81"/>
        <v>-28.816135705365156</v>
      </c>
      <c r="AF179" s="5">
        <f t="shared" si="69"/>
        <v>-18.625524052137305</v>
      </c>
      <c r="AG179">
        <f t="shared" si="80"/>
        <v>0</v>
      </c>
    </row>
    <row r="180" spans="1:33" x14ac:dyDescent="0.2">
      <c r="A180">
        <f t="shared" si="70"/>
        <v>1.4800000000000011</v>
      </c>
      <c r="B180" s="5">
        <f t="shared" si="71"/>
        <v>0</v>
      </c>
      <c r="C180" s="5">
        <f t="shared" si="72"/>
        <v>294.09973401474241</v>
      </c>
      <c r="D180" s="5">
        <f t="shared" si="73"/>
        <v>48.720353030204151</v>
      </c>
      <c r="E180" s="2">
        <f t="shared" si="55"/>
        <v>98.033244671580803</v>
      </c>
      <c r="F180" s="2">
        <f t="shared" si="74"/>
        <v>0</v>
      </c>
      <c r="G180" s="3">
        <f t="shared" si="75"/>
        <v>0</v>
      </c>
      <c r="H180" s="3">
        <f t="shared" si="76"/>
        <v>172.72293340680821</v>
      </c>
      <c r="I180" s="3">
        <f t="shared" si="77"/>
        <v>19.915867615865903</v>
      </c>
      <c r="J180" s="2">
        <f t="shared" si="56"/>
        <v>173.86734456920138</v>
      </c>
      <c r="K180" s="2">
        <f t="shared" si="78"/>
        <v>118.51898061976917</v>
      </c>
      <c r="L180" s="5">
        <f t="shared" si="57"/>
        <v>20.126949772562014</v>
      </c>
      <c r="M180" s="3">
        <f t="shared" si="58"/>
        <v>20.428701769768921</v>
      </c>
      <c r="N180" s="2">
        <v>0</v>
      </c>
      <c r="O180" s="2">
        <f t="shared" si="59"/>
        <v>173.86734456920138</v>
      </c>
      <c r="P180" s="2">
        <f t="shared" si="60"/>
        <v>118.51898061976917</v>
      </c>
      <c r="Q180" s="5">
        <f t="shared" si="61"/>
        <v>1.4653490538276748</v>
      </c>
      <c r="R180" s="5">
        <f t="shared" si="62"/>
        <v>0.15700394710668486</v>
      </c>
      <c r="S180" s="4">
        <f t="shared" si="79"/>
        <v>0.11749590942672988</v>
      </c>
      <c r="T180" s="5">
        <f t="shared" si="63"/>
        <v>9.7413826450597971E-2</v>
      </c>
      <c r="U180" s="4">
        <f t="shared" si="64"/>
        <v>0</v>
      </c>
      <c r="V180" s="4">
        <f t="shared" si="65"/>
        <v>0</v>
      </c>
      <c r="W180" s="5">
        <f t="shared" si="66"/>
        <v>0</v>
      </c>
      <c r="X180" s="5">
        <f t="shared" si="67"/>
        <v>-26.7927588780646</v>
      </c>
      <c r="Y180" s="5">
        <f t="shared" si="68"/>
        <v>-3.0893467842083182</v>
      </c>
      <c r="Z180" s="5">
        <f>1</f>
        <v>1</v>
      </c>
      <c r="AA180" s="5">
        <f>IF(M180=0,0,const*($T180/omega)*O180*(wy*I180-wz*(H180-V180))/Z180)</f>
        <v>0</v>
      </c>
      <c r="AB180" s="5">
        <f>IF(M180=0,0,const*($T180/omega)*O180*(wz*(G180-U180)-wx*I180)/Z180)</f>
        <v>-1.9167995265627853</v>
      </c>
      <c r="AC180" s="5">
        <f>IF(M180=0,0,const*($T180/omega)*O180*(wx*(H180-V180)-wy*(G180-U180))/Z180)</f>
        <v>16.623691388516541</v>
      </c>
      <c r="AD180" s="5">
        <f t="shared" si="81"/>
        <v>0</v>
      </c>
      <c r="AE180" s="5">
        <f t="shared" si="81"/>
        <v>-28.709558404627384</v>
      </c>
      <c r="AF180" s="5">
        <f t="shared" si="69"/>
        <v>-18.639655395691776</v>
      </c>
      <c r="AG180">
        <f t="shared" si="80"/>
        <v>0</v>
      </c>
    </row>
    <row r="181" spans="1:33" x14ac:dyDescent="0.2">
      <c r="A181">
        <f t="shared" si="70"/>
        <v>1.4900000000000011</v>
      </c>
      <c r="B181" s="5">
        <f t="shared" si="71"/>
        <v>0</v>
      </c>
      <c r="C181" s="5">
        <f t="shared" si="72"/>
        <v>295.82552787089026</v>
      </c>
      <c r="D181" s="5">
        <f t="shared" si="73"/>
        <v>48.918579723593027</v>
      </c>
      <c r="E181" s="2">
        <f t="shared" si="55"/>
        <v>98.608509290296752</v>
      </c>
      <c r="F181" s="2">
        <f t="shared" si="74"/>
        <v>0</v>
      </c>
      <c r="G181" s="3">
        <f t="shared" si="75"/>
        <v>0</v>
      </c>
      <c r="H181" s="3">
        <f t="shared" si="76"/>
        <v>172.43583782276193</v>
      </c>
      <c r="I181" s="3">
        <f t="shared" si="77"/>
        <v>19.729471061908985</v>
      </c>
      <c r="J181" s="2">
        <f t="shared" si="56"/>
        <v>173.56085444022381</v>
      </c>
      <c r="K181" s="2">
        <f t="shared" si="78"/>
        <v>118.3100575597981</v>
      </c>
      <c r="L181" s="5">
        <f t="shared" si="57"/>
        <v>20.162491839070118</v>
      </c>
      <c r="M181" s="3">
        <f t="shared" si="58"/>
        <v>20.421219138769004</v>
      </c>
      <c r="N181" s="2">
        <v>0</v>
      </c>
      <c r="O181" s="2">
        <f t="shared" si="59"/>
        <v>173.56085444022381</v>
      </c>
      <c r="P181" s="2">
        <f t="shared" si="60"/>
        <v>118.3100575597981</v>
      </c>
      <c r="Q181" s="5">
        <f t="shared" si="61"/>
        <v>1.4627659637044683</v>
      </c>
      <c r="R181" s="5">
        <f t="shared" si="62"/>
        <v>0.15703825530933763</v>
      </c>
      <c r="S181" s="4">
        <f t="shared" si="79"/>
        <v>0.11766028235244883</v>
      </c>
      <c r="T181" s="5">
        <f t="shared" si="63"/>
        <v>9.7468315089685634E-2</v>
      </c>
      <c r="U181" s="4">
        <f t="shared" si="64"/>
        <v>0</v>
      </c>
      <c r="V181" s="4">
        <f t="shared" si="65"/>
        <v>0</v>
      </c>
      <c r="W181" s="5">
        <f t="shared" si="66"/>
        <v>0</v>
      </c>
      <c r="X181" s="5">
        <f t="shared" si="67"/>
        <v>-26.70690804199948</v>
      </c>
      <c r="Y181" s="5">
        <f t="shared" si="68"/>
        <v>-3.0557056817230794</v>
      </c>
      <c r="Z181" s="5">
        <f>1</f>
        <v>1</v>
      </c>
      <c r="AA181" s="5">
        <f>IF(M181=0,0,const*($T181/omega)*O181*(wy*I181-wz*(H181-V181))/Z181)</f>
        <v>0</v>
      </c>
      <c r="AB181" s="5">
        <f>IF(M181=0,0,const*($T181/omega)*O181*(wz*(G181-U181)-wx*I181)/Z181)</f>
        <v>-1.8965728040014609</v>
      </c>
      <c r="AC181" s="5">
        <f>IF(M181=0,0,const*($T181/omega)*O181*(wx*(H181-V181)-wy*(G181-U181))/Z181)</f>
        <v>16.576071371789389</v>
      </c>
      <c r="AD181" s="5">
        <f t="shared" si="81"/>
        <v>0</v>
      </c>
      <c r="AE181" s="5">
        <f t="shared" si="81"/>
        <v>-28.603480846000942</v>
      </c>
      <c r="AF181" s="5">
        <f t="shared" si="69"/>
        <v>-18.65363430993369</v>
      </c>
      <c r="AG181">
        <f t="shared" si="80"/>
        <v>0</v>
      </c>
    </row>
    <row r="182" spans="1:33" x14ac:dyDescent="0.2">
      <c r="A182">
        <f t="shared" si="70"/>
        <v>1.5000000000000011</v>
      </c>
      <c r="B182" s="5">
        <f t="shared" si="71"/>
        <v>0</v>
      </c>
      <c r="C182" s="5">
        <f t="shared" si="72"/>
        <v>297.54845607507559</v>
      </c>
      <c r="D182" s="5">
        <f t="shared" si="73"/>
        <v>49.11494175249662</v>
      </c>
      <c r="E182" s="2">
        <f t="shared" si="55"/>
        <v>99.182818691691864</v>
      </c>
      <c r="F182" s="2">
        <f t="shared" si="74"/>
        <v>0</v>
      </c>
      <c r="G182" s="3">
        <f t="shared" si="75"/>
        <v>0</v>
      </c>
      <c r="H182" s="3">
        <f t="shared" si="76"/>
        <v>172.14980301430191</v>
      </c>
      <c r="I182" s="3">
        <f t="shared" si="77"/>
        <v>19.542934718809647</v>
      </c>
      <c r="J182" s="2">
        <f t="shared" si="56"/>
        <v>173.25553663674535</v>
      </c>
      <c r="K182" s="2">
        <f t="shared" si="78"/>
        <v>118.10193363104658</v>
      </c>
      <c r="L182" s="5">
        <f t="shared" si="57"/>
        <v>20.198022984801202</v>
      </c>
      <c r="M182" s="3">
        <f t="shared" si="58"/>
        <v>20.413764748433458</v>
      </c>
      <c r="N182" s="2">
        <v>0</v>
      </c>
      <c r="O182" s="2">
        <f t="shared" si="59"/>
        <v>173.25553663674535</v>
      </c>
      <c r="P182" s="2">
        <f t="shared" si="60"/>
        <v>118.10193363104658</v>
      </c>
      <c r="Q182" s="5">
        <f t="shared" si="61"/>
        <v>1.4601927539073529</v>
      </c>
      <c r="R182" s="5">
        <f t="shared" si="62"/>
        <v>0.15707255251204366</v>
      </c>
      <c r="S182" s="4">
        <f t="shared" si="79"/>
        <v>0.11782460257667721</v>
      </c>
      <c r="T182" s="5">
        <f t="shared" si="63"/>
        <v>9.7522740626808116E-2</v>
      </c>
      <c r="U182" s="4">
        <f t="shared" si="64"/>
        <v>0</v>
      </c>
      <c r="V182" s="4">
        <f t="shared" si="65"/>
        <v>0</v>
      </c>
      <c r="W182" s="5">
        <f t="shared" si="66"/>
        <v>0</v>
      </c>
      <c r="X182" s="5">
        <f t="shared" si="67"/>
        <v>-26.621516520735195</v>
      </c>
      <c r="Y182" s="5">
        <f t="shared" si="68"/>
        <v>-3.0221501876317447</v>
      </c>
      <c r="Z182" s="5">
        <f>1</f>
        <v>1</v>
      </c>
      <c r="AA182" s="5">
        <f>IF(M182=0,0,const*($T182/omega)*O182*(wy*I182-wz*(H182-V182))/Z182)</f>
        <v>0</v>
      </c>
      <c r="AB182" s="5">
        <f>IF(M182=0,0,const*($T182/omega)*O182*(wz*(G182-U182)-wx*I182)/Z182)</f>
        <v>-1.8763836467295683</v>
      </c>
      <c r="AC182" s="5">
        <f>IF(M182=0,0,const*($T182/omega)*O182*(wx*(H182-V182)-wy*(G182-U182))/Z182)</f>
        <v>16.52868823497905</v>
      </c>
      <c r="AD182" s="5">
        <f t="shared" si="81"/>
        <v>0</v>
      </c>
      <c r="AE182" s="5">
        <f t="shared" si="81"/>
        <v>-28.497900167464763</v>
      </c>
      <c r="AF182" s="5">
        <f t="shared" si="69"/>
        <v>-18.667461952652694</v>
      </c>
      <c r="AG182">
        <f t="shared" si="80"/>
        <v>0</v>
      </c>
    </row>
    <row r="183" spans="1:33" x14ac:dyDescent="0.2">
      <c r="A183">
        <f t="shared" si="70"/>
        <v>1.5100000000000011</v>
      </c>
      <c r="B183" s="5">
        <f t="shared" si="71"/>
        <v>0</v>
      </c>
      <c r="C183" s="5">
        <f t="shared" si="72"/>
        <v>299.26852921021026</v>
      </c>
      <c r="D183" s="5">
        <f t="shared" si="73"/>
        <v>49.309437726587085</v>
      </c>
      <c r="E183" s="2">
        <f t="shared" si="55"/>
        <v>99.756176403403416</v>
      </c>
      <c r="F183" s="2">
        <f t="shared" si="74"/>
        <v>0</v>
      </c>
      <c r="G183" s="3">
        <f t="shared" si="75"/>
        <v>0</v>
      </c>
      <c r="H183" s="3">
        <f t="shared" si="76"/>
        <v>171.86482401262725</v>
      </c>
      <c r="I183" s="3">
        <f t="shared" si="77"/>
        <v>19.356260099283119</v>
      </c>
      <c r="J183" s="2">
        <f t="shared" si="56"/>
        <v>172.95138778836798</v>
      </c>
      <c r="K183" s="2">
        <f t="shared" si="78"/>
        <v>117.89460653603815</v>
      </c>
      <c r="L183" s="5">
        <f t="shared" si="57"/>
        <v>20.233542823692829</v>
      </c>
      <c r="M183" s="3">
        <f t="shared" si="58"/>
        <v>20.406338394423862</v>
      </c>
      <c r="N183" s="2">
        <v>0</v>
      </c>
      <c r="O183" s="2">
        <f t="shared" si="59"/>
        <v>172.95138778836798</v>
      </c>
      <c r="P183" s="2">
        <f t="shared" si="60"/>
        <v>117.89460653603815</v>
      </c>
      <c r="Q183" s="5">
        <f t="shared" si="61"/>
        <v>1.4576293960307096</v>
      </c>
      <c r="R183" s="5">
        <f t="shared" si="62"/>
        <v>0.15710683819242793</v>
      </c>
      <c r="S183" s="4">
        <f t="shared" si="79"/>
        <v>0.11798886759668031</v>
      </c>
      <c r="T183" s="5">
        <f t="shared" si="63"/>
        <v>9.7577102379671085E-2</v>
      </c>
      <c r="U183" s="4">
        <f t="shared" si="64"/>
        <v>0</v>
      </c>
      <c r="V183" s="4">
        <f t="shared" si="65"/>
        <v>0</v>
      </c>
      <c r="W183" s="5">
        <f t="shared" si="66"/>
        <v>0</v>
      </c>
      <c r="X183" s="5">
        <f t="shared" si="67"/>
        <v>-26.536581523698768</v>
      </c>
      <c r="Y183" s="5">
        <f t="shared" si="68"/>
        <v>-2.9886800691734643</v>
      </c>
      <c r="Z183" s="5">
        <f>1</f>
        <v>1</v>
      </c>
      <c r="AA183" s="5">
        <f>IF(M183=0,0,const*($T183/omega)*O183*(wy*I183-wz*(H183-V183))/Z183)</f>
        <v>0</v>
      </c>
      <c r="AB183" s="5">
        <f>IF(M183=0,0,const*($T183/omega)*O183*(wz*(G183-U183)-wx*I183)/Z183)</f>
        <v>-1.856232003934996</v>
      </c>
      <c r="AC183" s="5">
        <f>IF(M183=0,0,const*($T183/omega)*O183*(wx*(H183-V183)-wy*(G183-U183))/Z183)</f>
        <v>16.481540599607349</v>
      </c>
      <c r="AD183" s="5">
        <f t="shared" si="81"/>
        <v>0</v>
      </c>
      <c r="AE183" s="5">
        <f t="shared" si="81"/>
        <v>-28.392813527633763</v>
      </c>
      <c r="AF183" s="5">
        <f t="shared" si="69"/>
        <v>-18.681139469566112</v>
      </c>
      <c r="AG183">
        <f t="shared" si="80"/>
        <v>0</v>
      </c>
    </row>
    <row r="184" spans="1:33" x14ac:dyDescent="0.2">
      <c r="A184">
        <f t="shared" si="70"/>
        <v>1.5200000000000011</v>
      </c>
      <c r="B184" s="5">
        <f t="shared" si="71"/>
        <v>0</v>
      </c>
      <c r="C184" s="5">
        <f t="shared" si="72"/>
        <v>300.98575780966019</v>
      </c>
      <c r="D184" s="5">
        <f t="shared" si="73"/>
        <v>49.502066270606441</v>
      </c>
      <c r="E184" s="2">
        <f t="shared" si="55"/>
        <v>100.3285859365534</v>
      </c>
      <c r="F184" s="2">
        <f t="shared" si="74"/>
        <v>0</v>
      </c>
      <c r="G184" s="3">
        <f t="shared" si="75"/>
        <v>0</v>
      </c>
      <c r="H184" s="3">
        <f t="shared" si="76"/>
        <v>171.58089587735091</v>
      </c>
      <c r="I184" s="3">
        <f t="shared" si="77"/>
        <v>19.16944870458746</v>
      </c>
      <c r="J184" s="2">
        <f t="shared" si="56"/>
        <v>172.64840455014968</v>
      </c>
      <c r="K184" s="2">
        <f t="shared" si="78"/>
        <v>117.68807399464872</v>
      </c>
      <c r="L184" s="5">
        <f t="shared" si="57"/>
        <v>20.269050967201739</v>
      </c>
      <c r="M184" s="3">
        <f t="shared" si="58"/>
        <v>20.398939873332736</v>
      </c>
      <c r="N184" s="2">
        <v>0</v>
      </c>
      <c r="O184" s="2">
        <f t="shared" si="59"/>
        <v>172.64840455014968</v>
      </c>
      <c r="P184" s="2">
        <f t="shared" si="60"/>
        <v>117.68807399464872</v>
      </c>
      <c r="Q184" s="5">
        <f t="shared" si="61"/>
        <v>1.4550758618834614</v>
      </c>
      <c r="R184" s="5">
        <f t="shared" si="62"/>
        <v>0.15714111182506224</v>
      </c>
      <c r="S184" s="4">
        <f t="shared" si="79"/>
        <v>0.1181530748950964</v>
      </c>
      <c r="T184" s="5">
        <f t="shared" si="63"/>
        <v>9.7631399663330343E-2</v>
      </c>
      <c r="U184" s="4">
        <f t="shared" si="64"/>
        <v>0</v>
      </c>
      <c r="V184" s="4">
        <f t="shared" si="65"/>
        <v>0</v>
      </c>
      <c r="W184" s="5">
        <f t="shared" si="66"/>
        <v>0</v>
      </c>
      <c r="X184" s="5">
        <f t="shared" si="67"/>
        <v>-26.452100281870024</v>
      </c>
      <c r="Y184" s="5">
        <f t="shared" si="68"/>
        <v>-2.9552950920851653</v>
      </c>
      <c r="Z184" s="5">
        <f>1</f>
        <v>1</v>
      </c>
      <c r="AA184" s="5">
        <f>IF(M184=0,0,const*($T184/omega)*O184*(wy*I184-wz*(H184-V184))/Z184)</f>
        <v>0</v>
      </c>
      <c r="AB184" s="5">
        <f>IF(M184=0,0,const*($T184/omega)*O184*(wz*(G184-U184)-wx*I184)/Z184)</f>
        <v>-1.836117823702633</v>
      </c>
      <c r="AC184" s="5">
        <f>IF(M184=0,0,const*($T184/omega)*O184*(wx*(H184-V184)-wy*(G184-U184))/Z184)</f>
        <v>16.434627097641908</v>
      </c>
      <c r="AD184" s="5">
        <f t="shared" si="81"/>
        <v>0</v>
      </c>
      <c r="AE184" s="5">
        <f t="shared" si="81"/>
        <v>-28.288218105572657</v>
      </c>
      <c r="AF184" s="5">
        <f t="shared" si="69"/>
        <v>-18.694667994443257</v>
      </c>
      <c r="AG184">
        <f t="shared" si="80"/>
        <v>0</v>
      </c>
    </row>
    <row r="185" spans="1:33" x14ac:dyDescent="0.2">
      <c r="A185">
        <f t="shared" si="70"/>
        <v>1.5300000000000011</v>
      </c>
      <c r="B185" s="5">
        <f t="shared" si="71"/>
        <v>0</v>
      </c>
      <c r="C185" s="5">
        <f t="shared" si="72"/>
        <v>302.7001523575284</v>
      </c>
      <c r="D185" s="5">
        <f t="shared" si="73"/>
        <v>49.692826024252589</v>
      </c>
      <c r="E185" s="2">
        <f t="shared" si="55"/>
        <v>100.90005078584279</v>
      </c>
      <c r="F185" s="2">
        <f t="shared" si="74"/>
        <v>0</v>
      </c>
      <c r="G185" s="3">
        <f t="shared" si="75"/>
        <v>0</v>
      </c>
      <c r="H185" s="3">
        <f t="shared" si="76"/>
        <v>171.29801369629519</v>
      </c>
      <c r="I185" s="3">
        <f t="shared" si="77"/>
        <v>18.982502024643026</v>
      </c>
      <c r="J185" s="2">
        <f t="shared" si="56"/>
        <v>172.3465836023787</v>
      </c>
      <c r="K185" s="2">
        <f t="shared" si="78"/>
        <v>117.48233374395275</v>
      </c>
      <c r="L185" s="5">
        <f t="shared" si="57"/>
        <v>20.304547024306377</v>
      </c>
      <c r="M185" s="3">
        <f t="shared" si="58"/>
        <v>20.391568982674546</v>
      </c>
      <c r="N185" s="2">
        <v>0</v>
      </c>
      <c r="O185" s="2">
        <f t="shared" si="59"/>
        <v>172.3465836023787</v>
      </c>
      <c r="P185" s="2">
        <f t="shared" si="60"/>
        <v>117.48233374395275</v>
      </c>
      <c r="Q185" s="5">
        <f t="shared" si="61"/>
        <v>1.452532123487172</v>
      </c>
      <c r="R185" s="5">
        <f t="shared" si="62"/>
        <v>0.15717537288146799</v>
      </c>
      <c r="S185" s="4">
        <f t="shared" si="79"/>
        <v>0.11831722193994859</v>
      </c>
      <c r="T185" s="5">
        <f t="shared" si="63"/>
        <v>9.7685631790201385E-2</v>
      </c>
      <c r="U185" s="4">
        <f t="shared" si="64"/>
        <v>0</v>
      </c>
      <c r="V185" s="4">
        <f t="shared" si="65"/>
        <v>0</v>
      </c>
      <c r="W185" s="5">
        <f t="shared" si="66"/>
        <v>0</v>
      </c>
      <c r="X185" s="5">
        <f t="shared" si="67"/>
        <v>-26.368070047582393</v>
      </c>
      <c r="Y185" s="5">
        <f t="shared" si="68"/>
        <v>-2.9219950206287031</v>
      </c>
      <c r="Z185" s="5">
        <f>1</f>
        <v>1</v>
      </c>
      <c r="AA185" s="5">
        <f>IF(M185=0,0,const*($T185/omega)*O185*(wy*I185-wz*(H185-V185))/Z185)</f>
        <v>0</v>
      </c>
      <c r="AB185" s="5">
        <f>IF(M185=0,0,const*($T185/omega)*O185*(wz*(G185-U185)-wx*I185)/Z185)</f>
        <v>-1.8160410530293214</v>
      </c>
      <c r="AC185" s="5">
        <f>IF(M185=0,0,const*($T185/omega)*O185*(wx*(H185-V185)-wy*(G185-U185))/Z185)</f>
        <v>16.387946371400488</v>
      </c>
      <c r="AD185" s="5">
        <f t="shared" si="81"/>
        <v>0</v>
      </c>
      <c r="AE185" s="5">
        <f t="shared" si="81"/>
        <v>-28.184111100611712</v>
      </c>
      <c r="AF185" s="5">
        <f t="shared" si="69"/>
        <v>-18.708048649228214</v>
      </c>
      <c r="AG185">
        <f t="shared" si="80"/>
        <v>0</v>
      </c>
    </row>
    <row r="186" spans="1:33" x14ac:dyDescent="0.2">
      <c r="A186">
        <f t="shared" si="70"/>
        <v>1.5400000000000011</v>
      </c>
      <c r="B186" s="5">
        <f t="shared" si="71"/>
        <v>0</v>
      </c>
      <c r="C186" s="5">
        <f t="shared" si="72"/>
        <v>304.41172328893629</v>
      </c>
      <c r="D186" s="5">
        <f t="shared" si="73"/>
        <v>49.88171564206656</v>
      </c>
      <c r="E186" s="2">
        <f t="shared" si="55"/>
        <v>101.47057442964542</v>
      </c>
      <c r="F186" s="2">
        <f t="shared" si="74"/>
        <v>0</v>
      </c>
      <c r="G186" s="3">
        <f t="shared" si="75"/>
        <v>0</v>
      </c>
      <c r="H186" s="3">
        <f t="shared" si="76"/>
        <v>171.01617258528907</v>
      </c>
      <c r="I186" s="3">
        <f t="shared" si="77"/>
        <v>18.795421538150745</v>
      </c>
      <c r="J186" s="2">
        <f t="shared" si="56"/>
        <v>172.04592165034938</v>
      </c>
      <c r="K186" s="2">
        <f t="shared" si="78"/>
        <v>117.27738353807047</v>
      </c>
      <c r="L186" s="5">
        <f t="shared" si="57"/>
        <v>20.340030601509714</v>
      </c>
      <c r="M186" s="3">
        <f t="shared" si="58"/>
        <v>20.384225520876804</v>
      </c>
      <c r="N186" s="2">
        <v>0</v>
      </c>
      <c r="O186" s="2">
        <f t="shared" si="59"/>
        <v>172.04592165034938</v>
      </c>
      <c r="P186" s="2">
        <f t="shared" si="60"/>
        <v>117.27738353807047</v>
      </c>
      <c r="Q186" s="5">
        <f t="shared" si="61"/>
        <v>1.449998153074155</v>
      </c>
      <c r="R186" s="5">
        <f t="shared" si="62"/>
        <v>0.15720962083011894</v>
      </c>
      <c r="S186" s="4">
        <f t="shared" si="79"/>
        <v>0.11848130618465845</v>
      </c>
      <c r="T186" s="5">
        <f t="shared" si="63"/>
        <v>9.77397980700693E-2</v>
      </c>
      <c r="U186" s="4">
        <f t="shared" si="64"/>
        <v>0</v>
      </c>
      <c r="V186" s="4">
        <f t="shared" si="65"/>
        <v>0</v>
      </c>
      <c r="W186" s="5">
        <f t="shared" si="66"/>
        <v>0</v>
      </c>
      <c r="X186" s="5">
        <f t="shared" si="67"/>
        <v>-26.284488094325834</v>
      </c>
      <c r="Y186" s="5">
        <f t="shared" si="68"/>
        <v>-2.8887796176176104</v>
      </c>
      <c r="Z186" s="5">
        <f>1</f>
        <v>1</v>
      </c>
      <c r="AA186" s="5">
        <f>IF(M186=0,0,const*($T186/omega)*O186*(wy*I186-wz*(H186-V186))/Z186)</f>
        <v>0</v>
      </c>
      <c r="AB186" s="5">
        <f>IF(M186=0,0,const*($T186/omega)*O186*(wz*(G186-U186)-wx*I186)/Z186)</f>
        <v>-1.7960016378385892</v>
      </c>
      <c r="AC186" s="5">
        <f>IF(M186=0,0,const*($T186/omega)*O186*(wx*(H186-V186)-wy*(G186-U186))/Z186)</f>
        <v>16.3414970734562</v>
      </c>
      <c r="AD186" s="5">
        <f t="shared" si="81"/>
        <v>0</v>
      </c>
      <c r="AE186" s="5">
        <f t="shared" si="81"/>
        <v>-28.080489732164423</v>
      </c>
      <c r="AF186" s="5">
        <f t="shared" si="69"/>
        <v>-18.721282544161411</v>
      </c>
      <c r="AG186">
        <f t="shared" si="80"/>
        <v>0</v>
      </c>
    </row>
    <row r="187" spans="1:33" x14ac:dyDescent="0.2">
      <c r="A187">
        <f t="shared" si="70"/>
        <v>1.5500000000000012</v>
      </c>
      <c r="B187" s="5">
        <f t="shared" si="71"/>
        <v>0</v>
      </c>
      <c r="C187" s="5">
        <f t="shared" si="72"/>
        <v>306.12048099030261</v>
      </c>
      <c r="D187" s="5">
        <f t="shared" si="73"/>
        <v>50.06873379332086</v>
      </c>
      <c r="E187" s="2">
        <f t="shared" si="55"/>
        <v>102.04016033010087</v>
      </c>
      <c r="F187" s="2">
        <f t="shared" si="74"/>
        <v>0</v>
      </c>
      <c r="G187" s="3">
        <f t="shared" si="75"/>
        <v>0</v>
      </c>
      <c r="H187" s="3">
        <f t="shared" si="76"/>
        <v>170.73536768796743</v>
      </c>
      <c r="I187" s="3">
        <f t="shared" si="77"/>
        <v>18.608208712709132</v>
      </c>
      <c r="J187" s="2">
        <f t="shared" si="56"/>
        <v>171.74641542413971</v>
      </c>
      <c r="K187" s="2">
        <f t="shared" si="78"/>
        <v>117.07322114801616</v>
      </c>
      <c r="L187" s="5">
        <f t="shared" si="57"/>
        <v>20.37550130284227</v>
      </c>
      <c r="M187" s="3">
        <f t="shared" si="58"/>
        <v>20.376909287271296</v>
      </c>
      <c r="N187" s="2">
        <v>0</v>
      </c>
      <c r="O187" s="2">
        <f t="shared" si="59"/>
        <v>171.74641542413971</v>
      </c>
      <c r="P187" s="2">
        <f t="shared" si="60"/>
        <v>117.07322114801616</v>
      </c>
      <c r="Q187" s="5">
        <f t="shared" si="61"/>
        <v>1.4474739230856009</v>
      </c>
      <c r="R187" s="5">
        <f t="shared" si="62"/>
        <v>0.15724385513644423</v>
      </c>
      <c r="S187" s="4">
        <f t="shared" si="79"/>
        <v>0.11864532506806097</v>
      </c>
      <c r="T187" s="5">
        <f t="shared" si="63"/>
        <v>9.7793897810098937E-2</v>
      </c>
      <c r="U187" s="4">
        <f t="shared" si="64"/>
        <v>0</v>
      </c>
      <c r="V187" s="4">
        <f t="shared" si="65"/>
        <v>0</v>
      </c>
      <c r="W187" s="5">
        <f t="shared" si="66"/>
        <v>0</v>
      </c>
      <c r="X187" s="5">
        <f t="shared" si="67"/>
        <v>-26.201351716551731</v>
      </c>
      <c r="Y187" s="5">
        <f t="shared" si="68"/>
        <v>-2.855648644443427</v>
      </c>
      <c r="Z187" s="5">
        <f>1</f>
        <v>1</v>
      </c>
      <c r="AA187" s="5">
        <f>IF(M187=0,0,const*($T187/omega)*O187*(wy*I187-wz*(H187-V187))/Z187)</f>
        <v>0</v>
      </c>
      <c r="AB187" s="5">
        <f>IF(M187=0,0,const*($T187/omega)*O187*(wz*(G187-U187)-wx*I187)/Z187)</f>
        <v>-1.7759995229951793</v>
      </c>
      <c r="AC187" s="5">
        <f>IF(M187=0,0,const*($T187/omega)*O187*(wx*(H187-V187)-wy*(G187-U187))/Z187)</f>
        <v>16.295277866543806</v>
      </c>
      <c r="AD187" s="5">
        <f t="shared" si="81"/>
        <v>0</v>
      </c>
      <c r="AE187" s="5">
        <f t="shared" si="81"/>
        <v>-27.977351239546909</v>
      </c>
      <c r="AF187" s="5">
        <f t="shared" si="69"/>
        <v>-18.73437077789962</v>
      </c>
      <c r="AG187">
        <f t="shared" si="80"/>
        <v>0</v>
      </c>
    </row>
    <row r="188" spans="1:33" x14ac:dyDescent="0.2">
      <c r="A188">
        <f t="shared" si="70"/>
        <v>1.5600000000000012</v>
      </c>
      <c r="B188" s="5">
        <f t="shared" si="71"/>
        <v>0</v>
      </c>
      <c r="C188" s="5">
        <f t="shared" si="72"/>
        <v>307.8264357996203</v>
      </c>
      <c r="D188" s="5">
        <f t="shared" si="73"/>
        <v>50.253879161909055</v>
      </c>
      <c r="E188" s="2">
        <f t="shared" si="55"/>
        <v>102.60881193320677</v>
      </c>
      <c r="F188" s="2">
        <f t="shared" si="74"/>
        <v>0</v>
      </c>
      <c r="G188" s="3">
        <f t="shared" si="75"/>
        <v>0</v>
      </c>
      <c r="H188" s="3">
        <f t="shared" si="76"/>
        <v>170.45559417557195</v>
      </c>
      <c r="I188" s="3">
        <f t="shared" si="77"/>
        <v>18.420865004930135</v>
      </c>
      <c r="J188" s="2">
        <f t="shared" si="56"/>
        <v>171.44806167839033</v>
      </c>
      <c r="K188" s="2">
        <f t="shared" si="78"/>
        <v>116.86984436154759</v>
      </c>
      <c r="L188" s="5">
        <f t="shared" si="57"/>
        <v>20.410958729865435</v>
      </c>
      <c r="M188" s="3">
        <f t="shared" si="58"/>
        <v>20.369620082085401</v>
      </c>
      <c r="N188" s="2">
        <v>0</v>
      </c>
      <c r="O188" s="2">
        <f t="shared" si="59"/>
        <v>171.44806167839033</v>
      </c>
      <c r="P188" s="2">
        <f t="shared" si="60"/>
        <v>116.86984436154759</v>
      </c>
      <c r="Q188" s="5">
        <f t="shared" si="61"/>
        <v>1.4449594061697131</v>
      </c>
      <c r="R188" s="5">
        <f t="shared" si="62"/>
        <v>0.15727807526283208</v>
      </c>
      <c r="S188" s="4">
        <f t="shared" si="79"/>
        <v>0.11880927601442129</v>
      </c>
      <c r="T188" s="5">
        <f t="shared" si="63"/>
        <v>9.7847930314845649E-2</v>
      </c>
      <c r="U188" s="4">
        <f t="shared" si="64"/>
        <v>0</v>
      </c>
      <c r="V188" s="4">
        <f t="shared" si="65"/>
        <v>0</v>
      </c>
      <c r="W188" s="5">
        <f t="shared" si="66"/>
        <v>0</v>
      </c>
      <c r="X188" s="5">
        <f t="shared" si="67"/>
        <v>-26.118658229479948</v>
      </c>
      <c r="Y188" s="5">
        <f t="shared" si="68"/>
        <v>-2.8226018611016541</v>
      </c>
      <c r="Z188" s="5">
        <f>1</f>
        <v>1</v>
      </c>
      <c r="AA188" s="5">
        <f>IF(M188=0,0,const*($T188/omega)*O188*(wy*I188-wz*(H188-V188))/Z188)</f>
        <v>0</v>
      </c>
      <c r="AB188" s="5">
        <f>IF(M188=0,0,const*($T188/omega)*O188*(wz*(G188-U188)-wx*I188)/Z188)</f>
        <v>-1.7560346523193782</v>
      </c>
      <c r="AC188" s="5">
        <f>IF(M188=0,0,const*($T188/omega)*O188*(wx*(H188-V188)-wy*(G188-U188))/Z188)</f>
        <v>16.249287423466942</v>
      </c>
      <c r="AD188" s="5">
        <f t="shared" si="81"/>
        <v>0</v>
      </c>
      <c r="AE188" s="5">
        <f t="shared" si="81"/>
        <v>-27.874692881799326</v>
      </c>
      <c r="AF188" s="5">
        <f t="shared" si="69"/>
        <v>-18.747314437634714</v>
      </c>
      <c r="AG188">
        <f t="shared" si="80"/>
        <v>0</v>
      </c>
    </row>
    <row r="189" spans="1:33" x14ac:dyDescent="0.2">
      <c r="A189">
        <f t="shared" si="70"/>
        <v>1.5700000000000012</v>
      </c>
      <c r="B189" s="5">
        <f t="shared" si="71"/>
        <v>0</v>
      </c>
      <c r="C189" s="5">
        <f t="shared" si="72"/>
        <v>309.52959800673193</v>
      </c>
      <c r="D189" s="5">
        <f t="shared" si="73"/>
        <v>50.437150446236473</v>
      </c>
      <c r="E189" s="2">
        <f t="shared" si="55"/>
        <v>103.17653266891064</v>
      </c>
      <c r="F189" s="2">
        <f t="shared" si="74"/>
        <v>0</v>
      </c>
      <c r="G189" s="3">
        <f t="shared" si="75"/>
        <v>0</v>
      </c>
      <c r="H189" s="3">
        <f t="shared" si="76"/>
        <v>170.17684724675397</v>
      </c>
      <c r="I189" s="3">
        <f t="shared" si="77"/>
        <v>18.233391860553787</v>
      </c>
      <c r="J189" s="2">
        <f t="shared" si="56"/>
        <v>171.1508571920852</v>
      </c>
      <c r="K189" s="2">
        <f t="shared" si="78"/>
        <v>116.66725098301649</v>
      </c>
      <c r="L189" s="5">
        <f t="shared" si="57"/>
        <v>20.446402481674969</v>
      </c>
      <c r="M189" s="3">
        <f t="shared" si="58"/>
        <v>20.3623577064335</v>
      </c>
      <c r="N189" s="2">
        <v>0</v>
      </c>
      <c r="O189" s="2">
        <f t="shared" si="59"/>
        <v>171.1508571920852</v>
      </c>
      <c r="P189" s="2">
        <f t="shared" si="60"/>
        <v>116.66725098301649</v>
      </c>
      <c r="Q189" s="5">
        <f t="shared" si="61"/>
        <v>1.4424545751798588</v>
      </c>
      <c r="R189" s="5">
        <f t="shared" si="62"/>
        <v>0.15731228066863329</v>
      </c>
      <c r="S189" s="4">
        <f t="shared" si="79"/>
        <v>0.11897315643345284</v>
      </c>
      <c r="T189" s="5">
        <f t="shared" si="63"/>
        <v>9.7901894886266091E-2</v>
      </c>
      <c r="U189" s="4">
        <f t="shared" si="64"/>
        <v>0</v>
      </c>
      <c r="V189" s="4">
        <f t="shared" si="65"/>
        <v>0</v>
      </c>
      <c r="W189" s="5">
        <f t="shared" si="66"/>
        <v>0</v>
      </c>
      <c r="X189" s="5">
        <f t="shared" si="67"/>
        <v>-26.036404968907775</v>
      </c>
      <c r="Y189" s="5">
        <f t="shared" si="68"/>
        <v>-2.7896390262173014</v>
      </c>
      <c r="Z189" s="5">
        <f>1</f>
        <v>1</v>
      </c>
      <c r="AA189" s="5">
        <f>IF(M189=0,0,const*($T189/omega)*O189*(wy*I189-wz*(H189-V189))/Z189)</f>
        <v>0</v>
      </c>
      <c r="AB189" s="5">
        <f>IF(M189=0,0,const*($T189/omega)*O189*(wz*(G189-U189)-wx*I189)/Z189)</f>
        <v>-1.7361069686011357</v>
      </c>
      <c r="AC189" s="5">
        <f>IF(M189=0,0,const*($T189/omega)*O189*(wx*(H189-V189)-wy*(G189-U189))/Z189)</f>
        <v>16.203524427006268</v>
      </c>
      <c r="AD189" s="5">
        <f t="shared" si="81"/>
        <v>0</v>
      </c>
      <c r="AE189" s="5">
        <f t="shared" si="81"/>
        <v>-27.772511937508909</v>
      </c>
      <c r="AF189" s="5">
        <f t="shared" si="69"/>
        <v>-18.760114599211033</v>
      </c>
      <c r="AG189">
        <f t="shared" si="80"/>
        <v>0</v>
      </c>
    </row>
    <row r="190" spans="1:33" x14ac:dyDescent="0.2">
      <c r="A190">
        <f t="shared" si="70"/>
        <v>1.5800000000000012</v>
      </c>
      <c r="B190" s="5">
        <f t="shared" si="71"/>
        <v>0</v>
      </c>
      <c r="C190" s="5">
        <f t="shared" si="72"/>
        <v>311.22997785360263</v>
      </c>
      <c r="D190" s="5">
        <f t="shared" si="73"/>
        <v>50.618546359112045</v>
      </c>
      <c r="E190" s="2">
        <f t="shared" si="55"/>
        <v>103.74332595120087</v>
      </c>
      <c r="F190" s="2">
        <f t="shared" si="74"/>
        <v>0</v>
      </c>
      <c r="G190" s="3">
        <f t="shared" si="75"/>
        <v>0</v>
      </c>
      <c r="H190" s="3">
        <f t="shared" si="76"/>
        <v>169.89912212737889</v>
      </c>
      <c r="I190" s="3">
        <f t="shared" si="77"/>
        <v>18.045790714561676</v>
      </c>
      <c r="J190" s="2">
        <f t="shared" si="56"/>
        <v>170.85479876833361</v>
      </c>
      <c r="K190" s="2">
        <f t="shared" si="78"/>
        <v>116.46543883321991</v>
      </c>
      <c r="L190" s="5">
        <f t="shared" si="57"/>
        <v>20.481832154904826</v>
      </c>
      <c r="M190" s="3">
        <f t="shared" si="58"/>
        <v>20.355121962308516</v>
      </c>
      <c r="N190" s="2">
        <v>0</v>
      </c>
      <c r="O190" s="2">
        <f t="shared" si="59"/>
        <v>170.85479876833361</v>
      </c>
      <c r="P190" s="2">
        <f t="shared" si="60"/>
        <v>116.46543883321991</v>
      </c>
      <c r="Q190" s="5">
        <f t="shared" si="61"/>
        <v>1.4399594031727347</v>
      </c>
      <c r="R190" s="5">
        <f t="shared" si="62"/>
        <v>0.15734647081016573</v>
      </c>
      <c r="S190" s="4">
        <f t="shared" si="79"/>
        <v>0.11913696372033744</v>
      </c>
      <c r="T190" s="5">
        <f t="shared" si="63"/>
        <v>9.795579082372971E-2</v>
      </c>
      <c r="U190" s="4">
        <f t="shared" si="64"/>
        <v>0</v>
      </c>
      <c r="V190" s="4">
        <f t="shared" si="65"/>
        <v>0</v>
      </c>
      <c r="W190" s="5">
        <f t="shared" si="66"/>
        <v>0</v>
      </c>
      <c r="X190" s="5">
        <f t="shared" si="67"/>
        <v>-25.95458929102092</v>
      </c>
      <c r="Y190" s="5">
        <f t="shared" si="68"/>
        <v>-2.7567598970700637</v>
      </c>
      <c r="Z190" s="5">
        <f>1</f>
        <v>1</v>
      </c>
      <c r="AA190" s="5">
        <f>IF(M190=0,0,const*($T190/omega)*O190*(wy*I190-wz*(H190-V190))/Z190)</f>
        <v>0</v>
      </c>
      <c r="AB190" s="5">
        <f>IF(M190=0,0,const*($T190/omega)*O190*(wz*(G190-U190)-wx*I190)/Z190)</f>
        <v>-1.716216413613995</v>
      </c>
      <c r="AC190" s="5">
        <f>IF(M190=0,0,const*($T190/omega)*O190*(wx*(H190-V190)-wy*(G190-U190))/Z190)</f>
        <v>16.157987569828624</v>
      </c>
      <c r="AD190" s="5">
        <f t="shared" si="81"/>
        <v>0</v>
      </c>
      <c r="AE190" s="5">
        <f t="shared" si="81"/>
        <v>-27.670805704634915</v>
      </c>
      <c r="AF190" s="5">
        <f t="shared" si="69"/>
        <v>-18.772772327241441</v>
      </c>
      <c r="AG190">
        <f t="shared" si="80"/>
        <v>0</v>
      </c>
    </row>
    <row r="191" spans="1:33" x14ac:dyDescent="0.2">
      <c r="A191">
        <f t="shared" si="70"/>
        <v>1.5900000000000012</v>
      </c>
      <c r="B191" s="5">
        <f t="shared" si="71"/>
        <v>0</v>
      </c>
      <c r="C191" s="5">
        <f t="shared" si="72"/>
        <v>312.92758553459117</v>
      </c>
      <c r="D191" s="5">
        <f t="shared" si="73"/>
        <v>50.7980656276413</v>
      </c>
      <c r="E191" s="2">
        <f t="shared" si="55"/>
        <v>104.30919517819706</v>
      </c>
      <c r="F191" s="2">
        <f t="shared" si="74"/>
        <v>0</v>
      </c>
      <c r="G191" s="3">
        <f t="shared" si="75"/>
        <v>0</v>
      </c>
      <c r="H191" s="3">
        <f t="shared" si="76"/>
        <v>169.62241407033252</v>
      </c>
      <c r="I191" s="3">
        <f t="shared" si="77"/>
        <v>17.858062991289263</v>
      </c>
      <c r="J191" s="2">
        <f t="shared" si="56"/>
        <v>170.55988323415386</v>
      </c>
      <c r="K191" s="2">
        <f t="shared" si="78"/>
        <v>116.26440574925279</v>
      </c>
      <c r="L191" s="5">
        <f t="shared" si="57"/>
        <v>20.51724734373121</v>
      </c>
      <c r="M191" s="3">
        <f t="shared" si="58"/>
        <v>20.347912652573566</v>
      </c>
      <c r="N191" s="2">
        <v>0</v>
      </c>
      <c r="O191" s="2">
        <f t="shared" si="59"/>
        <v>170.55988323415386</v>
      </c>
      <c r="P191" s="2">
        <f t="shared" si="60"/>
        <v>116.26440574925279</v>
      </c>
      <c r="Q191" s="5">
        <f t="shared" si="61"/>
        <v>1.43747386340654</v>
      </c>
      <c r="R191" s="5">
        <f t="shared" si="62"/>
        <v>0.15738064514071867</v>
      </c>
      <c r="S191" s="4">
        <f t="shared" si="79"/>
        <v>0.11930069525574691</v>
      </c>
      <c r="T191" s="5">
        <f t="shared" si="63"/>
        <v>9.8009617424030374E-2</v>
      </c>
      <c r="U191" s="4">
        <f t="shared" si="64"/>
        <v>0</v>
      </c>
      <c r="V191" s="4">
        <f t="shared" si="65"/>
        <v>0</v>
      </c>
      <c r="W191" s="5">
        <f t="shared" si="66"/>
        <v>0</v>
      </c>
      <c r="X191" s="5">
        <f t="shared" si="67"/>
        <v>-25.873208572206448</v>
      </c>
      <c r="Y191" s="5">
        <f t="shared" si="68"/>
        <v>-2.7239642296191162</v>
      </c>
      <c r="Z191" s="5">
        <f>1</f>
        <v>1</v>
      </c>
      <c r="AA191" s="5">
        <f>IF(M191=0,0,const*($T191/omega)*O191*(wy*I191-wz*(H191-V191))/Z191)</f>
        <v>0</v>
      </c>
      <c r="AB191" s="5">
        <f>IF(M191=0,0,const*($T191/omega)*O191*(wz*(G191-U191)-wx*I191)/Z191)</f>
        <v>-1.6963629281288257</v>
      </c>
      <c r="AC191" s="5">
        <f>IF(M191=0,0,const*($T191/omega)*O191*(wx*(H191-V191)-wy*(G191-U191))/Z191)</f>
        <v>16.112675554397065</v>
      </c>
      <c r="AD191" s="5">
        <f t="shared" si="81"/>
        <v>0</v>
      </c>
      <c r="AE191" s="5">
        <f t="shared" si="81"/>
        <v>-27.569571500335272</v>
      </c>
      <c r="AF191" s="5">
        <f t="shared" si="69"/>
        <v>-18.785288675222052</v>
      </c>
      <c r="AG191">
        <f t="shared" si="80"/>
        <v>0</v>
      </c>
    </row>
    <row r="192" spans="1:33" x14ac:dyDescent="0.2">
      <c r="A192">
        <f t="shared" si="70"/>
        <v>1.6000000000000012</v>
      </c>
      <c r="B192" s="5">
        <f t="shared" si="71"/>
        <v>0</v>
      </c>
      <c r="C192" s="5">
        <f t="shared" si="72"/>
        <v>314.6224311967195</v>
      </c>
      <c r="D192" s="5">
        <f t="shared" si="73"/>
        <v>50.975706993120433</v>
      </c>
      <c r="E192" s="2">
        <f t="shared" si="55"/>
        <v>104.87414373223983</v>
      </c>
      <c r="F192" s="2">
        <f t="shared" si="74"/>
        <v>0</v>
      </c>
      <c r="G192" s="3">
        <f t="shared" si="75"/>
        <v>0</v>
      </c>
      <c r="H192" s="3">
        <f t="shared" si="76"/>
        <v>169.34671835532916</v>
      </c>
      <c r="I192" s="3">
        <f t="shared" si="77"/>
        <v>17.670210104537041</v>
      </c>
      <c r="J192" s="2">
        <f t="shared" si="56"/>
        <v>170.26610744025854</v>
      </c>
      <c r="K192" s="2">
        <f t="shared" si="78"/>
        <v>116.06414958436164</v>
      </c>
      <c r="L192" s="5">
        <f t="shared" si="57"/>
        <v>20.552647639876856</v>
      </c>
      <c r="M192" s="3">
        <f t="shared" si="58"/>
        <v>20.34072958095366</v>
      </c>
      <c r="N192" s="2">
        <v>0</v>
      </c>
      <c r="O192" s="2">
        <f t="shared" si="59"/>
        <v>170.26610744025854</v>
      </c>
      <c r="P192" s="2">
        <f t="shared" si="60"/>
        <v>116.06414958436164</v>
      </c>
      <c r="Q192" s="5">
        <f t="shared" si="61"/>
        <v>1.4349979293391706</v>
      </c>
      <c r="R192" s="5">
        <f t="shared" si="62"/>
        <v>0.15741480311055761</v>
      </c>
      <c r="S192" s="4">
        <f t="shared" si="79"/>
        <v>0.11946434840586601</v>
      </c>
      <c r="T192" s="5">
        <f t="shared" si="63"/>
        <v>9.8063373981398416E-2</v>
      </c>
      <c r="U192" s="4">
        <f t="shared" si="64"/>
        <v>0</v>
      </c>
      <c r="V192" s="4">
        <f t="shared" si="65"/>
        <v>0</v>
      </c>
      <c r="W192" s="5">
        <f t="shared" si="66"/>
        <v>0</v>
      </c>
      <c r="X192" s="5">
        <f t="shared" si="67"/>
        <v>-25.792260208867681</v>
      </c>
      <c r="Y192" s="5">
        <f t="shared" si="68"/>
        <v>-2.6912517785275418</v>
      </c>
      <c r="Z192" s="5">
        <f>1</f>
        <v>1</v>
      </c>
      <c r="AA192" s="5">
        <f>IF(M192=0,0,const*($T192/omega)*O192*(wy*I192-wz*(H192-V192))/Z192)</f>
        <v>0</v>
      </c>
      <c r="AB192" s="5">
        <f>IF(M192=0,0,const*($T192/omega)*O192*(wz*(G192-U192)-wx*I192)/Z192)</f>
        <v>-1.6765464519273641</v>
      </c>
      <c r="AC192" s="5">
        <f>IF(M192=0,0,const*($T192/omega)*O192*(wx*(H192-V192)-wy*(G192-U192))/Z192)</f>
        <v>16.067587092881844</v>
      </c>
      <c r="AD192" s="5">
        <f t="shared" si="81"/>
        <v>0</v>
      </c>
      <c r="AE192" s="5">
        <f t="shared" si="81"/>
        <v>-27.468806660795046</v>
      </c>
      <c r="AF192" s="5">
        <f t="shared" si="69"/>
        <v>-18.797664685645699</v>
      </c>
      <c r="AG192">
        <f t="shared" si="80"/>
        <v>0</v>
      </c>
    </row>
    <row r="193" spans="1:33" x14ac:dyDescent="0.2">
      <c r="A193">
        <f t="shared" si="70"/>
        <v>1.6100000000000012</v>
      </c>
      <c r="B193" s="5">
        <f t="shared" si="71"/>
        <v>0</v>
      </c>
      <c r="C193" s="5">
        <f t="shared" si="72"/>
        <v>316.31452493993976</v>
      </c>
      <c r="D193" s="5">
        <f t="shared" si="73"/>
        <v>51.151469210931523</v>
      </c>
      <c r="E193" s="2">
        <f t="shared" si="55"/>
        <v>105.43817497997992</v>
      </c>
      <c r="F193" s="2">
        <f t="shared" si="74"/>
        <v>0</v>
      </c>
      <c r="G193" s="3">
        <f t="shared" si="75"/>
        <v>0</v>
      </c>
      <c r="H193" s="3">
        <f t="shared" si="76"/>
        <v>169.07203028872121</v>
      </c>
      <c r="I193" s="3">
        <f t="shared" si="77"/>
        <v>17.482233457680586</v>
      </c>
      <c r="J193" s="2">
        <f t="shared" si="56"/>
        <v>169.97346826084097</v>
      </c>
      <c r="K193" s="2">
        <f t="shared" si="78"/>
        <v>115.86466820779889</v>
      </c>
      <c r="L193" s="5">
        <f t="shared" si="57"/>
        <v>20.588032632615615</v>
      </c>
      <c r="M193" s="3">
        <f t="shared" si="58"/>
        <v>20.333572552027572</v>
      </c>
      <c r="N193" s="2">
        <v>0</v>
      </c>
      <c r="O193" s="2">
        <f t="shared" si="59"/>
        <v>169.97346826084097</v>
      </c>
      <c r="P193" s="2">
        <f t="shared" si="60"/>
        <v>115.86466820779889</v>
      </c>
      <c r="Q193" s="5">
        <f t="shared" si="61"/>
        <v>1.4325315746264156</v>
      </c>
      <c r="R193" s="5">
        <f t="shared" si="62"/>
        <v>0.15744894416692956</v>
      </c>
      <c r="S193" s="4">
        <f t="shared" si="79"/>
        <v>0.11962792052241771</v>
      </c>
      <c r="T193" s="5">
        <f t="shared" si="63"/>
        <v>9.8117059787513158E-2</v>
      </c>
      <c r="U193" s="4">
        <f t="shared" si="64"/>
        <v>0</v>
      </c>
      <c r="V193" s="4">
        <f t="shared" si="65"/>
        <v>0</v>
      </c>
      <c r="W193" s="5">
        <f t="shared" si="66"/>
        <v>0</v>
      </c>
      <c r="X193" s="5">
        <f t="shared" si="67"/>
        <v>-25.711741617240971</v>
      </c>
      <c r="Y193" s="5">
        <f t="shared" si="68"/>
        <v>-2.6586222971863993</v>
      </c>
      <c r="Z193" s="5">
        <f>1</f>
        <v>1</v>
      </c>
      <c r="AA193" s="5">
        <f>IF(M193=0,0,const*($T193/omega)*O193*(wy*I193-wz*(H193-V193))/Z193)</f>
        <v>0</v>
      </c>
      <c r="AB193" s="5">
        <f>IF(M193=0,0,const*($T193/omega)*O193*(wz*(G193-U193)-wx*I193)/Z193)</f>
        <v>-1.6567669238155713</v>
      </c>
      <c r="AC193" s="5">
        <f>IF(M193=0,0,const*($T193/omega)*O193*(wx*(H193-V193)-wy*(G193-U193))/Z193)</f>
        <v>16.022720907072308</v>
      </c>
      <c r="AD193" s="5">
        <f t="shared" si="81"/>
        <v>0</v>
      </c>
      <c r="AE193" s="5">
        <f t="shared" si="81"/>
        <v>-27.368508541056542</v>
      </c>
      <c r="AF193" s="5">
        <f t="shared" si="69"/>
        <v>-18.809901390114092</v>
      </c>
      <c r="AG193">
        <f t="shared" si="80"/>
        <v>0</v>
      </c>
    </row>
    <row r="194" spans="1:33" x14ac:dyDescent="0.2">
      <c r="A194">
        <f t="shared" si="70"/>
        <v>1.6200000000000012</v>
      </c>
      <c r="B194" s="5">
        <f t="shared" si="71"/>
        <v>0</v>
      </c>
      <c r="C194" s="5">
        <f t="shared" si="72"/>
        <v>318.00387681739988</v>
      </c>
      <c r="D194" s="5">
        <f t="shared" si="73"/>
        <v>51.325351050438819</v>
      </c>
      <c r="E194" s="2">
        <f t="shared" si="55"/>
        <v>106.00129227246663</v>
      </c>
      <c r="F194" s="2">
        <f t="shared" si="74"/>
        <v>0</v>
      </c>
      <c r="G194" s="3">
        <f t="shared" si="75"/>
        <v>0</v>
      </c>
      <c r="H194" s="3">
        <f t="shared" si="76"/>
        <v>168.79834520331065</v>
      </c>
      <c r="I194" s="3">
        <f t="shared" si="77"/>
        <v>17.294134443779445</v>
      </c>
      <c r="J194" s="2">
        <f t="shared" si="56"/>
        <v>169.68196259336329</v>
      </c>
      <c r="K194" s="2">
        <f t="shared" si="78"/>
        <v>115.66595950467845</v>
      </c>
      <c r="L194" s="5">
        <f t="shared" si="57"/>
        <v>20.623401908777311</v>
      </c>
      <c r="M194" s="3">
        <f t="shared" si="58"/>
        <v>20.326441371219744</v>
      </c>
      <c r="N194" s="2">
        <v>0</v>
      </c>
      <c r="O194" s="2">
        <f t="shared" si="59"/>
        <v>169.68196259336329</v>
      </c>
      <c r="P194" s="2">
        <f t="shared" si="60"/>
        <v>115.66595950467845</v>
      </c>
      <c r="Q194" s="5">
        <f t="shared" si="61"/>
        <v>1.4300747731201742</v>
      </c>
      <c r="R194" s="5">
        <f t="shared" si="62"/>
        <v>0.15748306775406856</v>
      </c>
      <c r="S194" s="4">
        <f t="shared" si="79"/>
        <v>0.11979140894268961</v>
      </c>
      <c r="T194" s="5">
        <f t="shared" si="63"/>
        <v>9.8170674131515673E-2</v>
      </c>
      <c r="U194" s="4">
        <f t="shared" si="64"/>
        <v>0</v>
      </c>
      <c r="V194" s="4">
        <f t="shared" si="65"/>
        <v>0</v>
      </c>
      <c r="W194" s="5">
        <f t="shared" si="66"/>
        <v>0</v>
      </c>
      <c r="X194" s="5">
        <f t="shared" si="67"/>
        <v>-25.631650233214398</v>
      </c>
      <c r="Y194" s="5">
        <f t="shared" si="68"/>
        <v>-2.6260755377384264</v>
      </c>
      <c r="Z194" s="5">
        <f>1</f>
        <v>1</v>
      </c>
      <c r="AA194" s="5">
        <f>IF(M194=0,0,const*($T194/omega)*O194*(wy*I194-wz*(H194-V194))/Z194)</f>
        <v>0</v>
      </c>
      <c r="AB194" s="5">
        <f>IF(M194=0,0,const*($T194/omega)*O194*(wz*(G194-U194)-wx*I194)/Z194)</f>
        <v>-1.6370242816368019</v>
      </c>
      <c r="AC194" s="5">
        <f>IF(M194=0,0,const*($T194/omega)*O194*(wx*(H194-V194)-wy*(G194-U194))/Z194)</f>
        <v>15.978075728289658</v>
      </c>
      <c r="AD194" s="5">
        <f t="shared" si="81"/>
        <v>0</v>
      </c>
      <c r="AE194" s="5">
        <f t="shared" si="81"/>
        <v>-27.268674514851199</v>
      </c>
      <c r="AF194" s="5">
        <f t="shared" si="69"/>
        <v>-18.821999809448769</v>
      </c>
      <c r="AG194">
        <f t="shared" si="80"/>
        <v>0</v>
      </c>
    </row>
    <row r="195" spans="1:33" x14ac:dyDescent="0.2">
      <c r="A195">
        <f t="shared" si="70"/>
        <v>1.6300000000000012</v>
      </c>
      <c r="B195" s="5">
        <f t="shared" si="71"/>
        <v>0</v>
      </c>
      <c r="C195" s="5">
        <f t="shared" si="72"/>
        <v>319.69049683570728</v>
      </c>
      <c r="D195" s="5">
        <f t="shared" si="73"/>
        <v>51.497351294886144</v>
      </c>
      <c r="E195" s="2">
        <f t="shared" si="55"/>
        <v>106.56349894523576</v>
      </c>
      <c r="F195" s="2">
        <f t="shared" si="74"/>
        <v>0</v>
      </c>
      <c r="G195" s="3">
        <f t="shared" si="75"/>
        <v>0</v>
      </c>
      <c r="H195" s="3">
        <f t="shared" si="76"/>
        <v>168.52565845816213</v>
      </c>
      <c r="I195" s="3">
        <f t="shared" si="77"/>
        <v>17.105914445684956</v>
      </c>
      <c r="J195" s="2">
        <f t="shared" si="56"/>
        <v>169.39158735834613</v>
      </c>
      <c r="K195" s="2">
        <f t="shared" si="78"/>
        <v>115.46802137583239</v>
      </c>
      <c r="L195" s="5">
        <f t="shared" si="57"/>
        <v>20.658755052752788</v>
      </c>
      <c r="M195" s="3">
        <f t="shared" si="58"/>
        <v>20.319335844792345</v>
      </c>
      <c r="N195" s="2">
        <v>0</v>
      </c>
      <c r="O195" s="2">
        <f t="shared" si="59"/>
        <v>169.39158735834613</v>
      </c>
      <c r="P195" s="2">
        <f t="shared" si="60"/>
        <v>115.46802137583239</v>
      </c>
      <c r="Q195" s="5">
        <f t="shared" si="61"/>
        <v>1.4276274988666811</v>
      </c>
      <c r="R195" s="5">
        <f t="shared" si="62"/>
        <v>0.15751717331320161</v>
      </c>
      <c r="S195" s="4">
        <f t="shared" si="79"/>
        <v>0.11995481098956233</v>
      </c>
      <c r="T195" s="5">
        <f t="shared" si="63"/>
        <v>9.8224216300021983E-2</v>
      </c>
      <c r="U195" s="4">
        <f t="shared" si="64"/>
        <v>0</v>
      </c>
      <c r="V195" s="4">
        <f t="shared" si="65"/>
        <v>0</v>
      </c>
      <c r="W195" s="5">
        <f t="shared" si="66"/>
        <v>0</v>
      </c>
      <c r="X195" s="5">
        <f t="shared" si="67"/>
        <v>-25.551983512148315</v>
      </c>
      <c r="Y195" s="5">
        <f t="shared" si="68"/>
        <v>-2.5936112511014033</v>
      </c>
      <c r="Z195" s="5">
        <f>1</f>
        <v>1</v>
      </c>
      <c r="AA195" s="5">
        <f>IF(M195=0,0,const*($T195/omega)*O195*(wy*I195-wz*(H195-V195))/Z195)</f>
        <v>0</v>
      </c>
      <c r="AB195" s="5">
        <f>IF(M195=0,0,const*($T195/omega)*O195*(wz*(G195-U195)-wx*I195)/Z195)</f>
        <v>-1.6173184622847956</v>
      </c>
      <c r="AC195" s="5">
        <f>IF(M195=0,0,const*($T195/omega)*O195*(wx*(H195-V195)-wy*(G195-U195))/Z195)</f>
        <v>15.933650297300639</v>
      </c>
      <c r="AD195" s="5">
        <f t="shared" si="81"/>
        <v>0</v>
      </c>
      <c r="AE195" s="5">
        <f t="shared" si="81"/>
        <v>-27.169301974433111</v>
      </c>
      <c r="AF195" s="5">
        <f t="shared" si="69"/>
        <v>-18.833960953800762</v>
      </c>
      <c r="AG195">
        <f t="shared" si="80"/>
        <v>0</v>
      </c>
    </row>
    <row r="196" spans="1:33" x14ac:dyDescent="0.2">
      <c r="A196">
        <f t="shared" si="70"/>
        <v>1.6400000000000012</v>
      </c>
      <c r="B196" s="5">
        <f t="shared" si="71"/>
        <v>0</v>
      </c>
      <c r="C196" s="5">
        <f t="shared" si="72"/>
        <v>321.37439495519016</v>
      </c>
      <c r="D196" s="5">
        <f t="shared" si="73"/>
        <v>51.667468741295302</v>
      </c>
      <c r="E196" s="2">
        <f t="shared" si="55"/>
        <v>107.12479831839671</v>
      </c>
      <c r="F196" s="2">
        <f t="shared" si="74"/>
        <v>0</v>
      </c>
      <c r="G196" s="3">
        <f t="shared" si="75"/>
        <v>0</v>
      </c>
      <c r="H196" s="3">
        <f t="shared" si="76"/>
        <v>168.25396543841779</v>
      </c>
      <c r="I196" s="3">
        <f t="shared" si="77"/>
        <v>16.917574836146947</v>
      </c>
      <c r="J196" s="2">
        <f t="shared" si="56"/>
        <v>169.10233949915926</v>
      </c>
      <c r="K196" s="2">
        <f t="shared" si="78"/>
        <v>115.2708517376682</v>
      </c>
      <c r="L196" s="5">
        <f t="shared" si="57"/>
        <v>20.694091646499352</v>
      </c>
      <c r="M196" s="3">
        <f t="shared" si="58"/>
        <v>20.3122557798374</v>
      </c>
      <c r="N196" s="2">
        <v>0</v>
      </c>
      <c r="O196" s="2">
        <f t="shared" si="59"/>
        <v>169.10233949915926</v>
      </c>
      <c r="P196" s="2">
        <f t="shared" si="60"/>
        <v>115.2708517376682</v>
      </c>
      <c r="Q196" s="5">
        <f t="shared" si="61"/>
        <v>1.4251897261047439</v>
      </c>
      <c r="R196" s="5">
        <f t="shared" si="62"/>
        <v>0.15755126028255498</v>
      </c>
      <c r="S196" s="4">
        <f t="shared" si="79"/>
        <v>0.12011812397153966</v>
      </c>
      <c r="T196" s="5">
        <f t="shared" si="63"/>
        <v>9.8277685577136675E-2</v>
      </c>
      <c r="U196" s="4">
        <f t="shared" si="64"/>
        <v>0</v>
      </c>
      <c r="V196" s="4">
        <f t="shared" si="65"/>
        <v>0</v>
      </c>
      <c r="W196" s="5">
        <f t="shared" si="66"/>
        <v>0</v>
      </c>
      <c r="X196" s="5">
        <f t="shared" si="67"/>
        <v>-25.472738928697748</v>
      </c>
      <c r="Y196" s="5">
        <f t="shared" si="68"/>
        <v>-2.5612291869911616</v>
      </c>
      <c r="Z196" s="5">
        <f>1</f>
        <v>1</v>
      </c>
      <c r="AA196" s="5">
        <f>IF(M196=0,0,const*($T196/omega)*O196*(wy*I196-wz*(H196-V196))/Z196)</f>
        <v>0</v>
      </c>
      <c r="AB196" s="5">
        <f>IF(M196=0,0,const*($T196/omega)*O196*(wz*(G196-U196)-wx*I196)/Z196)</f>
        <v>-1.5976494017164886</v>
      </c>
      <c r="AC196" s="5">
        <f>IF(M196=0,0,const*($T196/omega)*O196*(wx*(H196-V196)-wy*(G196-U196))/Z196)</f>
        <v>15.889443364232092</v>
      </c>
      <c r="AD196" s="5">
        <f t="shared" si="81"/>
        <v>0</v>
      </c>
      <c r="AE196" s="5">
        <f t="shared" si="81"/>
        <v>-27.070388330414236</v>
      </c>
      <c r="AF196" s="5">
        <f t="shared" si="69"/>
        <v>-18.845785822759069</v>
      </c>
      <c r="AG196">
        <f t="shared" si="80"/>
        <v>0</v>
      </c>
    </row>
    <row r="197" spans="1:33" x14ac:dyDescent="0.2">
      <c r="A197">
        <f t="shared" si="70"/>
        <v>1.6500000000000012</v>
      </c>
      <c r="B197" s="5">
        <f t="shared" si="71"/>
        <v>0</v>
      </c>
      <c r="C197" s="5">
        <f t="shared" si="72"/>
        <v>323.05558109015783</v>
      </c>
      <c r="D197" s="5">
        <f t="shared" si="73"/>
        <v>51.835702200365631</v>
      </c>
      <c r="E197" s="2">
        <f t="shared" si="55"/>
        <v>107.68519369671928</v>
      </c>
      <c r="F197" s="2">
        <f t="shared" si="74"/>
        <v>0</v>
      </c>
      <c r="G197" s="3">
        <f t="shared" si="75"/>
        <v>0</v>
      </c>
      <c r="H197" s="3">
        <f t="shared" si="76"/>
        <v>167.98326155511364</v>
      </c>
      <c r="I197" s="3">
        <f t="shared" si="77"/>
        <v>16.729116977919357</v>
      </c>
      <c r="J197" s="2">
        <f t="shared" si="56"/>
        <v>168.81421598181424</v>
      </c>
      <c r="K197" s="2">
        <f t="shared" si="78"/>
        <v>115.07444852202742</v>
      </c>
      <c r="L197" s="5">
        <f t="shared" si="57"/>
        <v>20.729411269546333</v>
      </c>
      <c r="M197" s="3">
        <f t="shared" si="58"/>
        <v>20.30520098426901</v>
      </c>
      <c r="N197" s="2">
        <v>0</v>
      </c>
      <c r="O197" s="2">
        <f t="shared" si="59"/>
        <v>168.81421598181424</v>
      </c>
      <c r="P197" s="2">
        <f t="shared" si="60"/>
        <v>115.07444852202742</v>
      </c>
      <c r="Q197" s="5">
        <f t="shared" si="61"/>
        <v>1.4227614292639934</v>
      </c>
      <c r="R197" s="5">
        <f t="shared" si="62"/>
        <v>0.15758532809736067</v>
      </c>
      <c r="S197" s="4">
        <f t="shared" si="79"/>
        <v>0.12028134518278021</v>
      </c>
      <c r="T197" s="5">
        <f t="shared" si="63"/>
        <v>9.8331081244466795E-2</v>
      </c>
      <c r="U197" s="4">
        <f t="shared" si="64"/>
        <v>0</v>
      </c>
      <c r="V197" s="4">
        <f t="shared" si="65"/>
        <v>0</v>
      </c>
      <c r="W197" s="5">
        <f t="shared" si="66"/>
        <v>0</v>
      </c>
      <c r="X197" s="5">
        <f t="shared" si="67"/>
        <v>-25.393913976636636</v>
      </c>
      <c r="Y197" s="5">
        <f t="shared" si="68"/>
        <v>-2.5289290939442624</v>
      </c>
      <c r="Z197" s="5">
        <f>1</f>
        <v>1</v>
      </c>
      <c r="AA197" s="5">
        <f>IF(M197=0,0,const*($T197/omega)*O197*(wy*I197-wz*(H197-V197))/Z197)</f>
        <v>0</v>
      </c>
      <c r="AB197" s="5">
        <f>IF(M197=0,0,const*($T197/omega)*O197*(wz*(G197-U197)-wx*I197)/Z197)</f>
        <v>-1.5780170349646527</v>
      </c>
      <c r="AC197" s="5">
        <f>IF(M197=0,0,const*($T197/omega)*O197*(wx*(H197-V197)-wy*(G197-U197))/Z197)</f>
        <v>15.845453688486366</v>
      </c>
      <c r="AD197" s="5">
        <f t="shared" si="81"/>
        <v>0</v>
      </c>
      <c r="AE197" s="5">
        <f t="shared" si="81"/>
        <v>-26.971931011601288</v>
      </c>
      <c r="AF197" s="5">
        <f t="shared" si="69"/>
        <v>-18.857475405457897</v>
      </c>
      <c r="AG197">
        <f t="shared" si="80"/>
        <v>0</v>
      </c>
    </row>
    <row r="198" spans="1:33" x14ac:dyDescent="0.2">
      <c r="A198">
        <f t="shared" si="70"/>
        <v>1.6600000000000013</v>
      </c>
      <c r="B198" s="5">
        <f t="shared" si="71"/>
        <v>0</v>
      </c>
      <c r="C198" s="5">
        <f t="shared" si="72"/>
        <v>324.73406510915839</v>
      </c>
      <c r="D198" s="5">
        <f t="shared" si="73"/>
        <v>52.002050496374551</v>
      </c>
      <c r="E198" s="2">
        <f t="shared" si="55"/>
        <v>108.24468836971947</v>
      </c>
      <c r="F198" s="2">
        <f t="shared" si="74"/>
        <v>0</v>
      </c>
      <c r="G198" s="3">
        <f t="shared" si="75"/>
        <v>0</v>
      </c>
      <c r="H198" s="3">
        <f t="shared" si="76"/>
        <v>167.71354224499763</v>
      </c>
      <c r="I198" s="3">
        <f t="shared" si="77"/>
        <v>16.540542223864779</v>
      </c>
      <c r="J198" s="2">
        <f t="shared" si="56"/>
        <v>168.52721379475796</v>
      </c>
      <c r="K198" s="2">
        <f t="shared" si="78"/>
        <v>114.87880967604495</v>
      </c>
      <c r="L198" s="5">
        <f t="shared" si="57"/>
        <v>20.764713499001065</v>
      </c>
      <c r="M198" s="3">
        <f t="shared" si="58"/>
        <v>20.29817126681569</v>
      </c>
      <c r="N198" s="2">
        <v>0</v>
      </c>
      <c r="O198" s="2">
        <f t="shared" si="59"/>
        <v>168.52721379475796</v>
      </c>
      <c r="P198" s="2">
        <f t="shared" si="60"/>
        <v>114.87880967604495</v>
      </c>
      <c r="Q198" s="5">
        <f t="shared" si="61"/>
        <v>1.4203425829631462</v>
      </c>
      <c r="R198" s="5">
        <f t="shared" si="62"/>
        <v>0.15761937618986371</v>
      </c>
      <c r="S198" s="4">
        <f t="shared" si="79"/>
        <v>0.12044447190313108</v>
      </c>
      <c r="T198" s="5">
        <f t="shared" si="63"/>
        <v>9.8384402581136274E-2</v>
      </c>
      <c r="U198" s="4">
        <f t="shared" si="64"/>
        <v>0</v>
      </c>
      <c r="V198" s="4">
        <f t="shared" si="65"/>
        <v>0</v>
      </c>
      <c r="W198" s="5">
        <f t="shared" si="66"/>
        <v>0</v>
      </c>
      <c r="X198" s="5">
        <f t="shared" si="67"/>
        <v>-25.315506168683854</v>
      </c>
      <c r="Y198" s="5">
        <f t="shared" si="68"/>
        <v>-2.4967107193403399</v>
      </c>
      <c r="Z198" s="5">
        <f>1</f>
        <v>1</v>
      </c>
      <c r="AA198" s="5">
        <f>IF(M198=0,0,const*($T198/omega)*O198*(wy*I198-wz*(H198-V198))/Z198)</f>
        <v>0</v>
      </c>
      <c r="AB198" s="5">
        <f>IF(M198=0,0,const*($T198/omega)*O198*(wz*(G198-U198)-wx*I198)/Z198)</f>
        <v>-1.5584212961503585</v>
      </c>
      <c r="AC198" s="5">
        <f>IF(M198=0,0,const*($T198/omega)*O198*(wx*(H198-V198)-wy*(G198-U198))/Z198)</f>
        <v>15.80168003865759</v>
      </c>
      <c r="AD198" s="5">
        <f t="shared" si="81"/>
        <v>0</v>
      </c>
      <c r="AE198" s="5">
        <f t="shared" si="81"/>
        <v>-26.87392746483421</v>
      </c>
      <c r="AF198" s="5">
        <f t="shared" si="69"/>
        <v>-18.869030680682748</v>
      </c>
      <c r="AG198">
        <f t="shared" si="80"/>
        <v>0</v>
      </c>
    </row>
    <row r="199" spans="1:33" x14ac:dyDescent="0.2">
      <c r="A199">
        <f t="shared" si="70"/>
        <v>1.6700000000000013</v>
      </c>
      <c r="B199" s="5">
        <f t="shared" si="71"/>
        <v>0</v>
      </c>
      <c r="C199" s="5">
        <f t="shared" si="72"/>
        <v>326.40985683523513</v>
      </c>
      <c r="D199" s="5">
        <f t="shared" si="73"/>
        <v>52.166512467079166</v>
      </c>
      <c r="E199" s="2">
        <f t="shared" si="55"/>
        <v>108.80328561174504</v>
      </c>
      <c r="F199" s="2">
        <f t="shared" si="74"/>
        <v>0</v>
      </c>
      <c r="G199" s="3">
        <f t="shared" si="75"/>
        <v>0</v>
      </c>
      <c r="H199" s="3">
        <f t="shared" si="76"/>
        <v>167.44480297034929</v>
      </c>
      <c r="I199" s="3">
        <f t="shared" si="77"/>
        <v>16.351851917057953</v>
      </c>
      <c r="J199" s="2">
        <f t="shared" si="56"/>
        <v>168.24132994866773</v>
      </c>
      <c r="K199" s="2">
        <f t="shared" si="78"/>
        <v>114.68393316200935</v>
      </c>
      <c r="L199" s="5">
        <f t="shared" si="57"/>
        <v>20.799997909555042</v>
      </c>
      <c r="M199" s="3">
        <f t="shared" si="58"/>
        <v>20.291166437012791</v>
      </c>
      <c r="N199" s="2">
        <v>0</v>
      </c>
      <c r="O199" s="2">
        <f t="shared" si="59"/>
        <v>168.24132994866773</v>
      </c>
      <c r="P199" s="2">
        <f t="shared" si="60"/>
        <v>114.68393316200935</v>
      </c>
      <c r="Q199" s="5">
        <f t="shared" si="61"/>
        <v>1.4179331620082742</v>
      </c>
      <c r="R199" s="5">
        <f t="shared" si="62"/>
        <v>0.15765340398932934</v>
      </c>
      <c r="S199" s="4">
        <f t="shared" si="79"/>
        <v>0.12060750139816327</v>
      </c>
      <c r="T199" s="5">
        <f t="shared" si="63"/>
        <v>9.8437648863800548E-2</v>
      </c>
      <c r="U199" s="4">
        <f t="shared" si="64"/>
        <v>0</v>
      </c>
      <c r="V199" s="4">
        <f t="shared" si="65"/>
        <v>0</v>
      </c>
      <c r="W199" s="5">
        <f t="shared" si="66"/>
        <v>0</v>
      </c>
      <c r="X199" s="5">
        <f t="shared" si="67"/>
        <v>-25.237513036331013</v>
      </c>
      <c r="Y199" s="5">
        <f t="shared" si="68"/>
        <v>-2.4645738094241167</v>
      </c>
      <c r="Z199" s="5">
        <f>1</f>
        <v>1</v>
      </c>
      <c r="AA199" s="5">
        <f>IF(M199=0,0,const*($T199/omega)*O199*(wy*I199-wz*(H199-V199))/Z199)</f>
        <v>0</v>
      </c>
      <c r="AB199" s="5">
        <f>IF(M199=0,0,const*($T199/omega)*O199*(wz*(G199-U199)-wx*I199)/Z199)</f>
        <v>-1.5388621184952731</v>
      </c>
      <c r="AC199" s="5">
        <f>IF(M199=0,0,const*($T199/omega)*O199*(wx*(H199-V199)-wy*(G199-U199))/Z199)</f>
        <v>15.758121192448789</v>
      </c>
      <c r="AD199" s="5">
        <f t="shared" si="81"/>
        <v>0</v>
      </c>
      <c r="AE199" s="5">
        <f t="shared" si="81"/>
        <v>-26.776375154826287</v>
      </c>
      <c r="AF199" s="5">
        <f t="shared" si="69"/>
        <v>-18.880452616975326</v>
      </c>
      <c r="AG199">
        <f t="shared" si="80"/>
        <v>0</v>
      </c>
    </row>
    <row r="200" spans="1:33" x14ac:dyDescent="0.2">
      <c r="A200">
        <f t="shared" si="70"/>
        <v>1.6800000000000013</v>
      </c>
      <c r="B200" s="5">
        <f t="shared" si="71"/>
        <v>0</v>
      </c>
      <c r="C200" s="5">
        <f t="shared" si="72"/>
        <v>328.0829660461809</v>
      </c>
      <c r="D200" s="5">
        <f t="shared" si="73"/>
        <v>52.329086963618899</v>
      </c>
      <c r="E200" s="2">
        <f t="shared" si="55"/>
        <v>109.3609886820603</v>
      </c>
      <c r="F200" s="2">
        <f t="shared" si="74"/>
        <v>0</v>
      </c>
      <c r="G200" s="3">
        <f t="shared" si="75"/>
        <v>0</v>
      </c>
      <c r="H200" s="3">
        <f t="shared" si="76"/>
        <v>167.17703921880101</v>
      </c>
      <c r="I200" s="3">
        <f t="shared" si="77"/>
        <v>16.163047390888199</v>
      </c>
      <c r="J200" s="2">
        <f t="shared" si="56"/>
        <v>167.95656147624786</v>
      </c>
      <c r="K200" s="2">
        <f t="shared" si="78"/>
        <v>114.48981695722416</v>
      </c>
      <c r="L200" s="5">
        <f t="shared" si="57"/>
        <v>20.835264073490404</v>
      </c>
      <c r="M200" s="3">
        <f t="shared" si="58"/>
        <v>20.284186305195007</v>
      </c>
      <c r="N200" s="2">
        <v>0</v>
      </c>
      <c r="O200" s="2">
        <f t="shared" si="59"/>
        <v>167.95656147624786</v>
      </c>
      <c r="P200" s="2">
        <f t="shared" si="60"/>
        <v>114.48981695722416</v>
      </c>
      <c r="Q200" s="5">
        <f t="shared" si="61"/>
        <v>1.4155331413910943</v>
      </c>
      <c r="R200" s="5">
        <f t="shared" si="62"/>
        <v>0.15768741092205069</v>
      </c>
      <c r="S200" s="4">
        <f t="shared" si="79"/>
        <v>0.12077043091920862</v>
      </c>
      <c r="T200" s="5">
        <f t="shared" si="63"/>
        <v>9.8490819366661722E-2</v>
      </c>
      <c r="U200" s="4">
        <f t="shared" si="64"/>
        <v>0</v>
      </c>
      <c r="V200" s="4">
        <f t="shared" si="65"/>
        <v>0</v>
      </c>
      <c r="W200" s="5">
        <f t="shared" si="66"/>
        <v>0</v>
      </c>
      <c r="X200" s="5">
        <f t="shared" si="67"/>
        <v>-25.159932129672022</v>
      </c>
      <c r="Y200" s="5">
        <f t="shared" si="68"/>
        <v>-2.4325181093270958</v>
      </c>
      <c r="Z200" s="5">
        <f>1</f>
        <v>1</v>
      </c>
      <c r="AA200" s="5">
        <f>IF(M200=0,0,const*($T200/omega)*O200*(wy*I200-wz*(H200-V200))/Z200)</f>
        <v>0</v>
      </c>
      <c r="AB200" s="5">
        <f>IF(M200=0,0,const*($T200/omega)*O200*(wz*(G200-U200)-wx*I200)/Z200)</f>
        <v>-1.5193394343337905</v>
      </c>
      <c r="AC200" s="5">
        <f>IF(M200=0,0,const*($T200/omega)*O200*(wx*(H200-V200)-wy*(G200-U200))/Z200)</f>
        <v>15.71477593658984</v>
      </c>
      <c r="AD200" s="5">
        <f t="shared" si="81"/>
        <v>0</v>
      </c>
      <c r="AE200" s="5">
        <f t="shared" si="81"/>
        <v>-26.679271564005813</v>
      </c>
      <c r="AF200" s="5">
        <f t="shared" si="69"/>
        <v>-18.891742172737256</v>
      </c>
      <c r="AG200">
        <f t="shared" si="80"/>
        <v>0</v>
      </c>
    </row>
    <row r="201" spans="1:33" x14ac:dyDescent="0.2">
      <c r="A201">
        <f t="shared" si="70"/>
        <v>1.6900000000000013</v>
      </c>
      <c r="B201" s="5">
        <f t="shared" si="71"/>
        <v>0</v>
      </c>
      <c r="C201" s="5">
        <f t="shared" si="72"/>
        <v>329.75340247479073</v>
      </c>
      <c r="D201" s="5">
        <f t="shared" si="73"/>
        <v>52.489772850419143</v>
      </c>
      <c r="E201" s="2">
        <f t="shared" si="55"/>
        <v>109.91780082493024</v>
      </c>
      <c r="F201" s="2">
        <f t="shared" si="74"/>
        <v>0</v>
      </c>
      <c r="G201" s="3">
        <f t="shared" si="75"/>
        <v>0</v>
      </c>
      <c r="H201" s="3">
        <f t="shared" si="76"/>
        <v>166.91024650316095</v>
      </c>
      <c r="I201" s="3">
        <f t="shared" si="77"/>
        <v>15.974129969160826</v>
      </c>
      <c r="J201" s="2">
        <f t="shared" si="56"/>
        <v>167.67290543202736</v>
      </c>
      <c r="K201" s="2">
        <f t="shared" si="78"/>
        <v>114.29645905387004</v>
      </c>
      <c r="L201" s="5">
        <f t="shared" si="57"/>
        <v>20.870511560686662</v>
      </c>
      <c r="M201" s="3">
        <f t="shared" si="58"/>
        <v>20.277230682489005</v>
      </c>
      <c r="N201" s="2">
        <v>0</v>
      </c>
      <c r="O201" s="2">
        <f t="shared" si="59"/>
        <v>167.67290543202736</v>
      </c>
      <c r="P201" s="2">
        <f t="shared" si="60"/>
        <v>114.29645905387004</v>
      </c>
      <c r="Q201" s="5">
        <f t="shared" si="61"/>
        <v>1.4131424962872603</v>
      </c>
      <c r="R201" s="5">
        <f t="shared" si="62"/>
        <v>0.15772139641135716</v>
      </c>
      <c r="S201" s="4">
        <f t="shared" si="79"/>
        <v>0.12093325770339894</v>
      </c>
      <c r="T201" s="5">
        <f t="shared" si="63"/>
        <v>9.854391336148402E-2</v>
      </c>
      <c r="U201" s="4">
        <f t="shared" si="64"/>
        <v>0</v>
      </c>
      <c r="V201" s="4">
        <f t="shared" si="65"/>
        <v>0</v>
      </c>
      <c r="W201" s="5">
        <f t="shared" si="66"/>
        <v>0</v>
      </c>
      <c r="X201" s="5">
        <f t="shared" si="67"/>
        <v>-25.08276101723445</v>
      </c>
      <c r="Y201" s="5">
        <f t="shared" si="68"/>
        <v>-2.4005433630889503</v>
      </c>
      <c r="Z201" s="5">
        <f>1</f>
        <v>1</v>
      </c>
      <c r="AA201" s="5">
        <f>IF(M201=0,0,const*($T201/omega)*O201*(wy*I201-wz*(H201-V201))/Z201)</f>
        <v>0</v>
      </c>
      <c r="AB201" s="5">
        <f>IF(M201=0,0,const*($T201/omega)*O201*(wz*(G201-U201)-wx*I201)/Z201)</f>
        <v>-1.4998531751250013</v>
      </c>
      <c r="AC201" s="5">
        <f>IF(M201=0,0,const*($T201/omega)*O201*(wx*(H201-V201)-wy*(G201-U201))/Z201)</f>
        <v>15.671643066756255</v>
      </c>
      <c r="AD201" s="5">
        <f t="shared" si="81"/>
        <v>0</v>
      </c>
      <c r="AE201" s="5">
        <f t="shared" si="81"/>
        <v>-26.582614192359451</v>
      </c>
      <c r="AF201" s="5">
        <f t="shared" si="69"/>
        <v>-18.902900296332696</v>
      </c>
      <c r="AG201">
        <f t="shared" si="80"/>
        <v>0</v>
      </c>
    </row>
    <row r="202" spans="1:33" x14ac:dyDescent="0.2">
      <c r="A202">
        <f t="shared" si="70"/>
        <v>1.7000000000000013</v>
      </c>
      <c r="B202" s="5">
        <f t="shared" si="71"/>
        <v>0</v>
      </c>
      <c r="C202" s="5">
        <f t="shared" si="72"/>
        <v>331.4211758091127</v>
      </c>
      <c r="D202" s="5">
        <f t="shared" si="73"/>
        <v>52.648569005095936</v>
      </c>
      <c r="E202" s="2">
        <f t="shared" si="55"/>
        <v>110.47372526970423</v>
      </c>
      <c r="F202" s="2">
        <f t="shared" si="74"/>
        <v>0</v>
      </c>
      <c r="G202" s="3">
        <f t="shared" si="75"/>
        <v>0</v>
      </c>
      <c r="H202" s="3">
        <f t="shared" si="76"/>
        <v>166.64442036123737</v>
      </c>
      <c r="I202" s="3">
        <f t="shared" si="77"/>
        <v>15.785100966197499</v>
      </c>
      <c r="J202" s="2">
        <f t="shared" si="56"/>
        <v>167.3903588921591</v>
      </c>
      <c r="K202" s="2">
        <f t="shared" si="78"/>
        <v>114.10385745886782</v>
      </c>
      <c r="L202" s="5">
        <f t="shared" si="57"/>
        <v>20.905739938627782</v>
      </c>
      <c r="M202" s="3">
        <f t="shared" si="58"/>
        <v>20.270299380806104</v>
      </c>
      <c r="N202" s="2">
        <v>0</v>
      </c>
      <c r="O202" s="2">
        <f t="shared" si="59"/>
        <v>167.3903588921591</v>
      </c>
      <c r="P202" s="2">
        <f t="shared" si="60"/>
        <v>114.10385745886782</v>
      </c>
      <c r="Q202" s="5">
        <f t="shared" si="61"/>
        <v>1.4107612020546711</v>
      </c>
      <c r="R202" s="5">
        <f t="shared" si="62"/>
        <v>0.15775535987762274</v>
      </c>
      <c r="S202" s="4">
        <f t="shared" si="79"/>
        <v>0.12109597897370662</v>
      </c>
      <c r="T202" s="5">
        <f t="shared" si="63"/>
        <v>9.8596930117609741E-2</v>
      </c>
      <c r="U202" s="4">
        <f t="shared" si="64"/>
        <v>0</v>
      </c>
      <c r="V202" s="4">
        <f t="shared" si="65"/>
        <v>0</v>
      </c>
      <c r="W202" s="5">
        <f t="shared" si="66"/>
        <v>0</v>
      </c>
      <c r="X202" s="5">
        <f t="shared" si="67"/>
        <v>-25.00599728581248</v>
      </c>
      <c r="Y202" s="5">
        <f t="shared" si="68"/>
        <v>-2.3686493136785858</v>
      </c>
      <c r="Z202" s="5">
        <f>1</f>
        <v>1</v>
      </c>
      <c r="AA202" s="5">
        <f>IF(M202=0,0,const*($T202/omega)*O202*(wy*I202-wz*(H202-V202))/Z202)</f>
        <v>0</v>
      </c>
      <c r="AB202" s="5">
        <f>IF(M202=0,0,const*($T202/omega)*O202*(wz*(G202-U202)-wx*I202)/Z202)</f>
        <v>-1.480403271464497</v>
      </c>
      <c r="AC202" s="5">
        <f>IF(M202=0,0,const*($T202/omega)*O202*(wx*(H202-V202)-wy*(G202-U202))/Z202)</f>
        <v>15.628721387488778</v>
      </c>
      <c r="AD202" s="5">
        <f t="shared" si="81"/>
        <v>0</v>
      </c>
      <c r="AE202" s="5">
        <f t="shared" si="81"/>
        <v>-26.486400557276976</v>
      </c>
      <c r="AF202" s="5">
        <f t="shared" si="69"/>
        <v>-18.913927926189807</v>
      </c>
      <c r="AG202">
        <f t="shared" si="80"/>
        <v>0</v>
      </c>
    </row>
    <row r="203" spans="1:33" x14ac:dyDescent="0.2">
      <c r="A203">
        <f t="shared" si="70"/>
        <v>1.7100000000000013</v>
      </c>
      <c r="B203" s="5">
        <f t="shared" si="71"/>
        <v>0</v>
      </c>
      <c r="C203" s="5">
        <f t="shared" si="72"/>
        <v>333.08629569269721</v>
      </c>
      <c r="D203" s="5">
        <f t="shared" si="73"/>
        <v>52.805474318361604</v>
      </c>
      <c r="E203" s="2">
        <f t="shared" si="55"/>
        <v>111.02876523089907</v>
      </c>
      <c r="F203" s="2">
        <f t="shared" si="74"/>
        <v>0</v>
      </c>
      <c r="G203" s="3">
        <f t="shared" si="75"/>
        <v>0</v>
      </c>
      <c r="H203" s="3">
        <f t="shared" si="76"/>
        <v>166.37955635566459</v>
      </c>
      <c r="I203" s="3">
        <f t="shared" si="77"/>
        <v>15.595961686935601</v>
      </c>
      <c r="J203" s="2">
        <f t="shared" si="56"/>
        <v>167.1089189542202</v>
      </c>
      <c r="K203" s="2">
        <f t="shared" si="78"/>
        <v>113.91201019374246</v>
      </c>
      <c r="L203" s="5">
        <f t="shared" si="57"/>
        <v>20.940948772409456</v>
      </c>
      <c r="M203" s="3">
        <f t="shared" si="58"/>
        <v>20.263392212835104</v>
      </c>
      <c r="N203" s="2">
        <v>0</v>
      </c>
      <c r="O203" s="2">
        <f t="shared" si="59"/>
        <v>167.1089189542202</v>
      </c>
      <c r="P203" s="2">
        <f t="shared" si="60"/>
        <v>113.91201019374246</v>
      </c>
      <c r="Q203" s="5">
        <f t="shared" si="61"/>
        <v>1.4083892342317892</v>
      </c>
      <c r="R203" s="5">
        <f t="shared" si="62"/>
        <v>0.15778930073827491</v>
      </c>
      <c r="S203" s="4">
        <f t="shared" si="79"/>
        <v>0.1212585919389874</v>
      </c>
      <c r="T203" s="5">
        <f t="shared" si="63"/>
        <v>9.8649868901975427E-2</v>
      </c>
      <c r="U203" s="4">
        <f t="shared" si="64"/>
        <v>0</v>
      </c>
      <c r="V203" s="4">
        <f t="shared" si="65"/>
        <v>0</v>
      </c>
      <c r="W203" s="5">
        <f t="shared" si="66"/>
        <v>0</v>
      </c>
      <c r="X203" s="5">
        <f t="shared" si="67"/>
        <v>-24.929638540301674</v>
      </c>
      <c r="Y203" s="5">
        <f t="shared" si="68"/>
        <v>-2.3368357030149087</v>
      </c>
      <c r="Z203" s="5">
        <f>1</f>
        <v>1</v>
      </c>
      <c r="AA203" s="5">
        <f>IF(M203=0,0,const*($T203/omega)*O203*(wy*I203-wz*(H203-V203))/Z203)</f>
        <v>0</v>
      </c>
      <c r="AB203" s="5">
        <f>IF(M203=0,0,const*($T203/omega)*O203*(wz*(G203-U203)-wx*I203)/Z203)</f>
        <v>-1.4609896530960231</v>
      </c>
      <c r="AC203" s="5">
        <f>IF(M203=0,0,const*($T203/omega)*O203*(wx*(H203-V203)-wy*(G203-U203))/Z203)</f>
        <v>15.586009712113778</v>
      </c>
      <c r="AD203" s="5">
        <f t="shared" si="81"/>
        <v>0</v>
      </c>
      <c r="AE203" s="5">
        <f t="shared" si="81"/>
        <v>-26.390628193397696</v>
      </c>
      <c r="AF203" s="5">
        <f t="shared" si="69"/>
        <v>-18.92482599090113</v>
      </c>
      <c r="AG203">
        <f t="shared" si="80"/>
        <v>0</v>
      </c>
    </row>
    <row r="204" spans="1:33" x14ac:dyDescent="0.2">
      <c r="A204">
        <f t="shared" si="70"/>
        <v>1.7200000000000013</v>
      </c>
      <c r="B204" s="5">
        <f t="shared" si="71"/>
        <v>0</v>
      </c>
      <c r="C204" s="5">
        <f t="shared" si="72"/>
        <v>334.74877172484418</v>
      </c>
      <c r="D204" s="5">
        <f t="shared" si="73"/>
        <v>52.960487693931412</v>
      </c>
      <c r="E204" s="2">
        <f t="shared" si="55"/>
        <v>111.58292390828139</v>
      </c>
      <c r="F204" s="2">
        <f t="shared" si="74"/>
        <v>0</v>
      </c>
      <c r="G204" s="3">
        <f t="shared" si="75"/>
        <v>0</v>
      </c>
      <c r="H204" s="3">
        <f t="shared" si="76"/>
        <v>166.11565007373062</v>
      </c>
      <c r="I204" s="3">
        <f t="shared" si="77"/>
        <v>15.40671342702659</v>
      </c>
      <c r="J204" s="2">
        <f t="shared" si="56"/>
        <v>166.82858273701373</v>
      </c>
      <c r="K204" s="2">
        <f t="shared" si="78"/>
        <v>113.72091529448788</v>
      </c>
      <c r="L204" s="5">
        <f t="shared" si="57"/>
        <v>20.976137624746745</v>
      </c>
      <c r="M204" s="3">
        <f t="shared" si="58"/>
        <v>20.256508992035133</v>
      </c>
      <c r="N204" s="2">
        <v>0</v>
      </c>
      <c r="O204" s="2">
        <f t="shared" si="59"/>
        <v>166.82858273701373</v>
      </c>
      <c r="P204" s="2">
        <f t="shared" si="60"/>
        <v>113.72091529448788</v>
      </c>
      <c r="Q204" s="5">
        <f t="shared" si="61"/>
        <v>1.4060265685359683</v>
      </c>
      <c r="R204" s="5">
        <f t="shared" si="62"/>
        <v>0.15782321840780397</v>
      </c>
      <c r="S204" s="4">
        <f t="shared" si="79"/>
        <v>0.12142109379402458</v>
      </c>
      <c r="T204" s="5">
        <f t="shared" si="63"/>
        <v>9.8702728979128657E-2</v>
      </c>
      <c r="U204" s="4">
        <f t="shared" si="64"/>
        <v>0</v>
      </c>
      <c r="V204" s="4">
        <f t="shared" si="65"/>
        <v>0</v>
      </c>
      <c r="W204" s="5">
        <f t="shared" si="66"/>
        <v>0</v>
      </c>
      <c r="X204" s="5">
        <f t="shared" si="67"/>
        <v>-24.85368240353538</v>
      </c>
      <c r="Y204" s="5">
        <f t="shared" si="68"/>
        <v>-2.305102271987296</v>
      </c>
      <c r="Z204" s="5">
        <f>1</f>
        <v>1</v>
      </c>
      <c r="AA204" s="5">
        <f>IF(M204=0,0,const*($T204/omega)*O204*(wy*I204-wz*(H204-V204))/Z204)</f>
        <v>0</v>
      </c>
      <c r="AB204" s="5">
        <f>IF(M204=0,0,const*($T204/omega)*O204*(wz*(G204-U204)-wx*I204)/Z204)</f>
        <v>-1.4416122489229728</v>
      </c>
      <c r="AC204" s="5">
        <f>IF(M204=0,0,const*($T204/omega)*O204*(wx*(H204-V204)-wy*(G204-U204))/Z204)</f>
        <v>15.543506862664453</v>
      </c>
      <c r="AD204" s="5">
        <f t="shared" si="81"/>
        <v>0</v>
      </c>
      <c r="AE204" s="5">
        <f t="shared" si="81"/>
        <v>-26.295294652458352</v>
      </c>
      <c r="AF204" s="5">
        <f t="shared" si="69"/>
        <v>-18.935595409322843</v>
      </c>
      <c r="AG204">
        <f t="shared" si="80"/>
        <v>0</v>
      </c>
    </row>
    <row r="205" spans="1:33" x14ac:dyDescent="0.2">
      <c r="A205">
        <f t="shared" si="70"/>
        <v>1.7300000000000013</v>
      </c>
      <c r="B205" s="5">
        <f t="shared" si="71"/>
        <v>0</v>
      </c>
      <c r="C205" s="5">
        <f t="shared" si="72"/>
        <v>336.40861346084887</v>
      </c>
      <c r="D205" s="5">
        <f t="shared" si="73"/>
        <v>53.11360804843121</v>
      </c>
      <c r="E205" s="2">
        <f t="shared" si="55"/>
        <v>112.13620448694962</v>
      </c>
      <c r="F205" s="2">
        <f t="shared" si="74"/>
        <v>0</v>
      </c>
      <c r="G205" s="3">
        <f t="shared" si="75"/>
        <v>0</v>
      </c>
      <c r="H205" s="3">
        <f t="shared" si="76"/>
        <v>165.85269712720603</v>
      </c>
      <c r="I205" s="3">
        <f t="shared" si="77"/>
        <v>15.217357472933362</v>
      </c>
      <c r="J205" s="2">
        <f t="shared" si="56"/>
        <v>166.54934738037184</v>
      </c>
      <c r="K205" s="2">
        <f t="shared" si="78"/>
        <v>113.53057081143274</v>
      </c>
      <c r="L205" s="5">
        <f t="shared" si="57"/>
        <v>21.011306055981951</v>
      </c>
      <c r="M205" s="3">
        <f t="shared" si="58"/>
        <v>20.249649532628666</v>
      </c>
      <c r="N205" s="2">
        <v>0</v>
      </c>
      <c r="O205" s="2">
        <f t="shared" si="59"/>
        <v>166.54934738037184</v>
      </c>
      <c r="P205" s="2">
        <f t="shared" si="60"/>
        <v>113.53057081143274</v>
      </c>
      <c r="Q205" s="5">
        <f t="shared" si="61"/>
        <v>1.4036731808617948</v>
      </c>
      <c r="R205" s="5">
        <f t="shared" si="62"/>
        <v>0.15785711229777272</v>
      </c>
      <c r="S205" s="4">
        <f t="shared" si="79"/>
        <v>0.12158348171957548</v>
      </c>
      <c r="T205" s="5">
        <f t="shared" si="63"/>
        <v>9.8755509611244935E-2</v>
      </c>
      <c r="U205" s="4">
        <f t="shared" si="64"/>
        <v>0</v>
      </c>
      <c r="V205" s="4">
        <f t="shared" si="65"/>
        <v>0</v>
      </c>
      <c r="W205" s="5">
        <f t="shared" si="66"/>
        <v>0</v>
      </c>
      <c r="X205" s="5">
        <f t="shared" si="67"/>
        <v>-24.778126516122793</v>
      </c>
      <c r="Y205" s="5">
        <f t="shared" si="68"/>
        <v>-2.2734487604757678</v>
      </c>
      <c r="Z205" s="5">
        <f>1</f>
        <v>1</v>
      </c>
      <c r="AA205" s="5">
        <f>IF(M205=0,0,const*($T205/omega)*O205*(wy*I205-wz*(H205-V205))/Z205)</f>
        <v>0</v>
      </c>
      <c r="AB205" s="5">
        <f>IF(M205=0,0,const*($T205/omega)*O205*(wz*(G205-U205)-wx*I205)/Z205)</f>
        <v>-1.4222709870197303</v>
      </c>
      <c r="AC205" s="5">
        <f>IF(M205=0,0,const*($T205/omega)*O205*(wx*(H205-V205)-wy*(G205-U205))/Z205)</f>
        <v>15.501211669802816</v>
      </c>
      <c r="AD205" s="5">
        <f t="shared" si="81"/>
        <v>0</v>
      </c>
      <c r="AE205" s="5">
        <f t="shared" si="81"/>
        <v>-26.200397503142522</v>
      </c>
      <c r="AF205" s="5">
        <f t="shared" si="69"/>
        <v>-18.946237090672952</v>
      </c>
      <c r="AG205">
        <f t="shared" si="80"/>
        <v>0</v>
      </c>
    </row>
    <row r="206" spans="1:33" x14ac:dyDescent="0.2">
      <c r="A206">
        <f t="shared" si="70"/>
        <v>1.7400000000000013</v>
      </c>
      <c r="B206" s="5">
        <f t="shared" si="71"/>
        <v>0</v>
      </c>
      <c r="C206" s="5">
        <f t="shared" si="72"/>
        <v>338.06583041224576</v>
      </c>
      <c r="D206" s="5">
        <f t="shared" si="73"/>
        <v>53.264834311306011</v>
      </c>
      <c r="E206" s="2">
        <f t="shared" si="55"/>
        <v>112.68861013741525</v>
      </c>
      <c r="F206" s="2">
        <f t="shared" si="74"/>
        <v>0</v>
      </c>
      <c r="G206" s="3">
        <f t="shared" si="75"/>
        <v>0</v>
      </c>
      <c r="H206" s="3">
        <f t="shared" si="76"/>
        <v>165.59069315217459</v>
      </c>
      <c r="I206" s="3">
        <f t="shared" si="77"/>
        <v>15.027895102026632</v>
      </c>
      <c r="J206" s="2">
        <f t="shared" si="56"/>
        <v>166.27121004495984</v>
      </c>
      <c r="K206" s="2">
        <f t="shared" si="78"/>
        <v>113.34097480910691</v>
      </c>
      <c r="L206" s="5">
        <f t="shared" si="57"/>
        <v>21.046453624092852</v>
      </c>
      <c r="M206" s="3">
        <f t="shared" si="58"/>
        <v>20.242813649594559</v>
      </c>
      <c r="N206" s="2">
        <v>0</v>
      </c>
      <c r="O206" s="2">
        <f t="shared" si="59"/>
        <v>166.27121004495984</v>
      </c>
      <c r="P206" s="2">
        <f t="shared" si="60"/>
        <v>113.34097480910691</v>
      </c>
      <c r="Q206" s="5">
        <f t="shared" si="61"/>
        <v>1.4013290472794366</v>
      </c>
      <c r="R206" s="5">
        <f t="shared" si="62"/>
        <v>0.1578909818168264</v>
      </c>
      <c r="S206" s="4">
        <f t="shared" si="79"/>
        <v>0.12174575288241957</v>
      </c>
      <c r="T206" s="5">
        <f t="shared" si="63"/>
        <v>9.8808210058145357E-2</v>
      </c>
      <c r="U206" s="4">
        <f t="shared" si="64"/>
        <v>0</v>
      </c>
      <c r="V206" s="4">
        <f t="shared" si="65"/>
        <v>0</v>
      </c>
      <c r="W206" s="5">
        <f t="shared" si="66"/>
        <v>0</v>
      </c>
      <c r="X206" s="5">
        <f t="shared" si="67"/>
        <v>-24.70296853628864</v>
      </c>
      <c r="Y206" s="5">
        <f t="shared" si="68"/>
        <v>-2.2418749073708728</v>
      </c>
      <c r="Z206" s="5">
        <f>1</f>
        <v>1</v>
      </c>
      <c r="AA206" s="5">
        <f>IF(M206=0,0,const*($T206/omega)*O206*(wy*I206-wz*(H206-V206))/Z206)</f>
        <v>0</v>
      </c>
      <c r="AB206" s="5">
        <f>IF(M206=0,0,const*($T206/omega)*O206*(wz*(G206-U206)-wx*I206)/Z206)</f>
        <v>-1.4029657946428673</v>
      </c>
      <c r="AC206" s="5">
        <f>IF(M206=0,0,const*($T206/omega)*O206*(wx*(H206-V206)-wy*(G206-U206))/Z206)</f>
        <v>15.459122972742461</v>
      </c>
      <c r="AD206" s="5">
        <f t="shared" si="81"/>
        <v>0</v>
      </c>
      <c r="AE206" s="5">
        <f t="shared" si="81"/>
        <v>-26.105934330931508</v>
      </c>
      <c r="AF206" s="5">
        <f t="shared" si="69"/>
        <v>-18.956751934628411</v>
      </c>
      <c r="AG206">
        <f t="shared" si="80"/>
        <v>0</v>
      </c>
    </row>
    <row r="207" spans="1:33" x14ac:dyDescent="0.2">
      <c r="A207">
        <f t="shared" si="70"/>
        <v>1.7500000000000013</v>
      </c>
      <c r="B207" s="5">
        <f t="shared" si="71"/>
        <v>0</v>
      </c>
      <c r="C207" s="5">
        <f t="shared" si="72"/>
        <v>339.72043204705096</v>
      </c>
      <c r="D207" s="5">
        <f t="shared" si="73"/>
        <v>53.414165424729546</v>
      </c>
      <c r="E207" s="2">
        <f t="shared" si="55"/>
        <v>113.24014401568365</v>
      </c>
      <c r="F207" s="2">
        <f t="shared" si="74"/>
        <v>0</v>
      </c>
      <c r="G207" s="3">
        <f t="shared" si="75"/>
        <v>0</v>
      </c>
      <c r="H207" s="3">
        <f t="shared" si="76"/>
        <v>165.32963380886528</v>
      </c>
      <c r="I207" s="3">
        <f t="shared" si="77"/>
        <v>14.838327582680348</v>
      </c>
      <c r="J207" s="2">
        <f t="shared" si="56"/>
        <v>165.99416791208185</v>
      </c>
      <c r="K207" s="2">
        <f t="shared" si="78"/>
        <v>113.15212536610896</v>
      </c>
      <c r="L207" s="5">
        <f t="shared" si="57"/>
        <v>21.081579884701142</v>
      </c>
      <c r="M207" s="3">
        <f t="shared" si="58"/>
        <v>20.236001158661228</v>
      </c>
      <c r="N207" s="2">
        <v>0</v>
      </c>
      <c r="O207" s="2">
        <f t="shared" si="59"/>
        <v>165.99416791208185</v>
      </c>
      <c r="P207" s="2">
        <f t="shared" si="60"/>
        <v>113.15212536610896</v>
      </c>
      <c r="Q207" s="5">
        <f t="shared" si="61"/>
        <v>1.3989941440330045</v>
      </c>
      <c r="R207" s="5">
        <f t="shared" si="62"/>
        <v>0.15792482637070332</v>
      </c>
      <c r="S207" s="4">
        <f t="shared" si="79"/>
        <v>0.12190790443540851</v>
      </c>
      <c r="T207" s="5">
        <f t="shared" si="63"/>
        <v>9.8860829577314235E-2</v>
      </c>
      <c r="U207" s="4">
        <f t="shared" si="64"/>
        <v>0</v>
      </c>
      <c r="V207" s="4">
        <f t="shared" si="65"/>
        <v>0</v>
      </c>
      <c r="W207" s="5">
        <f t="shared" si="66"/>
        <v>0</v>
      </c>
      <c r="X207" s="5">
        <f t="shared" si="67"/>
        <v>-24.628206139714518</v>
      </c>
      <c r="Y207" s="5">
        <f t="shared" si="68"/>
        <v>-2.2103804505932909</v>
      </c>
      <c r="Z207" s="5">
        <f>1</f>
        <v>1</v>
      </c>
      <c r="AA207" s="5">
        <f>IF(M207=0,0,const*($T207/omega)*O207*(wy*I207-wz*(H207-V207))/Z207)</f>
        <v>0</v>
      </c>
      <c r="AB207" s="5">
        <f>IF(M207=0,0,const*($T207/omega)*O207*(wz*(G207-U207)-wx*I207)/Z207)</f>
        <v>-1.383696598242188</v>
      </c>
      <c r="AC207" s="5">
        <f>IF(M207=0,0,const*($T207/omega)*O207*(wx*(H207-V207)-wy*(G207-U207))/Z207)</f>
        <v>15.417239619172094</v>
      </c>
      <c r="AD207" s="5">
        <f t="shared" si="81"/>
        <v>0</v>
      </c>
      <c r="AE207" s="5">
        <f t="shared" si="81"/>
        <v>-26.011902737956706</v>
      </c>
      <c r="AF207" s="5">
        <f t="shared" si="69"/>
        <v>-18.967140831421197</v>
      </c>
      <c r="AG207">
        <f t="shared" si="80"/>
        <v>0</v>
      </c>
    </row>
    <row r="208" spans="1:33" x14ac:dyDescent="0.2">
      <c r="A208">
        <f t="shared" si="70"/>
        <v>1.7600000000000013</v>
      </c>
      <c r="B208" s="5">
        <f t="shared" si="71"/>
        <v>0</v>
      </c>
      <c r="C208" s="5">
        <f t="shared" si="72"/>
        <v>341.37242779000269</v>
      </c>
      <c r="D208" s="5">
        <f t="shared" si="73"/>
        <v>53.561600343514776</v>
      </c>
      <c r="E208" s="2">
        <f t="shared" si="55"/>
        <v>113.79080926333422</v>
      </c>
      <c r="F208" s="2">
        <f t="shared" si="74"/>
        <v>0</v>
      </c>
      <c r="G208" s="3">
        <f t="shared" si="75"/>
        <v>0</v>
      </c>
      <c r="H208" s="3">
        <f t="shared" si="76"/>
        <v>165.06951478148571</v>
      </c>
      <c r="I208" s="3">
        <f t="shared" si="77"/>
        <v>14.648656174366137</v>
      </c>
      <c r="J208" s="2">
        <f t="shared" si="56"/>
        <v>165.71821818348738</v>
      </c>
      <c r="K208" s="2">
        <f t="shared" si="78"/>
        <v>112.96402057497436</v>
      </c>
      <c r="L208" s="5">
        <f t="shared" si="57"/>
        <v>21.116684391081275</v>
      </c>
      <c r="M208" s="3">
        <f t="shared" si="58"/>
        <v>20.229211876299885</v>
      </c>
      <c r="N208" s="2">
        <v>0</v>
      </c>
      <c r="O208" s="2">
        <f t="shared" si="59"/>
        <v>165.71821818348738</v>
      </c>
      <c r="P208" s="2">
        <f t="shared" si="60"/>
        <v>112.96402057497436</v>
      </c>
      <c r="Q208" s="5">
        <f t="shared" si="61"/>
        <v>1.3966684475389226</v>
      </c>
      <c r="R208" s="5">
        <f t="shared" si="62"/>
        <v>0.15795864536224555</v>
      </c>
      <c r="S208" s="4">
        <f t="shared" si="79"/>
        <v>0.12206993351751823</v>
      </c>
      <c r="T208" s="5">
        <f t="shared" si="63"/>
        <v>9.8913367423917584E-2</v>
      </c>
      <c r="U208" s="4">
        <f t="shared" si="64"/>
        <v>0</v>
      </c>
      <c r="V208" s="4">
        <f t="shared" si="65"/>
        <v>0</v>
      </c>
      <c r="W208" s="5">
        <f t="shared" si="66"/>
        <v>0</v>
      </c>
      <c r="X208" s="5">
        <f t="shared" si="67"/>
        <v>-24.553837019381803</v>
      </c>
      <c r="Y208" s="5">
        <f t="shared" si="68"/>
        <v>-2.1789651271131563</v>
      </c>
      <c r="Z208" s="5">
        <f>1</f>
        <v>1</v>
      </c>
      <c r="AA208" s="5">
        <f>IF(M208=0,0,const*($T208/omega)*O208*(wy*I208-wz*(H208-V208))/Z208)</f>
        <v>0</v>
      </c>
      <c r="AB208" s="5">
        <f>IF(M208=0,0,const*($T208/omega)*O208*(wz*(G208-U208)-wx*I208)/Z208)</f>
        <v>-1.364463323471635</v>
      </c>
      <c r="AC208" s="5">
        <f>IF(M208=0,0,const*($T208/omega)*O208*(wx*(H208-V208)-wy*(G208-U208))/Z208)</f>
        <v>15.375560465179817</v>
      </c>
      <c r="AD208" s="5">
        <f t="shared" si="81"/>
        <v>0</v>
      </c>
      <c r="AE208" s="5">
        <f t="shared" si="81"/>
        <v>-25.918300342853438</v>
      </c>
      <c r="AF208" s="5">
        <f t="shared" si="69"/>
        <v>-18.977404661933338</v>
      </c>
      <c r="AG208">
        <f t="shared" si="80"/>
        <v>0</v>
      </c>
    </row>
    <row r="209" spans="1:33" x14ac:dyDescent="0.2">
      <c r="A209">
        <f t="shared" si="70"/>
        <v>1.7700000000000014</v>
      </c>
      <c r="B209" s="5">
        <f t="shared" si="71"/>
        <v>0</v>
      </c>
      <c r="C209" s="5">
        <f t="shared" si="72"/>
        <v>343.02182702280044</v>
      </c>
      <c r="D209" s="5">
        <f t="shared" si="73"/>
        <v>53.707138035025345</v>
      </c>
      <c r="E209" s="2">
        <f t="shared" si="55"/>
        <v>114.34060900760015</v>
      </c>
      <c r="F209" s="2">
        <f t="shared" si="74"/>
        <v>0</v>
      </c>
      <c r="G209" s="3">
        <f t="shared" si="75"/>
        <v>0</v>
      </c>
      <c r="H209" s="3">
        <f t="shared" si="76"/>
        <v>164.81033177805716</v>
      </c>
      <c r="I209" s="3">
        <f t="shared" si="77"/>
        <v>14.458882127746802</v>
      </c>
      <c r="J209" s="2">
        <f t="shared" si="56"/>
        <v>165.44335808117941</v>
      </c>
      <c r="K209" s="2">
        <f t="shared" si="78"/>
        <v>112.77665854204459</v>
      </c>
      <c r="L209" s="5">
        <f t="shared" si="57"/>
        <v>21.151766694169496</v>
      </c>
      <c r="M209" s="3">
        <f t="shared" si="58"/>
        <v>20.22244561971786</v>
      </c>
      <c r="N209" s="2">
        <v>0</v>
      </c>
      <c r="O209" s="2">
        <f t="shared" si="59"/>
        <v>165.44335808117941</v>
      </c>
      <c r="P209" s="2">
        <f t="shared" si="60"/>
        <v>112.77665854204459</v>
      </c>
      <c r="Q209" s="5">
        <f t="shared" si="61"/>
        <v>1.3943519343843109</v>
      </c>
      <c r="R209" s="5">
        <f t="shared" si="62"/>
        <v>0.15799243819141018</v>
      </c>
      <c r="S209" s="4">
        <f t="shared" si="79"/>
        <v>0.12223183725390264</v>
      </c>
      <c r="T209" s="5">
        <f t="shared" si="63"/>
        <v>9.8965822850821533E-2</v>
      </c>
      <c r="U209" s="4">
        <f t="shared" si="64"/>
        <v>0</v>
      </c>
      <c r="V209" s="4">
        <f t="shared" si="65"/>
        <v>0</v>
      </c>
      <c r="W209" s="5">
        <f t="shared" si="66"/>
        <v>0</v>
      </c>
      <c r="X209" s="5">
        <f t="shared" si="67"/>
        <v>-24.479858885416157</v>
      </c>
      <c r="Y209" s="5">
        <f t="shared" si="68"/>
        <v>-2.1476286729691085</v>
      </c>
      <c r="Z209" s="5">
        <f>1</f>
        <v>1</v>
      </c>
      <c r="AA209" s="5">
        <f>IF(M209=0,0,const*($T209/omega)*O209*(wy*I209-wz*(H209-V209))/Z209)</f>
        <v>0</v>
      </c>
      <c r="AB209" s="5">
        <f>IF(M209=0,0,const*($T209/omega)*O209*(wz*(G209-U209)-wx*I209)/Z209)</f>
        <v>-1.3452658952000485</v>
      </c>
      <c r="AC209" s="5">
        <f>IF(M209=0,0,const*($T209/omega)*O209*(wx*(H209-V209)-wy*(G209-U209))/Z209)</f>
        <v>15.334084375178167</v>
      </c>
      <c r="AD209" s="5">
        <f t="shared" si="81"/>
        <v>0</v>
      </c>
      <c r="AE209" s="5">
        <f t="shared" si="81"/>
        <v>-25.825124780616203</v>
      </c>
      <c r="AF209" s="5">
        <f t="shared" si="69"/>
        <v>-18.98754429779094</v>
      </c>
      <c r="AG209">
        <f t="shared" si="80"/>
        <v>0</v>
      </c>
    </row>
    <row r="210" spans="1:33" x14ac:dyDescent="0.2">
      <c r="A210">
        <f t="shared" si="70"/>
        <v>1.7800000000000014</v>
      </c>
      <c r="B210" s="5">
        <f t="shared" si="71"/>
        <v>0</v>
      </c>
      <c r="C210" s="5">
        <f t="shared" si="72"/>
        <v>344.66863908434198</v>
      </c>
      <c r="D210" s="5">
        <f t="shared" si="73"/>
        <v>53.850777479087924</v>
      </c>
      <c r="E210" s="2">
        <f t="shared" si="55"/>
        <v>114.88954636144733</v>
      </c>
      <c r="F210" s="2">
        <f t="shared" si="74"/>
        <v>0</v>
      </c>
      <c r="G210" s="3">
        <f t="shared" si="75"/>
        <v>0</v>
      </c>
      <c r="H210" s="3">
        <f t="shared" si="76"/>
        <v>164.552080530251</v>
      </c>
      <c r="I210" s="3">
        <f t="shared" si="77"/>
        <v>14.269006684768893</v>
      </c>
      <c r="J210" s="2">
        <f t="shared" si="56"/>
        <v>165.16958484722358</v>
      </c>
      <c r="K210" s="2">
        <f t="shared" si="78"/>
        <v>112.59003738733713</v>
      </c>
      <c r="L210" s="5">
        <f t="shared" si="57"/>
        <v>21.18682634257328</v>
      </c>
      <c r="M210" s="3">
        <f t="shared" si="58"/>
        <v>20.21570220685204</v>
      </c>
      <c r="N210" s="2">
        <v>0</v>
      </c>
      <c r="O210" s="2">
        <f t="shared" si="59"/>
        <v>165.16958484722358</v>
      </c>
      <c r="P210" s="2">
        <f t="shared" si="60"/>
        <v>112.59003738733713</v>
      </c>
      <c r="Q210" s="5">
        <f t="shared" si="61"/>
        <v>1.3920445813253766</v>
      </c>
      <c r="R210" s="5">
        <f t="shared" si="62"/>
        <v>0.15802620425528108</v>
      </c>
      <c r="S210" s="4">
        <f t="shared" si="79"/>
        <v>0.12239361275594958</v>
      </c>
      <c r="T210" s="5">
        <f t="shared" si="63"/>
        <v>9.9018195108611567E-2</v>
      </c>
      <c r="U210" s="4">
        <f t="shared" si="64"/>
        <v>0</v>
      </c>
      <c r="V210" s="4">
        <f t="shared" si="65"/>
        <v>0</v>
      </c>
      <c r="W210" s="5">
        <f t="shared" si="66"/>
        <v>0</v>
      </c>
      <c r="X210" s="5">
        <f t="shared" si="67"/>
        <v>-24.406269464933629</v>
      </c>
      <c r="Y210" s="5">
        <f t="shared" si="68"/>
        <v>-2.1163708232870779</v>
      </c>
      <c r="Z210" s="5">
        <f>1</f>
        <v>1</v>
      </c>
      <c r="AA210" s="5">
        <f>IF(M210=0,0,const*($T210/omega)*O210*(wy*I210-wz*(H210-V210))/Z210)</f>
        <v>0</v>
      </c>
      <c r="AB210" s="5">
        <f>IF(M210=0,0,const*($T210/omega)*O210*(wz*(G210-U210)-wx*I210)/Z210)</f>
        <v>-1.3261042375217937</v>
      </c>
      <c r="AC210" s="5">
        <f>IF(M210=0,0,const*($T210/omega)*O210*(wx*(H210-V210)-wy*(G210-U210))/Z210)</f>
        <v>15.292810221829928</v>
      </c>
      <c r="AD210" s="5">
        <f t="shared" si="81"/>
        <v>0</v>
      </c>
      <c r="AE210" s="5">
        <f t="shared" si="81"/>
        <v>-25.732373702455423</v>
      </c>
      <c r="AF210" s="5">
        <f t="shared" si="69"/>
        <v>-18.997560601457149</v>
      </c>
      <c r="AG210">
        <f t="shared" si="80"/>
        <v>0</v>
      </c>
    </row>
    <row r="211" spans="1:33" x14ac:dyDescent="0.2">
      <c r="A211">
        <f t="shared" si="70"/>
        <v>1.7900000000000014</v>
      </c>
      <c r="B211" s="5">
        <f t="shared" si="71"/>
        <v>0</v>
      </c>
      <c r="C211" s="5">
        <f t="shared" si="72"/>
        <v>346.31287327095936</v>
      </c>
      <c r="D211" s="5">
        <f t="shared" si="73"/>
        <v>53.992517667905545</v>
      </c>
      <c r="E211" s="2">
        <f t="shared" si="55"/>
        <v>115.43762442365312</v>
      </c>
      <c r="F211" s="2">
        <f t="shared" si="74"/>
        <v>0</v>
      </c>
      <c r="G211" s="3">
        <f t="shared" si="75"/>
        <v>0</v>
      </c>
      <c r="H211" s="3">
        <f t="shared" si="76"/>
        <v>164.29475679322644</v>
      </c>
      <c r="I211" s="3">
        <f t="shared" si="77"/>
        <v>14.079031078754321</v>
      </c>
      <c r="J211" s="2">
        <f t="shared" si="56"/>
        <v>164.89689574355836</v>
      </c>
      <c r="K211" s="2">
        <f t="shared" si="78"/>
        <v>112.40415524441606</v>
      </c>
      <c r="L211" s="5">
        <f t="shared" si="57"/>
        <v>21.221862882580993</v>
      </c>
      <c r="M211" s="3">
        <f t="shared" si="58"/>
        <v>20.208981456362352</v>
      </c>
      <c r="N211" s="2">
        <v>0</v>
      </c>
      <c r="O211" s="2">
        <f t="shared" si="59"/>
        <v>164.89689574355836</v>
      </c>
      <c r="P211" s="2">
        <f t="shared" si="60"/>
        <v>112.40415524441606</v>
      </c>
      <c r="Q211" s="5">
        <f t="shared" si="61"/>
        <v>1.3897463652858151</v>
      </c>
      <c r="R211" s="5">
        <f t="shared" si="62"/>
        <v>0.1580599429480809</v>
      </c>
      <c r="S211" s="4">
        <f t="shared" si="79"/>
        <v>0.12255525712133855</v>
      </c>
      <c r="T211" s="5">
        <f t="shared" si="63"/>
        <v>9.9070483445611882E-2</v>
      </c>
      <c r="U211" s="4">
        <f t="shared" si="64"/>
        <v>0</v>
      </c>
      <c r="V211" s="4">
        <f t="shared" si="65"/>
        <v>0</v>
      </c>
      <c r="W211" s="5">
        <f t="shared" si="66"/>
        <v>0</v>
      </c>
      <c r="X211" s="5">
        <f t="shared" si="67"/>
        <v>-24.333066501888201</v>
      </c>
      <c r="Y211" s="5">
        <f t="shared" si="68"/>
        <v>-2.0851913122987975</v>
      </c>
      <c r="Z211" s="5">
        <f>1</f>
        <v>1</v>
      </c>
      <c r="AA211" s="5">
        <f>IF(M211=0,0,const*($T211/omega)*O211*(wy*I211-wz*(H211-V211))/Z211)</f>
        <v>0</v>
      </c>
      <c r="AB211" s="5">
        <f>IF(M211=0,0,const*($T211/omega)*O211*(wz*(G211-U211)-wx*I211)/Z211)</f>
        <v>-1.3069782737672435</v>
      </c>
      <c r="AC211" s="5">
        <f>IF(M211=0,0,const*($T211/omega)*O211*(wx*(H211-V211)-wy*(G211-U211))/Z211)</f>
        <v>15.251736885974609</v>
      </c>
      <c r="AD211" s="5">
        <f t="shared" si="81"/>
        <v>0</v>
      </c>
      <c r="AE211" s="5">
        <f t="shared" si="81"/>
        <v>-25.640044775655443</v>
      </c>
      <c r="AF211" s="5">
        <f t="shared" si="69"/>
        <v>-19.007454426324188</v>
      </c>
      <c r="AG211">
        <f t="shared" si="80"/>
        <v>0</v>
      </c>
    </row>
    <row r="212" spans="1:33" x14ac:dyDescent="0.2">
      <c r="A212">
        <f t="shared" si="70"/>
        <v>1.8000000000000014</v>
      </c>
      <c r="B212" s="5">
        <f t="shared" si="71"/>
        <v>0</v>
      </c>
      <c r="C212" s="5">
        <f t="shared" si="72"/>
        <v>347.95453883665283</v>
      </c>
      <c r="D212" s="5">
        <f t="shared" si="73"/>
        <v>54.132357605971777</v>
      </c>
      <c r="E212" s="2">
        <f t="shared" si="55"/>
        <v>115.98484627888428</v>
      </c>
      <c r="F212" s="2">
        <f t="shared" si="74"/>
        <v>0</v>
      </c>
      <c r="G212" s="3">
        <f t="shared" si="75"/>
        <v>0</v>
      </c>
      <c r="H212" s="3">
        <f t="shared" si="76"/>
        <v>164.03835634546988</v>
      </c>
      <c r="I212" s="3">
        <f t="shared" si="77"/>
        <v>13.888956534491079</v>
      </c>
      <c r="J212" s="2">
        <f t="shared" si="56"/>
        <v>164.62528805180673</v>
      </c>
      <c r="K212" s="2">
        <f t="shared" si="78"/>
        <v>112.21901026026362</v>
      </c>
      <c r="L212" s="5">
        <f t="shared" si="57"/>
        <v>21.25687585817192</v>
      </c>
      <c r="M212" s="3">
        <f t="shared" si="58"/>
        <v>20.202283187625373</v>
      </c>
      <c r="N212" s="2">
        <v>0</v>
      </c>
      <c r="O212" s="2">
        <f t="shared" si="59"/>
        <v>164.62528805180673</v>
      </c>
      <c r="P212" s="2">
        <f t="shared" si="60"/>
        <v>112.21901026026362</v>
      </c>
      <c r="Q212" s="5">
        <f t="shared" si="61"/>
        <v>1.3874572633552211</v>
      </c>
      <c r="R212" s="5">
        <f t="shared" si="62"/>
        <v>0.1580936536611835</v>
      </c>
      <c r="S212" s="4">
        <f t="shared" si="79"/>
        <v>0.12271676743410051</v>
      </c>
      <c r="T212" s="5">
        <f t="shared" si="63"/>
        <v>9.9122687107905366E-2</v>
      </c>
      <c r="U212" s="4">
        <f t="shared" si="64"/>
        <v>0</v>
      </c>
      <c r="V212" s="4">
        <f t="shared" si="65"/>
        <v>0</v>
      </c>
      <c r="W212" s="5">
        <f t="shared" si="66"/>
        <v>0</v>
      </c>
      <c r="X212" s="5">
        <f t="shared" si="67"/>
        <v>-24.260247756920982</v>
      </c>
      <c r="Y212" s="5">
        <f t="shared" si="68"/>
        <v>-2.0540898733600699</v>
      </c>
      <c r="Z212" s="5">
        <f>1</f>
        <v>1</v>
      </c>
      <c r="AA212" s="5">
        <f>IF(M212=0,0,const*($T212/omega)*O212*(wy*I212-wz*(H212-V212))/Z212)</f>
        <v>0</v>
      </c>
      <c r="AB212" s="5">
        <f>IF(M212=0,0,const*($T212/omega)*O212*(wz*(G212-U212)-wx*I212)/Z212)</f>
        <v>-1.287887926513134</v>
      </c>
      <c r="AC212" s="5">
        <f>IF(M212=0,0,const*($T212/omega)*O212*(wx*(H212-V212)-wy*(G212-U212))/Z212)</f>
        <v>15.210863256555717</v>
      </c>
      <c r="AD212" s="5">
        <f t="shared" si="81"/>
        <v>0</v>
      </c>
      <c r="AE212" s="5">
        <f t="shared" si="81"/>
        <v>-25.548135683434115</v>
      </c>
      <c r="AF212" s="5">
        <f t="shared" si="69"/>
        <v>-19.017226616804351</v>
      </c>
      <c r="AG212">
        <f t="shared" si="80"/>
        <v>0</v>
      </c>
    </row>
    <row r="213" spans="1:33" x14ac:dyDescent="0.2">
      <c r="A213">
        <f t="shared" si="70"/>
        <v>1.8100000000000014</v>
      </c>
      <c r="B213" s="5">
        <f t="shared" si="71"/>
        <v>0</v>
      </c>
      <c r="C213" s="5">
        <f t="shared" si="72"/>
        <v>349.59364499332332</v>
      </c>
      <c r="D213" s="5">
        <f t="shared" si="73"/>
        <v>54.270296309985845</v>
      </c>
      <c r="E213" s="2">
        <f t="shared" si="55"/>
        <v>116.53121499777444</v>
      </c>
      <c r="F213" s="2">
        <f t="shared" si="74"/>
        <v>0</v>
      </c>
      <c r="G213" s="3">
        <f t="shared" si="75"/>
        <v>0</v>
      </c>
      <c r="H213" s="3">
        <f t="shared" si="76"/>
        <v>163.78287498863554</v>
      </c>
      <c r="I213" s="3">
        <f t="shared" si="77"/>
        <v>13.698784268323037</v>
      </c>
      <c r="J213" s="2">
        <f t="shared" si="56"/>
        <v>164.35475907308881</v>
      </c>
      <c r="K213" s="2">
        <f t="shared" si="78"/>
        <v>112.03460059515255</v>
      </c>
      <c r="L213" s="5">
        <f t="shared" si="57"/>
        <v>21.291864811026567</v>
      </c>
      <c r="M213" s="3">
        <f t="shared" si="58"/>
        <v>20.195607220727982</v>
      </c>
      <c r="N213" s="2">
        <v>0</v>
      </c>
      <c r="O213" s="2">
        <f t="shared" si="59"/>
        <v>164.35475907308881</v>
      </c>
      <c r="P213" s="2">
        <f t="shared" si="60"/>
        <v>112.03460059515255</v>
      </c>
      <c r="Q213" s="5">
        <f t="shared" si="61"/>
        <v>1.3851772527875121</v>
      </c>
      <c r="R213" s="5">
        <f t="shared" si="62"/>
        <v>0.15812733578312685</v>
      </c>
      <c r="S213" s="4">
        <f t="shared" si="79"/>
        <v>0.12287814076467944</v>
      </c>
      <c r="T213" s="5">
        <f t="shared" si="63"/>
        <v>9.9174805339353661E-2</v>
      </c>
      <c r="U213" s="4">
        <f t="shared" si="64"/>
        <v>0</v>
      </c>
      <c r="V213" s="4">
        <f t="shared" si="65"/>
        <v>0</v>
      </c>
      <c r="W213" s="5">
        <f t="shared" si="66"/>
        <v>0</v>
      </c>
      <c r="X213" s="5">
        <f t="shared" si="67"/>
        <v>-24.187811007210851</v>
      </c>
      <c r="Y213" s="5">
        <f t="shared" si="68"/>
        <v>-2.0230662389687679</v>
      </c>
      <c r="Z213" s="5">
        <f>1</f>
        <v>1</v>
      </c>
      <c r="AA213" s="5">
        <f>IF(M213=0,0,const*($T213/omega)*O213*(wy*I213-wz*(H213-V213))/Z213)</f>
        <v>0</v>
      </c>
      <c r="AB213" s="5">
        <f>IF(M213=0,0,const*($T213/omega)*O213*(wz*(G213-U213)-wx*I213)/Z213)</f>
        <v>-1.2688331175927843</v>
      </c>
      <c r="AC213" s="5">
        <f>IF(M213=0,0,const*($T213/omega)*O213*(wx*(H213-V213)-wy*(G213-U213))/Z213)</f>
        <v>15.170188230548689</v>
      </c>
      <c r="AD213" s="5">
        <f t="shared" si="81"/>
        <v>0</v>
      </c>
      <c r="AE213" s="5">
        <f t="shared" si="81"/>
        <v>-25.456644124803635</v>
      </c>
      <c r="AF213" s="5">
        <f t="shared" si="69"/>
        <v>-19.026878008420077</v>
      </c>
      <c r="AG213">
        <f t="shared" si="80"/>
        <v>0</v>
      </c>
    </row>
    <row r="214" spans="1:33" x14ac:dyDescent="0.2">
      <c r="A214">
        <f t="shared" si="70"/>
        <v>1.8200000000000014</v>
      </c>
      <c r="B214" s="5">
        <f t="shared" si="71"/>
        <v>0</v>
      </c>
      <c r="C214" s="5">
        <f t="shared" si="72"/>
        <v>351.23020091100341</v>
      </c>
      <c r="D214" s="5">
        <f t="shared" si="73"/>
        <v>54.40633280876866</v>
      </c>
      <c r="E214" s="2">
        <f t="shared" si="55"/>
        <v>117.07673363700114</v>
      </c>
      <c r="F214" s="2">
        <f t="shared" si="74"/>
        <v>0</v>
      </c>
      <c r="G214" s="3">
        <f t="shared" si="75"/>
        <v>0</v>
      </c>
      <c r="H214" s="3">
        <f t="shared" si="76"/>
        <v>163.5283085473875</v>
      </c>
      <c r="I214" s="3">
        <f t="shared" si="77"/>
        <v>13.508515488238835</v>
      </c>
      <c r="J214" s="2">
        <f t="shared" si="56"/>
        <v>164.08530612783568</v>
      </c>
      <c r="K214" s="2">
        <f t="shared" si="78"/>
        <v>111.8509244225192</v>
      </c>
      <c r="L214" s="5">
        <f t="shared" si="57"/>
        <v>21.326829280537279</v>
      </c>
      <c r="M214" s="3">
        <f t="shared" si="58"/>
        <v>20.188953376461129</v>
      </c>
      <c r="N214" s="2">
        <v>0</v>
      </c>
      <c r="O214" s="2">
        <f t="shared" si="59"/>
        <v>164.08530612783568</v>
      </c>
      <c r="P214" s="2">
        <f t="shared" si="60"/>
        <v>111.8509244225192</v>
      </c>
      <c r="Q214" s="5">
        <f t="shared" si="61"/>
        <v>1.3829063109993569</v>
      </c>
      <c r="R214" s="5">
        <f t="shared" si="62"/>
        <v>0.15816098869962633</v>
      </c>
      <c r="S214" s="4">
        <f t="shared" si="79"/>
        <v>0.12303937416999611</v>
      </c>
      <c r="T214" s="5">
        <f t="shared" si="63"/>
        <v>9.9226837381618027E-2</v>
      </c>
      <c r="U214" s="4">
        <f t="shared" si="64"/>
        <v>0</v>
      </c>
      <c r="V214" s="4">
        <f t="shared" si="65"/>
        <v>0</v>
      </c>
      <c r="W214" s="5">
        <f t="shared" si="66"/>
        <v>0</v>
      </c>
      <c r="X214" s="5">
        <f t="shared" si="67"/>
        <v>-24.115754046326561</v>
      </c>
      <c r="Y214" s="5">
        <f t="shared" si="68"/>
        <v>-1.9921201407825919</v>
      </c>
      <c r="Z214" s="5">
        <f>1</f>
        <v>1</v>
      </c>
      <c r="AA214" s="5">
        <f>IF(M214=0,0,const*($T214/omega)*O214*(wy*I214-wz*(H214-V214))/Z214)</f>
        <v>0</v>
      </c>
      <c r="AB214" s="5">
        <f>IF(M214=0,0,const*($T214/omega)*O214*(wz*(G214-U214)-wx*I214)/Z214)</f>
        <v>-1.2498137681061883</v>
      </c>
      <c r="AC214" s="5">
        <f>IF(M214=0,0,const*($T214/omega)*O214*(wx*(H214-V214)-wy*(G214-U214))/Z214)</f>
        <v>15.129710712889569</v>
      </c>
      <c r="AD214" s="5">
        <f t="shared" si="81"/>
        <v>0</v>
      </c>
      <c r="AE214" s="5">
        <f t="shared" si="81"/>
        <v>-25.365567814432751</v>
      </c>
      <c r="AF214" s="5">
        <f t="shared" si="69"/>
        <v>-19.036409427893023</v>
      </c>
      <c r="AG214">
        <f t="shared" si="80"/>
        <v>0</v>
      </c>
    </row>
    <row r="215" spans="1:33" x14ac:dyDescent="0.2">
      <c r="A215">
        <f t="shared" si="70"/>
        <v>1.8300000000000014</v>
      </c>
      <c r="B215" s="5">
        <f t="shared" si="71"/>
        <v>0</v>
      </c>
      <c r="C215" s="5">
        <f t="shared" si="72"/>
        <v>352.86421571808654</v>
      </c>
      <c r="D215" s="5">
        <f t="shared" si="73"/>
        <v>54.540466143179657</v>
      </c>
      <c r="E215" s="2">
        <f t="shared" si="55"/>
        <v>117.62140523936218</v>
      </c>
      <c r="F215" s="2">
        <f t="shared" si="74"/>
        <v>0</v>
      </c>
      <c r="G215" s="3">
        <f t="shared" si="75"/>
        <v>0</v>
      </c>
      <c r="H215" s="3">
        <f t="shared" si="76"/>
        <v>163.27465286924317</v>
      </c>
      <c r="I215" s="3">
        <f t="shared" si="77"/>
        <v>13.318151393959905</v>
      </c>
      <c r="J215" s="2">
        <f t="shared" si="56"/>
        <v>163.81692655560443</v>
      </c>
      <c r="K215" s="2">
        <f t="shared" si="78"/>
        <v>111.66797992883737</v>
      </c>
      <c r="L215" s="5">
        <f t="shared" si="57"/>
        <v>21.361768803819182</v>
      </c>
      <c r="M215" s="3">
        <f t="shared" si="58"/>
        <v>20.182321476313671</v>
      </c>
      <c r="N215" s="2">
        <v>0</v>
      </c>
      <c r="O215" s="2">
        <f t="shared" si="59"/>
        <v>163.81692655560443</v>
      </c>
      <c r="P215" s="2">
        <f t="shared" si="60"/>
        <v>111.66797992883737</v>
      </c>
      <c r="Q215" s="5">
        <f t="shared" si="61"/>
        <v>1.3806444155686184</v>
      </c>
      <c r="R215" s="5">
        <f t="shared" si="62"/>
        <v>0.15819461179358846</v>
      </c>
      <c r="S215" s="4">
        <f t="shared" si="79"/>
        <v>0.12320046469351371</v>
      </c>
      <c r="T215" s="5">
        <f t="shared" si="63"/>
        <v>9.9278782474180385E-2</v>
      </c>
      <c r="U215" s="4">
        <f t="shared" si="64"/>
        <v>0</v>
      </c>
      <c r="V215" s="4">
        <f t="shared" si="65"/>
        <v>0</v>
      </c>
      <c r="W215" s="5">
        <f t="shared" si="66"/>
        <v>0</v>
      </c>
      <c r="X215" s="5">
        <f t="shared" si="67"/>
        <v>-24.044074684080417</v>
      </c>
      <c r="Y215" s="5">
        <f t="shared" si="68"/>
        <v>-1.9612513096365831</v>
      </c>
      <c r="Z215" s="5">
        <f>1</f>
        <v>1</v>
      </c>
      <c r="AA215" s="5">
        <f>IF(M215=0,0,const*($T215/omega)*O215*(wy*I215-wz*(H215-V215))/Z215)</f>
        <v>0</v>
      </c>
      <c r="AB215" s="5">
        <f>IF(M215=0,0,const*($T215/omega)*O215*(wz*(G215-U215)-wx*I215)/Z215)</f>
        <v>-1.2308297984299819</v>
      </c>
      <c r="AC215" s="5">
        <f>IF(M215=0,0,const*($T215/omega)*O215*(wx*(H215-V215)-wy*(G215-U215))/Z215)</f>
        <v>15.089429616404377</v>
      </c>
      <c r="AD215" s="5">
        <f t="shared" si="81"/>
        <v>0</v>
      </c>
      <c r="AE215" s="5">
        <f t="shared" si="81"/>
        <v>-25.274904482510401</v>
      </c>
      <c r="AF215" s="5">
        <f t="shared" si="69"/>
        <v>-19.045821693232206</v>
      </c>
      <c r="AG215">
        <f t="shared" si="80"/>
        <v>0</v>
      </c>
    </row>
    <row r="216" spans="1:33" x14ac:dyDescent="0.2">
      <c r="A216">
        <f t="shared" si="70"/>
        <v>1.8400000000000014</v>
      </c>
      <c r="B216" s="5">
        <f t="shared" si="71"/>
        <v>0</v>
      </c>
      <c r="C216" s="5">
        <f t="shared" si="72"/>
        <v>354.49569850155484</v>
      </c>
      <c r="D216" s="5">
        <f t="shared" si="73"/>
        <v>54.672695366034596</v>
      </c>
      <c r="E216" s="2">
        <f t="shared" si="55"/>
        <v>118.16523283385162</v>
      </c>
      <c r="F216" s="2">
        <f t="shared" si="74"/>
        <v>0</v>
      </c>
      <c r="G216" s="3">
        <f t="shared" si="75"/>
        <v>0</v>
      </c>
      <c r="H216" s="3">
        <f t="shared" si="76"/>
        <v>163.02190382441808</v>
      </c>
      <c r="I216" s="3">
        <f t="shared" si="77"/>
        <v>13.127693177027583</v>
      </c>
      <c r="J216" s="2">
        <f t="shared" si="56"/>
        <v>163.54961771489408</v>
      </c>
      <c r="K216" s="2">
        <f t="shared" si="78"/>
        <v>111.48576531349289</v>
      </c>
      <c r="L216" s="5">
        <f t="shared" si="57"/>
        <v>21.396682915721453</v>
      </c>
      <c r="M216" s="3">
        <f t="shared" si="58"/>
        <v>20.175711342466304</v>
      </c>
      <c r="N216" s="2">
        <v>0</v>
      </c>
      <c r="O216" s="2">
        <f t="shared" si="59"/>
        <v>163.54961771489408</v>
      </c>
      <c r="P216" s="2">
        <f t="shared" si="60"/>
        <v>111.48576531349289</v>
      </c>
      <c r="Q216" s="5">
        <f t="shared" si="61"/>
        <v>1.3783915442328007</v>
      </c>
      <c r="R216" s="5">
        <f t="shared" si="62"/>
        <v>0.15822820444512498</v>
      </c>
      <c r="S216" s="4">
        <f t="shared" si="79"/>
        <v>0.12336140936530571</v>
      </c>
      <c r="T216" s="5">
        <f t="shared" si="63"/>
        <v>9.9330639854364716E-2</v>
      </c>
      <c r="U216" s="4">
        <f t="shared" si="64"/>
        <v>0</v>
      </c>
      <c r="V216" s="4">
        <f t="shared" si="65"/>
        <v>0</v>
      </c>
      <c r="W216" s="5">
        <f t="shared" si="66"/>
        <v>0</v>
      </c>
      <c r="X216" s="5">
        <f t="shared" si="67"/>
        <v>-23.97277074638329</v>
      </c>
      <c r="Y216" s="5">
        <f t="shared" si="68"/>
        <v>-1.9304594755603894</v>
      </c>
      <c r="Z216" s="5">
        <f>1</f>
        <v>1</v>
      </c>
      <c r="AA216" s="5">
        <f>IF(M216=0,0,const*($T216/omega)*O216*(wy*I216-wz*(H216-V216))/Z216)</f>
        <v>0</v>
      </c>
      <c r="AB216" s="5">
        <f>IF(M216=0,0,const*($T216/omega)*O216*(wz*(G216-U216)-wx*I216)/Z216)</f>
        <v>-1.2118811282272803</v>
      </c>
      <c r="AC216" s="5">
        <f>IF(M216=0,0,const*($T216/omega)*O216*(wx*(H216-V216)-wy*(G216-U216))/Z216)</f>
        <v>15.04934386173915</v>
      </c>
      <c r="AD216" s="5">
        <f t="shared" si="81"/>
        <v>0</v>
      </c>
      <c r="AE216" s="5">
        <f t="shared" si="81"/>
        <v>-25.184651874610569</v>
      </c>
      <c r="AF216" s="5">
        <f t="shared" si="69"/>
        <v>-19.05511561382124</v>
      </c>
      <c r="AG216">
        <f t="shared" si="80"/>
        <v>0</v>
      </c>
    </row>
    <row r="217" spans="1:33" x14ac:dyDescent="0.2">
      <c r="A217">
        <f t="shared" si="70"/>
        <v>1.8500000000000014</v>
      </c>
      <c r="B217" s="5">
        <f t="shared" si="71"/>
        <v>0</v>
      </c>
      <c r="C217" s="5">
        <f t="shared" si="72"/>
        <v>356.12465830720532</v>
      </c>
      <c r="D217" s="5">
        <f t="shared" si="73"/>
        <v>54.803019542024181</v>
      </c>
      <c r="E217" s="2">
        <f t="shared" si="55"/>
        <v>118.7082194357351</v>
      </c>
      <c r="F217" s="2">
        <f t="shared" si="74"/>
        <v>0</v>
      </c>
      <c r="G217" s="3">
        <f t="shared" si="75"/>
        <v>0</v>
      </c>
      <c r="H217" s="3">
        <f t="shared" si="76"/>
        <v>162.77005730567197</v>
      </c>
      <c r="I217" s="3">
        <f t="shared" si="77"/>
        <v>12.93714202088937</v>
      </c>
      <c r="J217" s="2">
        <f t="shared" si="56"/>
        <v>163.28337698296295</v>
      </c>
      <c r="K217" s="2">
        <f t="shared" si="78"/>
        <v>111.30427878865913</v>
      </c>
      <c r="L217" s="5">
        <f t="shared" si="57"/>
        <v>21.431571148838863</v>
      </c>
      <c r="M217" s="3">
        <f t="shared" si="58"/>
        <v>20.169122797785541</v>
      </c>
      <c r="N217" s="2">
        <v>0</v>
      </c>
      <c r="O217" s="2">
        <f t="shared" si="59"/>
        <v>163.28337698296295</v>
      </c>
      <c r="P217" s="2">
        <f t="shared" si="60"/>
        <v>111.30427878865913</v>
      </c>
      <c r="Q217" s="5">
        <f t="shared" si="61"/>
        <v>1.3761476748875117</v>
      </c>
      <c r="R217" s="5">
        <f t="shared" si="62"/>
        <v>0.1582617660315675</v>
      </c>
      <c r="S217" s="4">
        <f t="shared" si="79"/>
        <v>0.12352220520212535</v>
      </c>
      <c r="T217" s="5">
        <f t="shared" si="63"/>
        <v>9.9382408757359098E-2</v>
      </c>
      <c r="U217" s="4">
        <f t="shared" si="64"/>
        <v>0</v>
      </c>
      <c r="V217" s="4">
        <f t="shared" si="65"/>
        <v>0</v>
      </c>
      <c r="W217" s="5">
        <f t="shared" si="66"/>
        <v>0</v>
      </c>
      <c r="X217" s="5">
        <f t="shared" si="67"/>
        <v>-23.901840075101173</v>
      </c>
      <c r="Y217" s="5">
        <f t="shared" si="68"/>
        <v>-1.8997443677953021</v>
      </c>
      <c r="Z217" s="5">
        <f>1</f>
        <v>1</v>
      </c>
      <c r="AA217" s="5">
        <f>IF(M217=0,0,const*($T217/omega)*O217*(wy*I217-wz*(H217-V217))/Z217)</f>
        <v>0</v>
      </c>
      <c r="AB217" s="5">
        <f>IF(M217=0,0,const*($T217/omega)*O217*(wz*(G217-U217)-wx*I217)/Z217)</f>
        <v>-1.192967676457398</v>
      </c>
      <c r="AC217" s="5">
        <f>IF(M217=0,0,const*($T217/omega)*O217*(wx*(H217-V217)-wy*(G217-U217))/Z217)</f>
        <v>15.009452377290671</v>
      </c>
      <c r="AD217" s="5">
        <f t="shared" si="81"/>
        <v>0</v>
      </c>
      <c r="AE217" s="5">
        <f t="shared" si="81"/>
        <v>-25.094807751558569</v>
      </c>
      <c r="AF217" s="5">
        <f t="shared" si="69"/>
        <v>-19.064291990504628</v>
      </c>
      <c r="AG217">
        <f t="shared" si="80"/>
        <v>0</v>
      </c>
    </row>
    <row r="218" spans="1:33" x14ac:dyDescent="0.2">
      <c r="A218">
        <f t="shared" si="70"/>
        <v>1.8600000000000014</v>
      </c>
      <c r="B218" s="5">
        <f t="shared" si="71"/>
        <v>0</v>
      </c>
      <c r="C218" s="5">
        <f t="shared" si="72"/>
        <v>357.75110413987443</v>
      </c>
      <c r="D218" s="5">
        <f t="shared" si="73"/>
        <v>54.931437747633545</v>
      </c>
      <c r="E218" s="2">
        <f t="shared" si="55"/>
        <v>119.25036804662481</v>
      </c>
      <c r="F218" s="2">
        <f t="shared" si="74"/>
        <v>0</v>
      </c>
      <c r="G218" s="3">
        <f t="shared" si="75"/>
        <v>0</v>
      </c>
      <c r="H218" s="3">
        <f t="shared" si="76"/>
        <v>162.5191092281564</v>
      </c>
      <c r="I218" s="3">
        <f t="shared" si="77"/>
        <v>12.746499100984323</v>
      </c>
      <c r="J218" s="2">
        <f t="shared" si="56"/>
        <v>163.01820175564697</v>
      </c>
      <c r="K218" s="2">
        <f t="shared" si="78"/>
        <v>111.12351857917312</v>
      </c>
      <c r="L218" s="5">
        <f t="shared" si="57"/>
        <v>21.466433033523682</v>
      </c>
      <c r="M218" s="3">
        <f t="shared" si="58"/>
        <v>20.162555665817823</v>
      </c>
      <c r="N218" s="2">
        <v>0</v>
      </c>
      <c r="O218" s="2">
        <f t="shared" si="59"/>
        <v>163.01820175564697</v>
      </c>
      <c r="P218" s="2">
        <f t="shared" si="60"/>
        <v>111.12351857917312</v>
      </c>
      <c r="Q218" s="5">
        <f t="shared" si="61"/>
        <v>1.37391278558493</v>
      </c>
      <c r="R218" s="5">
        <f t="shared" si="62"/>
        <v>0.15829529592748232</v>
      </c>
      <c r="S218" s="4">
        <f t="shared" si="79"/>
        <v>0.12368284920747748</v>
      </c>
      <c r="T218" s="5">
        <f t="shared" si="63"/>
        <v>9.9434088416237951E-2</v>
      </c>
      <c r="U218" s="4">
        <f t="shared" si="64"/>
        <v>0</v>
      </c>
      <c r="V218" s="4">
        <f t="shared" si="65"/>
        <v>0</v>
      </c>
      <c r="W218" s="5">
        <f t="shared" si="66"/>
        <v>0</v>
      </c>
      <c r="X218" s="5">
        <f t="shared" si="67"/>
        <v>-23.831280527913098</v>
      </c>
      <c r="Y218" s="5">
        <f t="shared" si="68"/>
        <v>-1.869105714811057</v>
      </c>
      <c r="Z218" s="5">
        <f>1</f>
        <v>1</v>
      </c>
      <c r="AA218" s="5">
        <f>IF(M218=0,0,const*($T218/omega)*O218*(wy*I218-wz*(H218-V218))/Z218)</f>
        <v>0</v>
      </c>
      <c r="AB218" s="5">
        <f>IF(M218=0,0,const*($T218/omega)*O218*(wz*(G218-U218)-wx*I218)/Z218)</f>
        <v>-1.1740893613854486</v>
      </c>
      <c r="AC218" s="5">
        <f>IF(M218=0,0,const*($T218/omega)*O218*(wx*(H218-V218)-wy*(G218-U218))/Z218)</f>
        <v>14.969754099137937</v>
      </c>
      <c r="AD218" s="5">
        <f t="shared" si="81"/>
        <v>0</v>
      </c>
      <c r="AE218" s="5">
        <f t="shared" si="81"/>
        <v>-25.005369889298546</v>
      </c>
      <c r="AF218" s="5">
        <f t="shared" si="69"/>
        <v>-19.073351615673118</v>
      </c>
      <c r="AG218">
        <f t="shared" si="80"/>
        <v>0</v>
      </c>
    </row>
    <row r="219" spans="1:33" x14ac:dyDescent="0.2">
      <c r="A219">
        <f t="shared" si="70"/>
        <v>1.8700000000000014</v>
      </c>
      <c r="B219" s="5">
        <f t="shared" si="71"/>
        <v>0</v>
      </c>
      <c r="C219" s="5">
        <f t="shared" si="72"/>
        <v>359.37504496366154</v>
      </c>
      <c r="D219" s="5">
        <f t="shared" si="73"/>
        <v>55.057949071062609</v>
      </c>
      <c r="E219" s="2">
        <f t="shared" si="55"/>
        <v>119.79168165455384</v>
      </c>
      <c r="F219" s="2">
        <f t="shared" si="74"/>
        <v>0</v>
      </c>
      <c r="G219" s="3">
        <f t="shared" si="75"/>
        <v>0</v>
      </c>
      <c r="H219" s="3">
        <f t="shared" si="76"/>
        <v>162.2690555292634</v>
      </c>
      <c r="I219" s="3">
        <f t="shared" si="77"/>
        <v>12.555765584827592</v>
      </c>
      <c r="J219" s="2">
        <f t="shared" si="56"/>
        <v>162.7540894471789</v>
      </c>
      <c r="K219" s="2">
        <f t="shared" si="78"/>
        <v>110.94348292241233</v>
      </c>
      <c r="L219" s="5">
        <f t="shared" si="57"/>
        <v>21.501268097897899</v>
      </c>
      <c r="M219" s="3">
        <f t="shared" si="58"/>
        <v>20.156009770783673</v>
      </c>
      <c r="N219" s="2">
        <v>0</v>
      </c>
      <c r="O219" s="2">
        <f t="shared" si="59"/>
        <v>162.7540894471789</v>
      </c>
      <c r="P219" s="2">
        <f t="shared" si="60"/>
        <v>110.94348292241233</v>
      </c>
      <c r="Q219" s="5">
        <f t="shared" si="61"/>
        <v>1.3716868545322822</v>
      </c>
      <c r="R219" s="5">
        <f t="shared" si="62"/>
        <v>0.15832879350468593</v>
      </c>
      <c r="S219" s="4">
        <f t="shared" si="79"/>
        <v>0.12384333837169242</v>
      </c>
      <c r="T219" s="5">
        <f t="shared" si="63"/>
        <v>9.94856780619848E-2</v>
      </c>
      <c r="U219" s="4">
        <f t="shared" si="64"/>
        <v>0</v>
      </c>
      <c r="V219" s="4">
        <f t="shared" si="65"/>
        <v>0</v>
      </c>
      <c r="W219" s="5">
        <f t="shared" si="66"/>
        <v>0</v>
      </c>
      <c r="X219" s="5">
        <f t="shared" si="67"/>
        <v>-23.761089978170496</v>
      </c>
      <c r="Y219" s="5">
        <f t="shared" si="68"/>
        <v>-1.8385432443224079</v>
      </c>
      <c r="Z219" s="5">
        <f>1</f>
        <v>1</v>
      </c>
      <c r="AA219" s="5">
        <f>IF(M219=0,0,const*($T219/omega)*O219*(wy*I219-wz*(H219-V219))/Z219)</f>
        <v>0</v>
      </c>
      <c r="AB219" s="5">
        <f>IF(M219=0,0,const*($T219/omega)*O219*(wz*(G219-U219)-wx*I219)/Z219)</f>
        <v>-1.1552461005918215</v>
      </c>
      <c r="AC219" s="5">
        <f>IF(M219=0,0,const*($T219/omega)*O219*(wx*(H219-V219)-wy*(G219-U219))/Z219)</f>
        <v>14.930247970974158</v>
      </c>
      <c r="AD219" s="5">
        <f t="shared" si="81"/>
        <v>0</v>
      </c>
      <c r="AE219" s="5">
        <f t="shared" si="81"/>
        <v>-24.916336078762317</v>
      </c>
      <c r="AF219" s="5">
        <f t="shared" si="69"/>
        <v>-19.082295273348251</v>
      </c>
      <c r="AG219">
        <f t="shared" si="80"/>
        <v>0</v>
      </c>
    </row>
    <row r="220" spans="1:33" x14ac:dyDescent="0.2">
      <c r="A220">
        <f t="shared" si="70"/>
        <v>1.8800000000000014</v>
      </c>
      <c r="B220" s="5">
        <f t="shared" si="71"/>
        <v>0</v>
      </c>
      <c r="C220" s="5">
        <f t="shared" si="72"/>
        <v>360.99648970215026</v>
      </c>
      <c r="D220" s="5">
        <f t="shared" si="73"/>
        <v>55.182552612147219</v>
      </c>
      <c r="E220" s="2">
        <f t="shared" si="55"/>
        <v>120.33216323405009</v>
      </c>
      <c r="F220" s="2">
        <f t="shared" si="74"/>
        <v>0</v>
      </c>
      <c r="G220" s="3">
        <f t="shared" si="75"/>
        <v>0</v>
      </c>
      <c r="H220" s="3">
        <f t="shared" si="76"/>
        <v>162.01989216847576</v>
      </c>
      <c r="I220" s="3">
        <f t="shared" si="77"/>
        <v>12.36494263209411</v>
      </c>
      <c r="J220" s="2">
        <f t="shared" si="56"/>
        <v>162.49103749000895</v>
      </c>
      <c r="K220" s="2">
        <f t="shared" si="78"/>
        <v>110.76417006817242</v>
      </c>
      <c r="L220" s="5">
        <f t="shared" si="57"/>
        <v>21.536075867865737</v>
      </c>
      <c r="M220" s="3">
        <f t="shared" si="58"/>
        <v>20.149484937571927</v>
      </c>
      <c r="N220" s="2">
        <v>0</v>
      </c>
      <c r="O220" s="2">
        <f t="shared" si="59"/>
        <v>162.49103749000895</v>
      </c>
      <c r="P220" s="2">
        <f t="shared" si="60"/>
        <v>110.76417006817242</v>
      </c>
      <c r="Q220" s="5">
        <f t="shared" si="61"/>
        <v>1.3694698600903326</v>
      </c>
      <c r="R220" s="5">
        <f t="shared" si="62"/>
        <v>0.1583622581322609</v>
      </c>
      <c r="S220" s="4">
        <f t="shared" si="79"/>
        <v>0.12400366967200178</v>
      </c>
      <c r="T220" s="5">
        <f t="shared" si="63"/>
        <v>9.9537176923515422E-2</v>
      </c>
      <c r="U220" s="4">
        <f t="shared" si="64"/>
        <v>0</v>
      </c>
      <c r="V220" s="4">
        <f t="shared" si="65"/>
        <v>0</v>
      </c>
      <c r="W220" s="5">
        <f t="shared" si="66"/>
        <v>0</v>
      </c>
      <c r="X220" s="5">
        <f t="shared" si="67"/>
        <v>-23.691266314757932</v>
      </c>
      <c r="Y220" s="5">
        <f t="shared" si="68"/>
        <v>-1.8080566833054779</v>
      </c>
      <c r="Z220" s="5">
        <f>1</f>
        <v>1</v>
      </c>
      <c r="AA220" s="5">
        <f>IF(M220=0,0,const*($T220/omega)*O220*(wy*I220-wz*(H220-V220))/Z220)</f>
        <v>0</v>
      </c>
      <c r="AB220" s="5">
        <f>IF(M220=0,0,const*($T220/omega)*O220*(wz*(G220-U220)-wx*I220)/Z220)</f>
        <v>-1.1364378109815505</v>
      </c>
      <c r="AC220" s="5">
        <f>IF(M220=0,0,const*($T220/omega)*O220*(wx*(H220-V220)-wy*(G220-U220))/Z220)</f>
        <v>14.890932944039566</v>
      </c>
      <c r="AD220" s="5">
        <f t="shared" si="81"/>
        <v>0</v>
      </c>
      <c r="AE220" s="5">
        <f t="shared" si="81"/>
        <v>-24.827704125739483</v>
      </c>
      <c r="AF220" s="5">
        <f t="shared" si="69"/>
        <v>-19.09112373926591</v>
      </c>
      <c r="AG220">
        <f t="shared" si="80"/>
        <v>0</v>
      </c>
    </row>
    <row r="221" spans="1:33" x14ac:dyDescent="0.2">
      <c r="A221">
        <f t="shared" si="70"/>
        <v>1.8900000000000015</v>
      </c>
      <c r="B221" s="5">
        <f t="shared" si="71"/>
        <v>0</v>
      </c>
      <c r="C221" s="5">
        <f t="shared" si="72"/>
        <v>362.61544723862869</v>
      </c>
      <c r="D221" s="5">
        <f t="shared" si="73"/>
        <v>55.305247482281196</v>
      </c>
      <c r="E221" s="2">
        <f t="shared" si="55"/>
        <v>120.87181574620956</v>
      </c>
      <c r="F221" s="2">
        <f t="shared" si="74"/>
        <v>0</v>
      </c>
      <c r="G221" s="3">
        <f t="shared" si="75"/>
        <v>0</v>
      </c>
      <c r="H221" s="3">
        <f t="shared" si="76"/>
        <v>161.77161512721838</v>
      </c>
      <c r="I221" s="3">
        <f t="shared" si="77"/>
        <v>12.174031394701451</v>
      </c>
      <c r="J221" s="2">
        <f t="shared" si="56"/>
        <v>162.22904333462628</v>
      </c>
      <c r="K221" s="2">
        <f t="shared" si="78"/>
        <v>110.58557827854551</v>
      </c>
      <c r="L221" s="5">
        <f t="shared" si="57"/>
        <v>21.570855867126539</v>
      </c>
      <c r="M221" s="3">
        <f t="shared" si="58"/>
        <v>20.142980991734081</v>
      </c>
      <c r="N221" s="2">
        <v>0</v>
      </c>
      <c r="O221" s="2">
        <f t="shared" si="59"/>
        <v>162.22904333462628</v>
      </c>
      <c r="P221" s="2">
        <f t="shared" si="60"/>
        <v>110.58557827854551</v>
      </c>
      <c r="Q221" s="5">
        <f t="shared" si="61"/>
        <v>1.3672617807718748</v>
      </c>
      <c r="R221" s="5">
        <f t="shared" si="62"/>
        <v>0.15839568917657199</v>
      </c>
      <c r="S221" s="4">
        <f t="shared" si="79"/>
        <v>0.12416384007261633</v>
      </c>
      <c r="T221" s="5">
        <f t="shared" si="63"/>
        <v>9.9588584227701366E-2</v>
      </c>
      <c r="U221" s="4">
        <f t="shared" si="64"/>
        <v>0</v>
      </c>
      <c r="V221" s="4">
        <f t="shared" si="65"/>
        <v>0</v>
      </c>
      <c r="W221" s="5">
        <f t="shared" si="66"/>
        <v>0</v>
      </c>
      <c r="X221" s="5">
        <f t="shared" si="67"/>
        <v>-23.62180744195522</v>
      </c>
      <c r="Y221" s="5">
        <f t="shared" si="68"/>
        <v>-1.7776457580138889</v>
      </c>
      <c r="Z221" s="5">
        <f>1</f>
        <v>1</v>
      </c>
      <c r="AA221" s="5">
        <f>IF(M221=0,0,const*($T221/omega)*O221*(wy*I221-wz*(H221-V221))/Z221)</f>
        <v>0</v>
      </c>
      <c r="AB221" s="5">
        <f>IF(M221=0,0,const*($T221/omega)*O221*(wz*(G221-U221)-wx*I221)/Z221)</f>
        <v>-1.1176644087935625</v>
      </c>
      <c r="AC221" s="5">
        <f>IF(M221=0,0,const*($T221/omega)*O221*(wx*(H221-V221)-wy*(G221-U221))/Z221)</f>
        <v>14.851807977054776</v>
      </c>
      <c r="AD221" s="5">
        <f t="shared" si="81"/>
        <v>0</v>
      </c>
      <c r="AE221" s="5">
        <f t="shared" si="81"/>
        <v>-24.739471850748782</v>
      </c>
      <c r="AF221" s="5">
        <f t="shared" si="69"/>
        <v>-19.099837780959113</v>
      </c>
      <c r="AG221">
        <f t="shared" si="80"/>
        <v>0</v>
      </c>
    </row>
    <row r="222" spans="1:33" x14ac:dyDescent="0.2">
      <c r="A222">
        <f t="shared" si="70"/>
        <v>1.9000000000000015</v>
      </c>
      <c r="B222" s="5">
        <f t="shared" si="71"/>
        <v>0</v>
      </c>
      <c r="C222" s="5">
        <f t="shared" si="72"/>
        <v>364.23192641630834</v>
      </c>
      <c r="D222" s="5">
        <f t="shared" si="73"/>
        <v>55.426032804339165</v>
      </c>
      <c r="E222" s="2">
        <f t="shared" si="55"/>
        <v>121.41064213876945</v>
      </c>
      <c r="F222" s="2">
        <f t="shared" si="74"/>
        <v>0</v>
      </c>
      <c r="G222" s="3">
        <f t="shared" si="75"/>
        <v>0</v>
      </c>
      <c r="H222" s="3">
        <f t="shared" si="76"/>
        <v>161.5242204087109</v>
      </c>
      <c r="I222" s="3">
        <f t="shared" si="77"/>
        <v>11.983033016891861</v>
      </c>
      <c r="J222" s="2">
        <f t="shared" si="56"/>
        <v>161.96810444938146</v>
      </c>
      <c r="K222" s="2">
        <f t="shared" si="78"/>
        <v>110.40770582779922</v>
      </c>
      <c r="L222" s="5">
        <f t="shared" si="57"/>
        <v>21.605607617187946</v>
      </c>
      <c r="M222" s="3">
        <f t="shared" si="58"/>
        <v>20.136497759478665</v>
      </c>
      <c r="N222" s="2">
        <v>0</v>
      </c>
      <c r="O222" s="2">
        <f t="shared" si="59"/>
        <v>161.96810444938146</v>
      </c>
      <c r="P222" s="2">
        <f t="shared" si="60"/>
        <v>110.40770582779922</v>
      </c>
      <c r="Q222" s="5">
        <f t="shared" si="61"/>
        <v>1.3650625952402402</v>
      </c>
      <c r="R222" s="5">
        <f t="shared" si="62"/>
        <v>0.158429086001283</v>
      </c>
      <c r="S222" s="4">
        <f t="shared" si="79"/>
        <v>0.1243238465248061</v>
      </c>
      <c r="T222" s="5">
        <f t="shared" si="63"/>
        <v>9.9639899199393936E-2</v>
      </c>
      <c r="U222" s="4">
        <f t="shared" si="64"/>
        <v>0</v>
      </c>
      <c r="V222" s="4">
        <f t="shared" si="65"/>
        <v>0</v>
      </c>
      <c r="W222" s="5">
        <f t="shared" si="66"/>
        <v>0</v>
      </c>
      <c r="X222" s="5">
        <f t="shared" si="67"/>
        <v>-23.55271127930089</v>
      </c>
      <c r="Y222" s="5">
        <f t="shared" si="68"/>
        <v>-1.7473101939946789</v>
      </c>
      <c r="Z222" s="5">
        <f>1</f>
        <v>1</v>
      </c>
      <c r="AA222" s="5">
        <f>IF(M222=0,0,const*($T222/omega)*O222*(wy*I222-wz*(H222-V222))/Z222)</f>
        <v>0</v>
      </c>
      <c r="AB222" s="5">
        <f>IF(M222=0,0,const*($T222/omega)*O222*(wz*(G222-U222)-wx*I222)/Z222)</f>
        <v>-1.0989258096098171</v>
      </c>
      <c r="AC222" s="5">
        <f>IF(M222=0,0,const*($T222/omega)*O222*(wx*(H222-V222)-wy*(G222-U222))/Z222)</f>
        <v>14.812872036154804</v>
      </c>
      <c r="AD222" s="5">
        <f t="shared" si="81"/>
        <v>0</v>
      </c>
      <c r="AE222" s="5">
        <f t="shared" si="81"/>
        <v>-24.651637088910707</v>
      </c>
      <c r="AF222" s="5">
        <f t="shared" si="69"/>
        <v>-19.108438157839874</v>
      </c>
      <c r="AG222">
        <f t="shared" si="80"/>
        <v>0</v>
      </c>
    </row>
    <row r="223" spans="1:33" x14ac:dyDescent="0.2">
      <c r="A223">
        <f t="shared" si="70"/>
        <v>1.9100000000000015</v>
      </c>
      <c r="B223" s="5">
        <f t="shared" si="71"/>
        <v>0</v>
      </c>
      <c r="C223" s="5">
        <f t="shared" si="72"/>
        <v>365.84593603854103</v>
      </c>
      <c r="D223" s="5">
        <f t="shared" si="73"/>
        <v>55.544907712600192</v>
      </c>
      <c r="E223" s="2">
        <f t="shared" si="55"/>
        <v>121.94864534618034</v>
      </c>
      <c r="F223" s="2">
        <f t="shared" si="74"/>
        <v>0</v>
      </c>
      <c r="G223" s="3">
        <f t="shared" si="75"/>
        <v>0</v>
      </c>
      <c r="H223" s="3">
        <f t="shared" si="76"/>
        <v>161.27770403782179</v>
      </c>
      <c r="I223" s="3">
        <f t="shared" si="77"/>
        <v>11.791948635313462</v>
      </c>
      <c r="J223" s="2">
        <f t="shared" si="56"/>
        <v>161.70821832031021</v>
      </c>
      <c r="K223" s="2">
        <f t="shared" si="78"/>
        <v>110.23055100225645</v>
      </c>
      <c r="L223" s="5">
        <f t="shared" si="57"/>
        <v>21.640330637379421</v>
      </c>
      <c r="M223" s="3">
        <f t="shared" si="58"/>
        <v>20.130035067665744</v>
      </c>
      <c r="N223" s="2">
        <v>0</v>
      </c>
      <c r="O223" s="2">
        <f t="shared" si="59"/>
        <v>161.70821832031021</v>
      </c>
      <c r="P223" s="2">
        <f t="shared" si="60"/>
        <v>110.23055100225645</v>
      </c>
      <c r="Q223" s="5">
        <f t="shared" si="61"/>
        <v>1.3628722823078085</v>
      </c>
      <c r="R223" s="5">
        <f t="shared" si="62"/>
        <v>0.15846244796737385</v>
      </c>
      <c r="S223" s="4">
        <f t="shared" si="79"/>
        <v>0.12448368596698252</v>
      </c>
      <c r="T223" s="5">
        <f t="shared" si="63"/>
        <v>9.9691121061448756E-2</v>
      </c>
      <c r="U223" s="4">
        <f t="shared" si="64"/>
        <v>0</v>
      </c>
      <c r="V223" s="4">
        <f t="shared" si="65"/>
        <v>0</v>
      </c>
      <c r="W223" s="5">
        <f t="shared" si="66"/>
        <v>0</v>
      </c>
      <c r="X223" s="5">
        <f t="shared" si="67"/>
        <v>-23.483975761457021</v>
      </c>
      <c r="Y223" s="5">
        <f t="shared" si="68"/>
        <v>-1.7170497161040044</v>
      </c>
      <c r="Z223" s="5">
        <f>1</f>
        <v>1</v>
      </c>
      <c r="AA223" s="5">
        <f>IF(M223=0,0,const*($T223/omega)*O223*(wy*I223-wz*(H223-V223))/Z223)</f>
        <v>0</v>
      </c>
      <c r="AB223" s="5">
        <f>IF(M223=0,0,const*($T223/omega)*O223*(wz*(G223-U223)-wx*I223)/Z223)</f>
        <v>-1.0802219283643404</v>
      </c>
      <c r="AC223" s="5">
        <f>IF(M223=0,0,const*($T223/omega)*O223*(wx*(H223-V223)-wy*(G223-U223))/Z223)</f>
        <v>14.774124094823797</v>
      </c>
      <c r="AD223" s="5">
        <f t="shared" si="81"/>
        <v>0</v>
      </c>
      <c r="AE223" s="5">
        <f t="shared" si="81"/>
        <v>-24.564197689821363</v>
      </c>
      <c r="AF223" s="5">
        <f t="shared" si="69"/>
        <v>-19.116925621280206</v>
      </c>
      <c r="AG223">
        <f t="shared" si="80"/>
        <v>0</v>
      </c>
    </row>
    <row r="224" spans="1:33" x14ac:dyDescent="0.2">
      <c r="A224">
        <f t="shared" si="70"/>
        <v>1.9200000000000015</v>
      </c>
      <c r="B224" s="5">
        <f t="shared" si="71"/>
        <v>0</v>
      </c>
      <c r="C224" s="5">
        <f t="shared" si="72"/>
        <v>367.45748486903472</v>
      </c>
      <c r="D224" s="5">
        <f t="shared" si="73"/>
        <v>55.661871352672264</v>
      </c>
      <c r="E224" s="2">
        <f t="shared" ref="E224:E287" si="82">SQRT(B224^2+C224^2)/3</f>
        <v>122.48582828967824</v>
      </c>
      <c r="F224" s="2">
        <f t="shared" si="74"/>
        <v>0</v>
      </c>
      <c r="G224" s="3">
        <f t="shared" si="75"/>
        <v>0</v>
      </c>
      <c r="H224" s="3">
        <f t="shared" si="76"/>
        <v>161.03206206092358</v>
      </c>
      <c r="I224" s="3">
        <f t="shared" si="77"/>
        <v>11.600779379100659</v>
      </c>
      <c r="J224" s="2">
        <f t="shared" ref="J224:J287" si="83">SQRT(G224^2+H224^2+I224^2)</f>
        <v>161.44938245095801</v>
      </c>
      <c r="K224" s="2">
        <f t="shared" si="78"/>
        <v>110.05411210017587</v>
      </c>
      <c r="L224" s="5">
        <f t="shared" ref="L224:L287" si="84">1/(0.00002*J224/(circ/(2*PI()*12)))</f>
        <v>21.675024444866086</v>
      </c>
      <c r="M224" s="3">
        <f t="shared" ref="M224:M287" si="85">romega*EXP(-A224/L224)</f>
        <v>20.123592743801449</v>
      </c>
      <c r="N224" s="2">
        <v>0</v>
      </c>
      <c r="O224" s="2">
        <f t="shared" ref="O224:O287" si="86">IF(D224&gt;=hwind,SQRT((G224-vxw)^2+(H224-vyw)^2+I224^2),J224)</f>
        <v>161.44938245095801</v>
      </c>
      <c r="P224" s="2">
        <f t="shared" ref="P224:P287" si="87">J224/1.467</f>
        <v>110.05411210017587</v>
      </c>
      <c r="Q224" s="5">
        <f t="shared" ref="Q224:Q287" si="88">(P224/100)*Re_100*0.00001</f>
        <v>1.3606908209345316</v>
      </c>
      <c r="R224" s="5">
        <f t="shared" ref="R224:R287" si="89">IF(Q224&lt;=ReLow,CdL,IF(Q224&lt;ReHigh,CdL+(CdH-CdL)*(Q224-ReLow)/(ReHigh-ReLow),CdH))+CdS*S224</f>
        <v>0.1584957744331581</v>
      </c>
      <c r="S224" s="4">
        <f t="shared" si="79"/>
        <v>0.12464335532478241</v>
      </c>
      <c r="T224" s="5">
        <f t="shared" ref="T224:T287" si="90">ClAmp*S224^0.4</f>
        <v>9.9742249034750277E-2</v>
      </c>
      <c r="U224" s="4">
        <f t="shared" ref="U224:U287" si="91">IF(D224&gt;=hwind,vxw,0)</f>
        <v>0</v>
      </c>
      <c r="V224" s="4">
        <f t="shared" ref="V224:V287" si="92">IF(D224&gt;=hwind,vyw,0)</f>
        <v>0</v>
      </c>
      <c r="W224" s="5">
        <f t="shared" ref="W224:W287" si="93">-const*$R224*$O224*(G224-U224)</f>
        <v>0</v>
      </c>
      <c r="X224" s="5">
        <f t="shared" ref="X224:X287" si="94">-const*$R224*$O224*(H224-V224)</f>
        <v>-23.415598838075383</v>
      </c>
      <c r="Y224" s="5">
        <f t="shared" ref="Y224:Y287" si="95">-const*$R224*$O224*I224</f>
        <v>-1.686864048522638</v>
      </c>
      <c r="Z224" s="5">
        <f>1</f>
        <v>1</v>
      </c>
      <c r="AA224" s="5">
        <f>IF(M224=0,0,const*($T224/omega)*O224*(wy*I224-wz*(H224-V224))/Z224)</f>
        <v>0</v>
      </c>
      <c r="AB224" s="5">
        <f>IF(M224=0,0,const*($T224/omega)*O224*(wz*(G224-U224)-wx*I224)/Z224)</f>
        <v>-1.0615526793521441</v>
      </c>
      <c r="AC224" s="5">
        <f>IF(M224=0,0,const*($T224/omega)*O224*(wx*(H224-V224)-wy*(G224-U224))/Z224)</f>
        <v>14.735563133830277</v>
      </c>
      <c r="AD224" s="5">
        <f t="shared" si="81"/>
        <v>0</v>
      </c>
      <c r="AE224" s="5">
        <f t="shared" si="81"/>
        <v>-24.477151517427526</v>
      </c>
      <c r="AF224" s="5">
        <f t="shared" ref="AF224:AF287" si="96">Y224+AC224-32.174</f>
        <v>-19.12530091469236</v>
      </c>
      <c r="AG224">
        <f t="shared" si="80"/>
        <v>0</v>
      </c>
    </row>
    <row r="225" spans="1:33" x14ac:dyDescent="0.2">
      <c r="A225">
        <f t="shared" ref="A225:A288" si="97">A224+dt</f>
        <v>1.9300000000000015</v>
      </c>
      <c r="B225" s="5">
        <f t="shared" ref="B225:B288" si="98">B224+G224*dt+0.5*AD224*dt*dt</f>
        <v>0</v>
      </c>
      <c r="C225" s="5">
        <f t="shared" ref="C225:C288" si="99">C224+H224*dt+0.5*AE224*dt*dt</f>
        <v>369.06658163206805</v>
      </c>
      <c r="D225" s="5">
        <f t="shared" ref="D225:D288" si="100">D224+I224*dt+0.5*AF224*dt*dt</f>
        <v>55.776922881417534</v>
      </c>
      <c r="E225" s="2">
        <f t="shared" si="82"/>
        <v>123.02219387735602</v>
      </c>
      <c r="F225" s="2">
        <f t="shared" ref="F225:F288" si="101">ATAN2(C225,B225)*180/PI()</f>
        <v>0</v>
      </c>
      <c r="G225" s="3">
        <f t="shared" ref="G225:G288" si="102">G224+AD224*dt</f>
        <v>0</v>
      </c>
      <c r="H225" s="3">
        <f t="shared" ref="H225:H288" si="103">H224+AE224*dt</f>
        <v>160.7872905457493</v>
      </c>
      <c r="I225" s="3">
        <f t="shared" ref="I225:I288" si="104">I224+AF224*dt</f>
        <v>11.409526369953737</v>
      </c>
      <c r="J225" s="2">
        <f t="shared" si="83"/>
        <v>161.19159436220573</v>
      </c>
      <c r="K225" s="2">
        <f t="shared" ref="K225:K288" si="105">J225/1.467</f>
        <v>109.87838743163307</v>
      </c>
      <c r="L225" s="5">
        <f t="shared" si="84"/>
        <v>21.709688554662939</v>
      </c>
      <c r="M225" s="3">
        <f t="shared" si="85"/>
        <v>20.117170616032631</v>
      </c>
      <c r="N225" s="2">
        <v>0</v>
      </c>
      <c r="O225" s="2">
        <f t="shared" si="86"/>
        <v>161.19159436220573</v>
      </c>
      <c r="P225" s="2">
        <f t="shared" si="87"/>
        <v>109.87838743163307</v>
      </c>
      <c r="Q225" s="5">
        <f t="shared" si="88"/>
        <v>1.3585181902264643</v>
      </c>
      <c r="R225" s="5">
        <f t="shared" si="89"/>
        <v>0.15852906475430112</v>
      </c>
      <c r="S225" s="4">
        <f t="shared" ref="S225:S288" si="106">(M225/O225)</f>
        <v>0.12480285151115462</v>
      </c>
      <c r="T225" s="5">
        <f t="shared" si="90"/>
        <v>9.9793282338237338E-2</v>
      </c>
      <c r="U225" s="4">
        <f t="shared" si="91"/>
        <v>0</v>
      </c>
      <c r="V225" s="4">
        <f t="shared" si="92"/>
        <v>0</v>
      </c>
      <c r="W225" s="5">
        <f t="shared" si="93"/>
        <v>0</v>
      </c>
      <c r="X225" s="5">
        <f t="shared" si="94"/>
        <v>-23.34757847366491</v>
      </c>
      <c r="Y225" s="5">
        <f t="shared" si="95"/>
        <v>-1.6567529147712625</v>
      </c>
      <c r="Z225" s="5">
        <f>1</f>
        <v>1</v>
      </c>
      <c r="AA225" s="5">
        <f>IF(M225=0,0,const*($T225/omega)*O225*(wy*I225-wz*(H225-V225))/Z225)</f>
        <v>0</v>
      </c>
      <c r="AB225" s="5">
        <f>IF(M225=0,0,const*($T225/omega)*O225*(wz*(G225-U225)-wx*I225)/Z225)</f>
        <v>-1.0429179762380483</v>
      </c>
      <c r="AC225" s="5">
        <f>IF(M225=0,0,const*($T225/omega)*O225*(wx*(H225-V225)-wy*(G225-U225))/Z225)</f>
        <v>14.697188141163119</v>
      </c>
      <c r="AD225" s="5">
        <f t="shared" si="81"/>
        <v>0</v>
      </c>
      <c r="AE225" s="5">
        <f t="shared" si="81"/>
        <v>-24.390496449902958</v>
      </c>
      <c r="AF225" s="5">
        <f t="shared" si="96"/>
        <v>-19.133564773608143</v>
      </c>
      <c r="AG225">
        <f t="shared" si="80"/>
        <v>0</v>
      </c>
    </row>
    <row r="226" spans="1:33" x14ac:dyDescent="0.2">
      <c r="A226">
        <f t="shared" si="97"/>
        <v>1.9400000000000015</v>
      </c>
      <c r="B226" s="5">
        <f t="shared" si="98"/>
        <v>0</v>
      </c>
      <c r="C226" s="5">
        <f t="shared" si="99"/>
        <v>370.67323501270306</v>
      </c>
      <c r="D226" s="5">
        <f t="shared" si="100"/>
        <v>55.890061466878393</v>
      </c>
      <c r="E226" s="2">
        <f t="shared" si="82"/>
        <v>123.55774500423435</v>
      </c>
      <c r="F226" s="2">
        <f t="shared" si="101"/>
        <v>0</v>
      </c>
      <c r="G226" s="3">
        <f t="shared" si="102"/>
        <v>0</v>
      </c>
      <c r="H226" s="3">
        <f t="shared" si="103"/>
        <v>160.54338558125028</v>
      </c>
      <c r="I226" s="3">
        <f t="shared" si="104"/>
        <v>11.218190722217654</v>
      </c>
      <c r="J226" s="2">
        <f t="shared" si="83"/>
        <v>160.93485159209627</v>
      </c>
      <c r="K226" s="2">
        <f t="shared" si="105"/>
        <v>109.70337531840235</v>
      </c>
      <c r="L226" s="5">
        <f t="shared" si="84"/>
        <v>21.744322479649338</v>
      </c>
      <c r="M226" s="3">
        <f t="shared" si="85"/>
        <v>20.110768513141544</v>
      </c>
      <c r="N226" s="2">
        <v>0</v>
      </c>
      <c r="O226" s="2">
        <f t="shared" si="86"/>
        <v>160.93485159209627</v>
      </c>
      <c r="P226" s="2">
        <f t="shared" si="87"/>
        <v>109.70337531840235</v>
      </c>
      <c r="Q226" s="5">
        <f t="shared" si="88"/>
        <v>1.3563543694343012</v>
      </c>
      <c r="R226" s="5">
        <f t="shared" si="89"/>
        <v>0.15856231828383832</v>
      </c>
      <c r="S226" s="4">
        <f t="shared" si="106"/>
        <v>0.12496217142644826</v>
      </c>
      <c r="T226" s="5">
        <f t="shared" si="90"/>
        <v>9.9844220188928579E-2</v>
      </c>
      <c r="U226" s="4">
        <f t="shared" si="91"/>
        <v>0</v>
      </c>
      <c r="V226" s="4">
        <f t="shared" si="92"/>
        <v>0</v>
      </c>
      <c r="W226" s="5">
        <f t="shared" si="93"/>
        <v>0</v>
      </c>
      <c r="X226" s="5">
        <f t="shared" si="94"/>
        <v>-23.279912647460428</v>
      </c>
      <c r="Y226" s="5">
        <f t="shared" si="95"/>
        <v>-1.6267160377255585</v>
      </c>
      <c r="Z226" s="5">
        <f>1</f>
        <v>1</v>
      </c>
      <c r="AA226" s="5">
        <f>IF(M226=0,0,const*($T226/omega)*O226*(wy*I226-wz*(H226-V226))/Z226)</f>
        <v>0</v>
      </c>
      <c r="AB226" s="5">
        <f>IF(M226=0,0,const*($T226/omega)*O226*(wz*(G226-U226)-wx*I226)/Z226)</f>
        <v>-1.024317732065392</v>
      </c>
      <c r="AC226" s="5">
        <f>IF(M226=0,0,const*($T226/omega)*O226*(wx*(H226-V226)-wy*(G226-U226))/Z226)</f>
        <v>14.658998111968046</v>
      </c>
      <c r="AD226" s="5">
        <f t="shared" si="81"/>
        <v>0</v>
      </c>
      <c r="AE226" s="5">
        <f t="shared" si="81"/>
        <v>-24.304230379525819</v>
      </c>
      <c r="AF226" s="5">
        <f t="shared" si="96"/>
        <v>-19.141717925757511</v>
      </c>
      <c r="AG226">
        <f t="shared" ref="AG226:AG289" si="107">IF($D226*$D227&lt;0,1,0)</f>
        <v>0</v>
      </c>
    </row>
    <row r="227" spans="1:33" x14ac:dyDescent="0.2">
      <c r="A227">
        <f t="shared" si="97"/>
        <v>1.9500000000000015</v>
      </c>
      <c r="B227" s="5">
        <f t="shared" si="98"/>
        <v>0</v>
      </c>
      <c r="C227" s="5">
        <f t="shared" si="99"/>
        <v>372.27745365699661</v>
      </c>
      <c r="D227" s="5">
        <f t="shared" si="100"/>
        <v>56.001286288204284</v>
      </c>
      <c r="E227" s="2">
        <f t="shared" si="82"/>
        <v>124.09248455233221</v>
      </c>
      <c r="F227" s="2">
        <f t="shared" si="101"/>
        <v>0</v>
      </c>
      <c r="G227" s="3">
        <f t="shared" si="102"/>
        <v>0</v>
      </c>
      <c r="H227" s="3">
        <f t="shared" si="103"/>
        <v>160.30034327745503</v>
      </c>
      <c r="I227" s="3">
        <f t="shared" si="104"/>
        <v>11.026773542960079</v>
      </c>
      <c r="J227" s="2">
        <f t="shared" si="83"/>
        <v>160.67915169566226</v>
      </c>
      <c r="K227" s="2">
        <f t="shared" si="105"/>
        <v>109.5290740938393</v>
      </c>
      <c r="L227" s="5">
        <f t="shared" si="84"/>
        <v>21.778925730583879</v>
      </c>
      <c r="M227" s="3">
        <f t="shared" si="85"/>
        <v>20.104386264540651</v>
      </c>
      <c r="N227" s="2">
        <v>0</v>
      </c>
      <c r="O227" s="2">
        <f t="shared" si="86"/>
        <v>160.67915169566226</v>
      </c>
      <c r="P227" s="2">
        <f t="shared" si="87"/>
        <v>109.5290740938393</v>
      </c>
      <c r="Q227" s="5">
        <f t="shared" si="88"/>
        <v>1.3541993379519273</v>
      </c>
      <c r="R227" s="5">
        <f t="shared" si="89"/>
        <v>0.15859553437219431</v>
      </c>
      <c r="S227" s="4">
        <f t="shared" si="106"/>
        <v>0.12512131195850343</v>
      </c>
      <c r="T227" s="5">
        <f t="shared" si="90"/>
        <v>9.989506180194864E-2</v>
      </c>
      <c r="U227" s="4">
        <f t="shared" si="91"/>
        <v>0</v>
      </c>
      <c r="V227" s="4">
        <f t="shared" si="92"/>
        <v>0</v>
      </c>
      <c r="W227" s="5">
        <f t="shared" si="93"/>
        <v>0</v>
      </c>
      <c r="X227" s="5">
        <f t="shared" si="94"/>
        <v>-23.212599353292756</v>
      </c>
      <c r="Y227" s="5">
        <f t="shared" si="95"/>
        <v>-1.5967531396311088</v>
      </c>
      <c r="Z227" s="5">
        <f>1</f>
        <v>1</v>
      </c>
      <c r="AA227" s="5">
        <f>IF(M227=0,0,const*($T227/omega)*O227*(wy*I227-wz*(H227-V227))/Z227)</f>
        <v>0</v>
      </c>
      <c r="AB227" s="5">
        <f>IF(M227=0,0,const*($T227/omega)*O227*(wz*(G227-U227)-wx*I227)/Z227)</f>
        <v>-1.0057518592646499</v>
      </c>
      <c r="AC227" s="5">
        <f>IF(M227=0,0,const*($T227/omega)*O227*(wx*(H227-V227)-wy*(G227-U227))/Z227)</f>
        <v>14.620992048484812</v>
      </c>
      <c r="AD227" s="5">
        <f t="shared" si="81"/>
        <v>0</v>
      </c>
      <c r="AE227" s="5">
        <f t="shared" si="81"/>
        <v>-24.218351212557405</v>
      </c>
      <c r="AF227" s="5">
        <f t="shared" si="96"/>
        <v>-19.149761091146296</v>
      </c>
      <c r="AG227">
        <f t="shared" si="107"/>
        <v>0</v>
      </c>
    </row>
    <row r="228" spans="1:33" x14ac:dyDescent="0.2">
      <c r="A228">
        <f t="shared" si="97"/>
        <v>1.9600000000000015</v>
      </c>
      <c r="B228" s="5">
        <f t="shared" si="98"/>
        <v>0</v>
      </c>
      <c r="C228" s="5">
        <f t="shared" si="99"/>
        <v>373.87924617221051</v>
      </c>
      <c r="D228" s="5">
        <f t="shared" si="100"/>
        <v>56.110596535579326</v>
      </c>
      <c r="E228" s="2">
        <f t="shared" si="82"/>
        <v>124.62641539073684</v>
      </c>
      <c r="F228" s="2">
        <f t="shared" si="101"/>
        <v>0</v>
      </c>
      <c r="G228" s="3">
        <f t="shared" si="102"/>
        <v>0</v>
      </c>
      <c r="H228" s="3">
        <f t="shared" si="103"/>
        <v>160.05815976532946</v>
      </c>
      <c r="I228" s="3">
        <f t="shared" si="104"/>
        <v>10.835275932048615</v>
      </c>
      <c r="J228" s="2">
        <f t="shared" si="83"/>
        <v>160.4244922447547</v>
      </c>
      <c r="K228" s="2">
        <f t="shared" si="105"/>
        <v>109.35548210276393</v>
      </c>
      <c r="L228" s="5">
        <f t="shared" si="84"/>
        <v>21.813497816119579</v>
      </c>
      <c r="M228" s="3">
        <f t="shared" si="85"/>
        <v>20.098023700267458</v>
      </c>
      <c r="N228" s="2">
        <v>0</v>
      </c>
      <c r="O228" s="2">
        <f t="shared" si="86"/>
        <v>160.4244922447547</v>
      </c>
      <c r="P228" s="2">
        <f t="shared" si="87"/>
        <v>109.35548210276393</v>
      </c>
      <c r="Q228" s="5">
        <f t="shared" si="88"/>
        <v>1.3520530753149711</v>
      </c>
      <c r="R228" s="5">
        <f t="shared" si="89"/>
        <v>0.15862871236720208</v>
      </c>
      <c r="S228" s="4">
        <f t="shared" si="106"/>
        <v>0.1252802699827438</v>
      </c>
      <c r="T228" s="5">
        <f t="shared" si="90"/>
        <v>9.9945806390554656E-2</v>
      </c>
      <c r="U228" s="4">
        <f t="shared" si="91"/>
        <v>0</v>
      </c>
      <c r="V228" s="4">
        <f t="shared" si="92"/>
        <v>0</v>
      </c>
      <c r="W228" s="5">
        <f t="shared" si="93"/>
        <v>0</v>
      </c>
      <c r="X228" s="5">
        <f t="shared" si="94"/>
        <v>-23.145636599459969</v>
      </c>
      <c r="Y228" s="5">
        <f t="shared" si="95"/>
        <v>-1.5668639421180961</v>
      </c>
      <c r="Z228" s="5">
        <f>1</f>
        <v>1</v>
      </c>
      <c r="AA228" s="5">
        <f>IF(M228=0,0,const*($T228/omega)*O228*(wy*I228-wz*(H228-V228))/Z228)</f>
        <v>0</v>
      </c>
      <c r="AB228" s="5">
        <f>IF(M228=0,0,const*($T228/omega)*O228*(wz*(G228-U228)-wx*I228)/Z228)</f>
        <v>-0.98722026966194565</v>
      </c>
      <c r="AC228" s="5">
        <f>IF(M228=0,0,const*($T228/omega)*O228*(wx*(H228-V228)-wy*(G228-U228))/Z228)</f>
        <v>14.583168959984947</v>
      </c>
      <c r="AD228" s="5">
        <f t="shared" si="81"/>
        <v>0</v>
      </c>
      <c r="AE228" s="5">
        <f t="shared" si="81"/>
        <v>-24.132856869121916</v>
      </c>
      <c r="AF228" s="5">
        <f t="shared" si="96"/>
        <v>-19.157694982133147</v>
      </c>
      <c r="AG228">
        <f t="shared" si="107"/>
        <v>0</v>
      </c>
    </row>
    <row r="229" spans="1:33" x14ac:dyDescent="0.2">
      <c r="A229">
        <f t="shared" si="97"/>
        <v>1.9700000000000015</v>
      </c>
      <c r="B229" s="5">
        <f t="shared" si="98"/>
        <v>0</v>
      </c>
      <c r="C229" s="5">
        <f t="shared" si="99"/>
        <v>375.47862112702035</v>
      </c>
      <c r="D229" s="5">
        <f t="shared" si="100"/>
        <v>56.217991410150709</v>
      </c>
      <c r="E229" s="2">
        <f t="shared" si="82"/>
        <v>125.15954037567344</v>
      </c>
      <c r="F229" s="2">
        <f t="shared" si="101"/>
        <v>0</v>
      </c>
      <c r="G229" s="3">
        <f t="shared" si="102"/>
        <v>0</v>
      </c>
      <c r="H229" s="3">
        <f t="shared" si="103"/>
        <v>159.81683119663825</v>
      </c>
      <c r="I229" s="3">
        <f t="shared" si="104"/>
        <v>10.643698982227283</v>
      </c>
      <c r="J229" s="2">
        <f t="shared" si="83"/>
        <v>160.17087082787253</v>
      </c>
      <c r="K229" s="2">
        <f t="shared" si="105"/>
        <v>109.18259770134459</v>
      </c>
      <c r="L229" s="5">
        <f t="shared" si="84"/>
        <v>21.848038242819424</v>
      </c>
      <c r="M229" s="3">
        <f t="shared" si="85"/>
        <v>20.091680650979452</v>
      </c>
      <c r="N229" s="2">
        <v>0</v>
      </c>
      <c r="O229" s="2">
        <f t="shared" si="86"/>
        <v>160.17087082787253</v>
      </c>
      <c r="P229" s="2">
        <f t="shared" si="87"/>
        <v>109.18259770134459</v>
      </c>
      <c r="Q229" s="5">
        <f t="shared" si="88"/>
        <v>1.3499155611993698</v>
      </c>
      <c r="R229" s="5">
        <f t="shared" si="89"/>
        <v>0.15866185161412294</v>
      </c>
      <c r="S229" s="4">
        <f t="shared" si="106"/>
        <v>0.12543904236227171</v>
      </c>
      <c r="T229" s="5">
        <f t="shared" si="90"/>
        <v>9.9996453166163124E-2</v>
      </c>
      <c r="U229" s="4">
        <f t="shared" si="91"/>
        <v>0</v>
      </c>
      <c r="V229" s="4">
        <f t="shared" si="92"/>
        <v>0</v>
      </c>
      <c r="W229" s="5">
        <f t="shared" si="93"/>
        <v>0</v>
      </c>
      <c r="X229" s="5">
        <f t="shared" si="94"/>
        <v>-23.079022408600007</v>
      </c>
      <c r="Y229" s="5">
        <f t="shared" si="95"/>
        <v>-1.5370481662158231</v>
      </c>
      <c r="Z229" s="5">
        <f>1</f>
        <v>1</v>
      </c>
      <c r="AA229" s="5">
        <f>IF(M229=0,0,const*($T229/omega)*O229*(wy*I229-wz*(H229-V229))/Z229)</f>
        <v>0</v>
      </c>
      <c r="AB229" s="5">
        <f>IF(M229=0,0,const*($T229/omega)*O229*(wz*(G229-U229)-wx*I229)/Z229)</f>
        <v>-0.96872287448746897</v>
      </c>
      <c r="AC229" s="5">
        <f>IF(M229=0,0,const*($T229/omega)*O229*(wx*(H229-V229)-wy*(G229-U229))/Z229)</f>
        <v>14.545527862710093</v>
      </c>
      <c r="AD229" s="5">
        <f t="shared" si="81"/>
        <v>0</v>
      </c>
      <c r="AE229" s="5">
        <f t="shared" si="81"/>
        <v>-24.047745283087476</v>
      </c>
      <c r="AF229" s="5">
        <f t="shared" si="96"/>
        <v>-19.16552030350573</v>
      </c>
      <c r="AG229">
        <f t="shared" si="107"/>
        <v>0</v>
      </c>
    </row>
    <row r="230" spans="1:33" x14ac:dyDescent="0.2">
      <c r="A230">
        <f t="shared" si="97"/>
        <v>1.9800000000000015</v>
      </c>
      <c r="B230" s="5">
        <f t="shared" si="98"/>
        <v>0</v>
      </c>
      <c r="C230" s="5">
        <f t="shared" si="99"/>
        <v>377.07558705172261</v>
      </c>
      <c r="D230" s="5">
        <f t="shared" si="100"/>
        <v>56.323470123957804</v>
      </c>
      <c r="E230" s="2">
        <f t="shared" si="82"/>
        <v>125.6918623505742</v>
      </c>
      <c r="F230" s="2">
        <f t="shared" si="101"/>
        <v>0</v>
      </c>
      <c r="G230" s="3">
        <f t="shared" si="102"/>
        <v>0</v>
      </c>
      <c r="H230" s="3">
        <f t="shared" si="103"/>
        <v>159.57635374380737</v>
      </c>
      <c r="I230" s="3">
        <f t="shared" si="104"/>
        <v>10.452043779192225</v>
      </c>
      <c r="J230" s="2">
        <f t="shared" si="83"/>
        <v>159.91828504999324</v>
      </c>
      <c r="K230" s="2">
        <f t="shared" si="105"/>
        <v>109.01041925698243</v>
      </c>
      <c r="L230" s="5">
        <f t="shared" si="84"/>
        <v>21.88254651517223</v>
      </c>
      <c r="M230" s="3">
        <f t="shared" si="85"/>
        <v>20.085356947949098</v>
      </c>
      <c r="N230" s="2">
        <v>0</v>
      </c>
      <c r="O230" s="2">
        <f t="shared" si="86"/>
        <v>159.91828504999324</v>
      </c>
      <c r="P230" s="2">
        <f t="shared" si="87"/>
        <v>109.01041925698243</v>
      </c>
      <c r="Q230" s="5">
        <f t="shared" si="88"/>
        <v>1.3477867754199424</v>
      </c>
      <c r="R230" s="5">
        <f t="shared" si="89"/>
        <v>0.15869495145566659</v>
      </c>
      <c r="S230" s="4">
        <f t="shared" si="106"/>
        <v>0.12559762594796503</v>
      </c>
      <c r="T230" s="5">
        <f t="shared" si="90"/>
        <v>0.10004700133837727</v>
      </c>
      <c r="U230" s="4">
        <f t="shared" si="91"/>
        <v>0</v>
      </c>
      <c r="V230" s="4">
        <f t="shared" si="92"/>
        <v>0</v>
      </c>
      <c r="W230" s="5">
        <f t="shared" si="93"/>
        <v>0</v>
      </c>
      <c r="X230" s="5">
        <f t="shared" si="94"/>
        <v>-23.012754817564463</v>
      </c>
      <c r="Y230" s="5">
        <f t="shared" si="95"/>
        <v>-1.5073055323670395</v>
      </c>
      <c r="Z230" s="5">
        <f>1</f>
        <v>1</v>
      </c>
      <c r="AA230" s="5">
        <f>IF(M230=0,0,const*($T230/omega)*O230*(wy*I230-wz*(H230-V230))/Z230)</f>
        <v>0</v>
      </c>
      <c r="AB230" s="5">
        <f>IF(M230=0,0,const*($T230/omega)*O230*(wz*(G230-U230)-wx*I230)/Z230)</f>
        <v>-0.95025958438379743</v>
      </c>
      <c r="AC230" s="5">
        <f>IF(M230=0,0,const*($T230/omega)*O230*(wx*(H230-V230)-wy*(G230-U230))/Z230)</f>
        <v>14.508067779810954</v>
      </c>
      <c r="AD230" s="5">
        <f t="shared" si="81"/>
        <v>0</v>
      </c>
      <c r="AE230" s="5">
        <f t="shared" si="81"/>
        <v>-23.963014401948261</v>
      </c>
      <c r="AF230" s="5">
        <f t="shared" si="96"/>
        <v>-19.173237752556084</v>
      </c>
      <c r="AG230">
        <f t="shared" si="107"/>
        <v>0</v>
      </c>
    </row>
    <row r="231" spans="1:33" x14ac:dyDescent="0.2">
      <c r="A231">
        <f t="shared" si="97"/>
        <v>1.9900000000000015</v>
      </c>
      <c r="B231" s="5">
        <f t="shared" si="98"/>
        <v>0</v>
      </c>
      <c r="C231" s="5">
        <f t="shared" si="99"/>
        <v>378.6701524384406</v>
      </c>
      <c r="D231" s="5">
        <f t="shared" si="100"/>
        <v>56.427031899862094</v>
      </c>
      <c r="E231" s="2">
        <f t="shared" si="82"/>
        <v>126.22338414614687</v>
      </c>
      <c r="F231" s="2">
        <f t="shared" si="101"/>
        <v>0</v>
      </c>
      <c r="G231" s="3">
        <f t="shared" si="102"/>
        <v>0</v>
      </c>
      <c r="H231" s="3">
        <f t="shared" si="103"/>
        <v>159.33672359978789</v>
      </c>
      <c r="I231" s="3">
        <f t="shared" si="104"/>
        <v>10.260311401666664</v>
      </c>
      <c r="J231" s="2">
        <f t="shared" si="83"/>
        <v>159.66673253240441</v>
      </c>
      <c r="K231" s="2">
        <f t="shared" si="105"/>
        <v>108.83894514819659</v>
      </c>
      <c r="L231" s="5">
        <f t="shared" si="84"/>
        <v>21.917022135608875</v>
      </c>
      <c r="M231" s="3">
        <f t="shared" si="85"/>
        <v>20.079052423058926</v>
      </c>
      <c r="N231" s="2">
        <v>0</v>
      </c>
      <c r="O231" s="2">
        <f t="shared" si="86"/>
        <v>159.66673253240441</v>
      </c>
      <c r="P231" s="2">
        <f t="shared" si="87"/>
        <v>108.83894514819659</v>
      </c>
      <c r="Q231" s="5">
        <f t="shared" si="88"/>
        <v>1.3456666979289673</v>
      </c>
      <c r="R231" s="5">
        <f t="shared" si="89"/>
        <v>0.15872801123201205</v>
      </c>
      <c r="S231" s="4">
        <f t="shared" si="106"/>
        <v>0.12575601757857652</v>
      </c>
      <c r="T231" s="5">
        <f t="shared" si="90"/>
        <v>0.10009745011501488</v>
      </c>
      <c r="U231" s="4">
        <f t="shared" si="91"/>
        <v>0</v>
      </c>
      <c r="V231" s="4">
        <f t="shared" si="92"/>
        <v>0</v>
      </c>
      <c r="W231" s="5">
        <f t="shared" si="93"/>
        <v>0</v>
      </c>
      <c r="X231" s="5">
        <f t="shared" si="94"/>
        <v>-22.946831877293658</v>
      </c>
      <c r="Y231" s="5">
        <f t="shared" si="95"/>
        <v>-1.4776357604420931</v>
      </c>
      <c r="Z231" s="5">
        <f>1</f>
        <v>1</v>
      </c>
      <c r="AA231" s="5">
        <f>IF(M231=0,0,const*($T231/omega)*O231*(wy*I231-wz*(H231-V231))/Z231)</f>
        <v>0</v>
      </c>
      <c r="AB231" s="5">
        <f>IF(M231=0,0,const*($T231/omega)*O231*(wz*(G231-U231)-wx*I231)/Z231)</f>
        <v>-0.93183030941412492</v>
      </c>
      <c r="AC231" s="5">
        <f>IF(M231=0,0,const*($T231/omega)*O231*(wx*(H231-V231)-wy*(G231-U231))/Z231)</f>
        <v>14.470787741286808</v>
      </c>
      <c r="AD231" s="5">
        <f t="shared" si="81"/>
        <v>0</v>
      </c>
      <c r="AE231" s="5">
        <f t="shared" si="81"/>
        <v>-23.878662186707782</v>
      </c>
      <c r="AF231" s="5">
        <f t="shared" si="96"/>
        <v>-19.180848019155285</v>
      </c>
      <c r="AG231">
        <f t="shared" si="107"/>
        <v>0</v>
      </c>
    </row>
    <row r="232" spans="1:33" x14ac:dyDescent="0.2">
      <c r="A232">
        <f t="shared" si="97"/>
        <v>2.0000000000000013</v>
      </c>
      <c r="B232" s="5">
        <f t="shared" si="98"/>
        <v>0</v>
      </c>
      <c r="C232" s="5">
        <f t="shared" si="99"/>
        <v>380.26232574132916</v>
      </c>
      <c r="D232" s="5">
        <f t="shared" si="100"/>
        <v>56.528675971477803</v>
      </c>
      <c r="E232" s="2">
        <f t="shared" si="82"/>
        <v>126.75410858044306</v>
      </c>
      <c r="F232" s="2">
        <f t="shared" si="101"/>
        <v>0</v>
      </c>
      <c r="G232" s="3">
        <f t="shared" si="102"/>
        <v>0</v>
      </c>
      <c r="H232" s="3">
        <f t="shared" si="103"/>
        <v>159.09793697792082</v>
      </c>
      <c r="I232" s="3">
        <f t="shared" si="104"/>
        <v>10.068502921475112</v>
      </c>
      <c r="J232" s="2">
        <f t="shared" si="83"/>
        <v>159.41621091253617</v>
      </c>
      <c r="K232" s="2">
        <f t="shared" si="105"/>
        <v>108.66817376451</v>
      </c>
      <c r="L232" s="5">
        <f t="shared" si="84"/>
        <v>21.951464604518847</v>
      </c>
      <c r="M232" s="3">
        <f t="shared" si="85"/>
        <v>20.072766908796662</v>
      </c>
      <c r="N232" s="2">
        <v>0</v>
      </c>
      <c r="O232" s="2">
        <f t="shared" si="86"/>
        <v>159.41621091253617</v>
      </c>
      <c r="P232" s="2">
        <f t="shared" si="87"/>
        <v>108.66817376451</v>
      </c>
      <c r="Q232" s="5">
        <f t="shared" si="88"/>
        <v>1.3435553088147734</v>
      </c>
      <c r="R232" s="5">
        <f t="shared" si="89"/>
        <v>0.15876103028082866</v>
      </c>
      <c r="S232" s="4">
        <f t="shared" si="106"/>
        <v>0.12591421408083525</v>
      </c>
      <c r="T232" s="5">
        <f t="shared" si="90"/>
        <v>0.10014779870213636</v>
      </c>
      <c r="U232" s="4">
        <f t="shared" si="91"/>
        <v>0</v>
      </c>
      <c r="V232" s="4">
        <f t="shared" si="92"/>
        <v>0</v>
      </c>
      <c r="W232" s="5">
        <f t="shared" si="93"/>
        <v>0</v>
      </c>
      <c r="X232" s="5">
        <f t="shared" si="94"/>
        <v>-22.88125165269286</v>
      </c>
      <c r="Y232" s="5">
        <f t="shared" si="95"/>
        <v>-1.4480385697528986</v>
      </c>
      <c r="Z232" s="5">
        <f>1</f>
        <v>1</v>
      </c>
      <c r="AA232" s="5">
        <f>IF(M232=0,0,const*($T232/omega)*O232*(wy*I232-wz*(H232-V232))/Z232)</f>
        <v>0</v>
      </c>
      <c r="AB232" s="5">
        <f>IF(M232=0,0,const*($T232/omega)*O232*(wz*(G232-U232)-wx*I232)/Z232)</f>
        <v>-0.91343495907039662</v>
      </c>
      <c r="AC232" s="5">
        <f>IF(M232=0,0,const*($T232/omega)*O232*(wx*(H232-V232)-wy*(G232-U232))/Z232)</f>
        <v>14.433686783925603</v>
      </c>
      <c r="AD232" s="5">
        <f t="shared" si="81"/>
        <v>0</v>
      </c>
      <c r="AE232" s="5">
        <f t="shared" si="81"/>
        <v>-23.794686611763257</v>
      </c>
      <c r="AF232" s="5">
        <f t="shared" si="96"/>
        <v>-19.188351785827294</v>
      </c>
      <c r="AG232">
        <f t="shared" si="107"/>
        <v>0</v>
      </c>
    </row>
    <row r="233" spans="1:33" x14ac:dyDescent="0.2">
      <c r="A233">
        <f t="shared" si="97"/>
        <v>2.0100000000000011</v>
      </c>
      <c r="B233" s="5">
        <f t="shared" si="98"/>
        <v>0</v>
      </c>
      <c r="C233" s="5">
        <f t="shared" si="99"/>
        <v>381.85211537677782</v>
      </c>
      <c r="D233" s="5">
        <f t="shared" si="100"/>
        <v>56.628401583103262</v>
      </c>
      <c r="E233" s="2">
        <f t="shared" si="82"/>
        <v>127.28403845892593</v>
      </c>
      <c r="F233" s="2">
        <f t="shared" si="101"/>
        <v>0</v>
      </c>
      <c r="G233" s="3">
        <f t="shared" si="102"/>
        <v>0</v>
      </c>
      <c r="H233" s="3">
        <f t="shared" si="103"/>
        <v>158.8599901118032</v>
      </c>
      <c r="I233" s="3">
        <f t="shared" si="104"/>
        <v>9.8766194036168393</v>
      </c>
      <c r="J233" s="2">
        <f t="shared" si="83"/>
        <v>159.16671784379457</v>
      </c>
      <c r="K233" s="2">
        <f t="shared" si="105"/>
        <v>108.49810350633577</v>
      </c>
      <c r="L233" s="5">
        <f t="shared" si="84"/>
        <v>21.985873420267179</v>
      </c>
      <c r="M233" s="3">
        <f t="shared" si="85"/>
        <v>20.066500238250455</v>
      </c>
      <c r="N233" s="2">
        <v>0</v>
      </c>
      <c r="O233" s="2">
        <f t="shared" si="86"/>
        <v>159.16671784379457</v>
      </c>
      <c r="P233" s="2">
        <f t="shared" si="87"/>
        <v>108.49810350633577</v>
      </c>
      <c r="Q233" s="5">
        <f t="shared" si="88"/>
        <v>1.3414525883003319</v>
      </c>
      <c r="R233" s="5">
        <f t="shared" si="89"/>
        <v>0.15879400793729787</v>
      </c>
      <c r="S233" s="4">
        <f t="shared" si="106"/>
        <v>0.12607221226955009</v>
      </c>
      <c r="T233" s="5">
        <f t="shared" si="90"/>
        <v>0.10019804630407347</v>
      </c>
      <c r="U233" s="4">
        <f t="shared" si="91"/>
        <v>0</v>
      </c>
      <c r="V233" s="4">
        <f t="shared" si="92"/>
        <v>0</v>
      </c>
      <c r="W233" s="5">
        <f t="shared" si="93"/>
        <v>0</v>
      </c>
      <c r="X233" s="5">
        <f t="shared" si="94"/>
        <v>-22.816012222509748</v>
      </c>
      <c r="Y233" s="5">
        <f t="shared" si="95"/>
        <v>-1.418513679066733</v>
      </c>
      <c r="Z233" s="5">
        <f>1</f>
        <v>1</v>
      </c>
      <c r="AA233" s="5">
        <f>IF(M233=0,0,const*($T233/omega)*O233*(wy*I233-wz*(H233-V233))/Z233)</f>
        <v>0</v>
      </c>
      <c r="AB233" s="5">
        <f>IF(M233=0,0,const*($T233/omega)*O233*(wz*(G233-U233)-wx*I233)/Z233)</f>
        <v>-0.89507344228135566</v>
      </c>
      <c r="AC233" s="5">
        <f>IF(M233=0,0,const*($T233/omega)*O233*(wx*(H233-V233)-wy*(G233-U233))/Z233)</f>
        <v>14.396763951244596</v>
      </c>
      <c r="AD233" s="5">
        <f t="shared" si="81"/>
        <v>0</v>
      </c>
      <c r="AE233" s="5">
        <f t="shared" si="81"/>
        <v>-23.711085664791103</v>
      </c>
      <c r="AF233" s="5">
        <f t="shared" si="96"/>
        <v>-19.195749727822136</v>
      </c>
      <c r="AG233">
        <f t="shared" si="107"/>
        <v>0</v>
      </c>
    </row>
    <row r="234" spans="1:33" x14ac:dyDescent="0.2">
      <c r="A234">
        <f t="shared" si="97"/>
        <v>2.0200000000000009</v>
      </c>
      <c r="B234" s="5">
        <f t="shared" si="98"/>
        <v>0</v>
      </c>
      <c r="C234" s="5">
        <f t="shared" si="99"/>
        <v>383.43952972361257</v>
      </c>
      <c r="D234" s="5">
        <f t="shared" si="100"/>
        <v>56.726207989653034</v>
      </c>
      <c r="E234" s="2">
        <f t="shared" si="82"/>
        <v>127.81317657453752</v>
      </c>
      <c r="F234" s="2">
        <f t="shared" si="101"/>
        <v>0</v>
      </c>
      <c r="G234" s="3">
        <f t="shared" si="102"/>
        <v>0</v>
      </c>
      <c r="H234" s="3">
        <f t="shared" si="103"/>
        <v>158.62287925515528</v>
      </c>
      <c r="I234" s="3">
        <f t="shared" si="104"/>
        <v>9.6846619063386186</v>
      </c>
      <c r="J234" s="2">
        <f t="shared" si="83"/>
        <v>158.91825099539594</v>
      </c>
      <c r="K234" s="2">
        <f t="shared" si="105"/>
        <v>108.3287327848643</v>
      </c>
      <c r="L234" s="5">
        <f t="shared" si="84"/>
        <v>22.020248079211694</v>
      </c>
      <c r="M234" s="3">
        <f t="shared" si="85"/>
        <v>20.060252245104174</v>
      </c>
      <c r="N234" s="2">
        <v>0</v>
      </c>
      <c r="O234" s="2">
        <f t="shared" si="86"/>
        <v>158.91825099539594</v>
      </c>
      <c r="P234" s="2">
        <f t="shared" si="87"/>
        <v>108.3287327848643</v>
      </c>
      <c r="Q234" s="5">
        <f t="shared" si="88"/>
        <v>1.3393585167418651</v>
      </c>
      <c r="R234" s="5">
        <f t="shared" si="89"/>
        <v>0.15882694353413512</v>
      </c>
      <c r="S234" s="4">
        <f t="shared" si="106"/>
        <v>0.1262300089477158</v>
      </c>
      <c r="T234" s="5">
        <f t="shared" si="90"/>
        <v>0.10024819212345834</v>
      </c>
      <c r="U234" s="4">
        <f t="shared" si="91"/>
        <v>0</v>
      </c>
      <c r="V234" s="4">
        <f t="shared" si="92"/>
        <v>0</v>
      </c>
      <c r="W234" s="5">
        <f t="shared" si="93"/>
        <v>0</v>
      </c>
      <c r="X234" s="5">
        <f t="shared" si="94"/>
        <v>-22.751111679213068</v>
      </c>
      <c r="Y234" s="5">
        <f t="shared" si="95"/>
        <v>-1.3890608066198586</v>
      </c>
      <c r="Z234" s="5">
        <f>1</f>
        <v>1</v>
      </c>
      <c r="AA234" s="5">
        <f>IF(M234=0,0,const*($T234/omega)*O234*(wy*I234-wz*(H234-V234))/Z234)</f>
        <v>0</v>
      </c>
      <c r="AB234" s="5">
        <f>IF(M234=0,0,const*($T234/omega)*O234*(wz*(G234-U234)-wx*I234)/Z234)</f>
        <v>-0.87674566742050153</v>
      </c>
      <c r="AC234" s="5">
        <f>IF(M234=0,0,const*($T234/omega)*O234*(wx*(H234-V234)-wy*(G234-U234))/Z234)</f>
        <v>14.360018293431601</v>
      </c>
      <c r="AD234" s="5">
        <f t="shared" si="81"/>
        <v>0</v>
      </c>
      <c r="AE234" s="5">
        <f t="shared" si="81"/>
        <v>-23.627857346633569</v>
      </c>
      <c r="AF234" s="5">
        <f t="shared" si="96"/>
        <v>-19.203042513188258</v>
      </c>
      <c r="AG234">
        <f t="shared" si="107"/>
        <v>0</v>
      </c>
    </row>
    <row r="235" spans="1:33" x14ac:dyDescent="0.2">
      <c r="A235">
        <f t="shared" si="97"/>
        <v>2.0300000000000007</v>
      </c>
      <c r="B235" s="5">
        <f t="shared" si="98"/>
        <v>0</v>
      </c>
      <c r="C235" s="5">
        <f t="shared" si="99"/>
        <v>385.02457712329675</v>
      </c>
      <c r="D235" s="5">
        <f t="shared" si="100"/>
        <v>56.822094456590762</v>
      </c>
      <c r="E235" s="2">
        <f t="shared" si="82"/>
        <v>128.34152570776558</v>
      </c>
      <c r="F235" s="2">
        <f t="shared" si="101"/>
        <v>0</v>
      </c>
      <c r="G235" s="3">
        <f t="shared" si="102"/>
        <v>0</v>
      </c>
      <c r="H235" s="3">
        <f t="shared" si="103"/>
        <v>158.38660068168895</v>
      </c>
      <c r="I235" s="3">
        <f t="shared" si="104"/>
        <v>9.4926314812067361</v>
      </c>
      <c r="J235" s="2">
        <f t="shared" si="83"/>
        <v>158.67080805220218</v>
      </c>
      <c r="K235" s="2">
        <f t="shared" si="105"/>
        <v>108.16006002195104</v>
      </c>
      <c r="L235" s="5">
        <f t="shared" si="84"/>
        <v>22.054588075720595</v>
      </c>
      <c r="M235" s="3">
        <f t="shared" si="85"/>
        <v>20.054022763632737</v>
      </c>
      <c r="N235" s="2">
        <v>0</v>
      </c>
      <c r="O235" s="2">
        <f t="shared" si="86"/>
        <v>158.67080805220218</v>
      </c>
      <c r="P235" s="2">
        <f t="shared" si="87"/>
        <v>108.16006002195104</v>
      </c>
      <c r="Q235" s="5">
        <f t="shared" si="88"/>
        <v>1.337273074627455</v>
      </c>
      <c r="R235" s="5">
        <f t="shared" si="89"/>
        <v>0.15885983640161253</v>
      </c>
      <c r="S235" s="4">
        <f t="shared" si="106"/>
        <v>0.12638760090662063</v>
      </c>
      <c r="T235" s="5">
        <f t="shared" si="90"/>
        <v>0.10029823536125287</v>
      </c>
      <c r="U235" s="4">
        <f t="shared" si="91"/>
        <v>0</v>
      </c>
      <c r="V235" s="4">
        <f t="shared" si="92"/>
        <v>0</v>
      </c>
      <c r="W235" s="5">
        <f t="shared" si="93"/>
        <v>0</v>
      </c>
      <c r="X235" s="5">
        <f t="shared" si="94"/>
        <v>-22.686548128872435</v>
      </c>
      <c r="Y235" s="5">
        <f t="shared" si="95"/>
        <v>-1.359679670130981</v>
      </c>
      <c r="Z235" s="5">
        <f>1</f>
        <v>1</v>
      </c>
      <c r="AA235" s="5">
        <f>IF(M235=0,0,const*($T235/omega)*O235*(wy*I235-wz*(H235-V235))/Z235)</f>
        <v>0</v>
      </c>
      <c r="AB235" s="5">
        <f>IF(M235=0,0,const*($T235/omega)*O235*(wz*(G235-U235)-wx*I235)/Z235)</f>
        <v>-0.85845154231396104</v>
      </c>
      <c r="AC235" s="5">
        <f>IF(M235=0,0,const*($T235/omega)*O235*(wx*(H235-V235)-wy*(G235-U235))/Z235)</f>
        <v>14.323448867286769</v>
      </c>
      <c r="AD235" s="5">
        <f t="shared" si="81"/>
        <v>0</v>
      </c>
      <c r="AE235" s="5">
        <f t="shared" si="81"/>
        <v>-23.544999671186396</v>
      </c>
      <c r="AF235" s="5">
        <f t="shared" si="96"/>
        <v>-19.210230802844212</v>
      </c>
      <c r="AG235">
        <f t="shared" si="107"/>
        <v>0</v>
      </c>
    </row>
    <row r="236" spans="1:33" x14ac:dyDescent="0.2">
      <c r="A236">
        <f t="shared" si="97"/>
        <v>2.0400000000000005</v>
      </c>
      <c r="B236" s="5">
        <f t="shared" si="98"/>
        <v>0</v>
      </c>
      <c r="C236" s="5">
        <f t="shared" si="99"/>
        <v>386.60726588013006</v>
      </c>
      <c r="D236" s="5">
        <f t="shared" si="100"/>
        <v>56.916060259862689</v>
      </c>
      <c r="E236" s="2">
        <f t="shared" si="82"/>
        <v>128.86908862671001</v>
      </c>
      <c r="F236" s="2">
        <f t="shared" si="101"/>
        <v>0</v>
      </c>
      <c r="G236" s="3">
        <f t="shared" si="102"/>
        <v>0</v>
      </c>
      <c r="H236" s="3">
        <f t="shared" si="103"/>
        <v>158.1511506849771</v>
      </c>
      <c r="I236" s="3">
        <f t="shared" si="104"/>
        <v>9.300529173178294</v>
      </c>
      <c r="J236" s="2">
        <f t="shared" si="83"/>
        <v>158.4243867145569</v>
      </c>
      <c r="K236" s="2">
        <f t="shared" si="105"/>
        <v>107.9920836500047</v>
      </c>
      <c r="L236" s="5">
        <f t="shared" si="84"/>
        <v>22.088892902190434</v>
      </c>
      <c r="M236" s="3">
        <f t="shared" si="85"/>
        <v>20.047811628697573</v>
      </c>
      <c r="N236" s="2">
        <v>0</v>
      </c>
      <c r="O236" s="2">
        <f t="shared" si="86"/>
        <v>158.4243867145569</v>
      </c>
      <c r="P236" s="2">
        <f t="shared" si="87"/>
        <v>107.9920836500047</v>
      </c>
      <c r="Q236" s="5">
        <f t="shared" si="88"/>
        <v>1.3351962425756618</v>
      </c>
      <c r="R236" s="5">
        <f t="shared" si="89"/>
        <v>0.1588926858675819</v>
      </c>
      <c r="S236" s="4">
        <f t="shared" si="106"/>
        <v>0.12654498492595692</v>
      </c>
      <c r="T236" s="5">
        <f t="shared" si="90"/>
        <v>0.10034817521677865</v>
      </c>
      <c r="U236" s="4">
        <f t="shared" si="91"/>
        <v>0</v>
      </c>
      <c r="V236" s="4">
        <f t="shared" si="92"/>
        <v>0</v>
      </c>
      <c r="W236" s="5">
        <f t="shared" si="93"/>
        <v>0</v>
      </c>
      <c r="X236" s="5">
        <f t="shared" si="94"/>
        <v>-22.622319691039316</v>
      </c>
      <c r="Y236" s="5">
        <f t="shared" si="95"/>
        <v>-1.3303699868145376</v>
      </c>
      <c r="Z236" s="5">
        <f>1</f>
        <v>1</v>
      </c>
      <c r="AA236" s="5">
        <f>IF(M236=0,0,const*($T236/omega)*O236*(wy*I236-wz*(H236-V236))/Z236)</f>
        <v>0</v>
      </c>
      <c r="AB236" s="5">
        <f>IF(M236=0,0,const*($T236/omega)*O236*(wz*(G236-U236)-wx*I236)/Z236)</f>
        <v>-0.84019097424827482</v>
      </c>
      <c r="AC236" s="5">
        <f>IF(M236=0,0,const*($T236/omega)*O236*(wx*(H236-V236)-wy*(G236-U236))/Z236)</f>
        <v>14.287054736164885</v>
      </c>
      <c r="AD236" s="5">
        <f t="shared" si="81"/>
        <v>0</v>
      </c>
      <c r="AE236" s="5">
        <f t="shared" si="81"/>
        <v>-23.462510665287592</v>
      </c>
      <c r="AF236" s="5">
        <f t="shared" si="96"/>
        <v>-19.217315250649651</v>
      </c>
      <c r="AG236">
        <f t="shared" si="107"/>
        <v>0</v>
      </c>
    </row>
    <row r="237" spans="1:33" x14ac:dyDescent="0.2">
      <c r="A237">
        <f t="shared" si="97"/>
        <v>2.0500000000000003</v>
      </c>
      <c r="B237" s="5">
        <f t="shared" si="98"/>
        <v>0</v>
      </c>
      <c r="C237" s="5">
        <f t="shared" si="99"/>
        <v>388.18760426144655</v>
      </c>
      <c r="D237" s="5">
        <f t="shared" si="100"/>
        <v>57.008104685831945</v>
      </c>
      <c r="E237" s="2">
        <f t="shared" si="82"/>
        <v>129.39586808714884</v>
      </c>
      <c r="F237" s="2">
        <f t="shared" si="101"/>
        <v>0</v>
      </c>
      <c r="G237" s="3">
        <f t="shared" si="102"/>
        <v>0</v>
      </c>
      <c r="H237" s="3">
        <f t="shared" si="103"/>
        <v>157.91652557832421</v>
      </c>
      <c r="I237" s="3">
        <f t="shared" si="104"/>
        <v>9.1083560206717973</v>
      </c>
      <c r="J237" s="2">
        <f t="shared" si="83"/>
        <v>158.17898469812238</v>
      </c>
      <c r="K237" s="2">
        <f t="shared" si="105"/>
        <v>107.8248021118762</v>
      </c>
      <c r="L237" s="5">
        <f t="shared" si="84"/>
        <v>22.123162049064458</v>
      </c>
      <c r="M237" s="3">
        <f t="shared" si="85"/>
        <v>20.041618675742107</v>
      </c>
      <c r="N237" s="2">
        <v>0</v>
      </c>
      <c r="O237" s="2">
        <f t="shared" si="86"/>
        <v>158.17898469812238</v>
      </c>
      <c r="P237" s="2">
        <f t="shared" si="87"/>
        <v>107.8248021118762</v>
      </c>
      <c r="Q237" s="5">
        <f t="shared" si="88"/>
        <v>1.3331280013341527</v>
      </c>
      <c r="R237" s="5">
        <f t="shared" si="89"/>
        <v>0.15892549125749816</v>
      </c>
      <c r="S237" s="4">
        <f t="shared" si="106"/>
        <v>0.12670215777393345</v>
      </c>
      <c r="T237" s="5">
        <f t="shared" si="90"/>
        <v>0.10039801088774733</v>
      </c>
      <c r="U237" s="4">
        <f t="shared" si="91"/>
        <v>0</v>
      </c>
      <c r="V237" s="4">
        <f t="shared" si="92"/>
        <v>0</v>
      </c>
      <c r="W237" s="5">
        <f t="shared" si="93"/>
        <v>0</v>
      </c>
      <c r="X237" s="5">
        <f t="shared" si="94"/>
        <v>-22.558424498629147</v>
      </c>
      <c r="Y237" s="5">
        <f t="shared" si="95"/>
        <v>-1.3011314733938271</v>
      </c>
      <c r="Z237" s="5">
        <f>1</f>
        <v>1</v>
      </c>
      <c r="AA237" s="5">
        <f>IF(M237=0,0,const*($T237/omega)*O237*(wy*I237-wz*(H237-V237))/Z237)</f>
        <v>0</v>
      </c>
      <c r="AB237" s="5">
        <f>IF(M237=0,0,const*($T237/omega)*O237*(wz*(G237-U237)-wx*I237)/Z237)</f>
        <v>-0.82196386997810178</v>
      </c>
      <c r="AC237" s="5">
        <f>IF(M237=0,0,const*($T237/omega)*O237*(wx*(H237-V237)-wy*(G237-U237))/Z237)</f>
        <v>14.250834969918269</v>
      </c>
      <c r="AD237" s="5">
        <f t="shared" si="81"/>
        <v>0</v>
      </c>
      <c r="AE237" s="5">
        <f t="shared" si="81"/>
        <v>-23.38038836860725</v>
      </c>
      <c r="AF237" s="5">
        <f t="shared" si="96"/>
        <v>-19.224296503475557</v>
      </c>
      <c r="AG237">
        <f t="shared" si="107"/>
        <v>0</v>
      </c>
    </row>
    <row r="238" spans="1:33" x14ac:dyDescent="0.2">
      <c r="A238">
        <f t="shared" si="97"/>
        <v>2.06</v>
      </c>
      <c r="B238" s="5">
        <f t="shared" si="98"/>
        <v>0</v>
      </c>
      <c r="C238" s="5">
        <f t="shared" si="99"/>
        <v>389.76560049781136</v>
      </c>
      <c r="D238" s="5">
        <f t="shared" si="100"/>
        <v>57.09822703121349</v>
      </c>
      <c r="E238" s="2">
        <f t="shared" si="82"/>
        <v>129.9218668326038</v>
      </c>
      <c r="F238" s="2">
        <f t="shared" si="101"/>
        <v>0</v>
      </c>
      <c r="G238" s="3">
        <f t="shared" si="102"/>
        <v>0</v>
      </c>
      <c r="H238" s="3">
        <f t="shared" si="103"/>
        <v>157.68272169463813</v>
      </c>
      <c r="I238" s="3">
        <f t="shared" si="104"/>
        <v>8.9161130556370409</v>
      </c>
      <c r="J238" s="2">
        <f t="shared" si="83"/>
        <v>157.93459973371765</v>
      </c>
      <c r="K238" s="2">
        <f t="shared" si="105"/>
        <v>107.65821386074822</v>
      </c>
      <c r="L238" s="5">
        <f t="shared" si="84"/>
        <v>22.1573950048512</v>
      </c>
      <c r="M238" s="3">
        <f t="shared" si="85"/>
        <v>20.035443740787326</v>
      </c>
      <c r="N238" s="2">
        <v>0</v>
      </c>
      <c r="O238" s="2">
        <f t="shared" si="86"/>
        <v>157.93459973371765</v>
      </c>
      <c r="P238" s="2">
        <f t="shared" si="87"/>
        <v>107.65821386074822</v>
      </c>
      <c r="Q238" s="5">
        <f t="shared" si="88"/>
        <v>1.3310683317783338</v>
      </c>
      <c r="R238" s="5">
        <f t="shared" si="89"/>
        <v>0.15895825189444329</v>
      </c>
      <c r="S238" s="4">
        <f t="shared" si="106"/>
        <v>0.12685911620739007</v>
      </c>
      <c r="T238" s="5">
        <f t="shared" si="90"/>
        <v>0.10044774157029127</v>
      </c>
      <c r="U238" s="4">
        <f t="shared" si="91"/>
        <v>0</v>
      </c>
      <c r="V238" s="4">
        <f t="shared" si="92"/>
        <v>0</v>
      </c>
      <c r="W238" s="5">
        <f t="shared" si="93"/>
        <v>0</v>
      </c>
      <c r="X238" s="5">
        <f t="shared" si="94"/>
        <v>-22.494860697804587</v>
      </c>
      <c r="Y238" s="5">
        <f t="shared" si="95"/>
        <v>-1.2719638461139788</v>
      </c>
      <c r="Z238" s="5">
        <f>1</f>
        <v>1</v>
      </c>
      <c r="AA238" s="5">
        <f>IF(M238=0,0,const*($T238/omega)*O238*(wy*I238-wz*(H238-V238))/Z238)</f>
        <v>0</v>
      </c>
      <c r="AB238" s="5">
        <f>IF(M238=0,0,const*($T238/omega)*O238*(wz*(G238-U238)-wx*I238)/Z238)</f>
        <v>-0.80377013573384037</v>
      </c>
      <c r="AC238" s="5">
        <f>IF(M238=0,0,const*($T238/omega)*O238*(wx*(H238-V238)-wy*(G238-U238))/Z238)</f>
        <v>14.214788644840178</v>
      </c>
      <c r="AD238" s="5">
        <f t="shared" si="81"/>
        <v>0</v>
      </c>
      <c r="AE238" s="5">
        <f t="shared" si="81"/>
        <v>-23.298630833538429</v>
      </c>
      <c r="AF238" s="5">
        <f t="shared" si="96"/>
        <v>-19.2311752012738</v>
      </c>
      <c r="AG238">
        <f t="shared" si="107"/>
        <v>0</v>
      </c>
    </row>
    <row r="239" spans="1:33" x14ac:dyDescent="0.2">
      <c r="A239">
        <f t="shared" si="97"/>
        <v>2.0699999999999998</v>
      </c>
      <c r="B239" s="5">
        <f t="shared" si="98"/>
        <v>0</v>
      </c>
      <c r="C239" s="5">
        <f t="shared" si="99"/>
        <v>391.34126278321605</v>
      </c>
      <c r="D239" s="5">
        <f t="shared" si="100"/>
        <v>57.186426603009799</v>
      </c>
      <c r="E239" s="2">
        <f t="shared" si="82"/>
        <v>130.44708759440536</v>
      </c>
      <c r="F239" s="2">
        <f t="shared" si="101"/>
        <v>0</v>
      </c>
      <c r="G239" s="3">
        <f t="shared" si="102"/>
        <v>0</v>
      </c>
      <c r="H239" s="3">
        <f t="shared" si="103"/>
        <v>157.44973538630273</v>
      </c>
      <c r="I239" s="3">
        <f t="shared" si="104"/>
        <v>8.7238013036243025</v>
      </c>
      <c r="J239" s="2">
        <f t="shared" si="83"/>
        <v>157.69122956715719</v>
      </c>
      <c r="K239" s="2">
        <f t="shared" si="105"/>
        <v>107.49231736002535</v>
      </c>
      <c r="L239" s="5">
        <f t="shared" si="84"/>
        <v>22.191591256143539</v>
      </c>
      <c r="M239" s="3">
        <f t="shared" si="85"/>
        <v>20.029286660427402</v>
      </c>
      <c r="N239" s="2">
        <v>0</v>
      </c>
      <c r="O239" s="2">
        <f t="shared" si="86"/>
        <v>157.69122956715719</v>
      </c>
      <c r="P239" s="2">
        <f t="shared" si="87"/>
        <v>107.49231736002535</v>
      </c>
      <c r="Q239" s="5">
        <f t="shared" si="88"/>
        <v>1.3290172149099948</v>
      </c>
      <c r="R239" s="5">
        <f t="shared" si="89"/>
        <v>0.15899096709915073</v>
      </c>
      <c r="S239" s="4">
        <f t="shared" si="106"/>
        <v>0.1270158569719147</v>
      </c>
      <c r="T239" s="5">
        <f t="shared" si="90"/>
        <v>0.10049736645899476</v>
      </c>
      <c r="U239" s="4">
        <f t="shared" si="91"/>
        <v>0</v>
      </c>
      <c r="V239" s="4">
        <f t="shared" si="92"/>
        <v>0</v>
      </c>
      <c r="W239" s="5">
        <f t="shared" si="93"/>
        <v>0</v>
      </c>
      <c r="X239" s="5">
        <f t="shared" si="94"/>
        <v>-22.431626447859916</v>
      </c>
      <c r="Y239" s="5">
        <f t="shared" si="95"/>
        <v>-1.2428668207547691</v>
      </c>
      <c r="Z239" s="5">
        <f>1</f>
        <v>1</v>
      </c>
      <c r="AA239" s="5">
        <f>IF(M239=0,0,const*($T239/omega)*O239*(wy*I239-wz*(H239-V239))/Z239)</f>
        <v>0</v>
      </c>
      <c r="AB239" s="5">
        <f>IF(M239=0,0,const*($T239/omega)*O239*(wz*(G239-U239)-wx*I239)/Z239)</f>
        <v>-0.78560967722917241</v>
      </c>
      <c r="AC239" s="5">
        <f>IF(M239=0,0,const*($T239/omega)*O239*(wx*(H239-V239)-wy*(G239-U239))/Z239)</f>
        <v>14.178914843608739</v>
      </c>
      <c r="AD239" s="5">
        <f t="shared" si="81"/>
        <v>0</v>
      </c>
      <c r="AE239" s="5">
        <f t="shared" si="81"/>
        <v>-23.217236125089087</v>
      </c>
      <c r="AF239" s="5">
        <f t="shared" si="96"/>
        <v>-19.237951977146029</v>
      </c>
      <c r="AG239">
        <f t="shared" si="107"/>
        <v>0</v>
      </c>
    </row>
    <row r="240" spans="1:33" x14ac:dyDescent="0.2">
      <c r="A240">
        <f t="shared" si="97"/>
        <v>2.0799999999999996</v>
      </c>
      <c r="B240" s="5">
        <f t="shared" si="98"/>
        <v>0</v>
      </c>
      <c r="C240" s="5">
        <f t="shared" si="99"/>
        <v>392.91459927527285</v>
      </c>
      <c r="D240" s="5">
        <f t="shared" si="100"/>
        <v>57.272702718447185</v>
      </c>
      <c r="E240" s="2">
        <f t="shared" si="82"/>
        <v>130.97153309175761</v>
      </c>
      <c r="F240" s="2">
        <f t="shared" si="101"/>
        <v>0</v>
      </c>
      <c r="G240" s="3">
        <f t="shared" si="102"/>
        <v>0</v>
      </c>
      <c r="H240" s="3">
        <f t="shared" si="103"/>
        <v>157.21756302505185</v>
      </c>
      <c r="I240" s="3">
        <f t="shared" si="104"/>
        <v>8.5314217838528421</v>
      </c>
      <c r="J240" s="2">
        <f t="shared" si="83"/>
        <v>157.44887195909072</v>
      </c>
      <c r="K240" s="2">
        <f t="shared" si="105"/>
        <v>107.32711108322475</v>
      </c>
      <c r="L240" s="5">
        <f t="shared" si="84"/>
        <v>22.225750287638061</v>
      </c>
      <c r="M240" s="3">
        <f t="shared" si="85"/>
        <v>20.023147271825419</v>
      </c>
      <c r="N240" s="2">
        <v>0</v>
      </c>
      <c r="O240" s="2">
        <f t="shared" si="86"/>
        <v>157.44887195909072</v>
      </c>
      <c r="P240" s="2">
        <f t="shared" si="87"/>
        <v>107.32711108322475</v>
      </c>
      <c r="Q240" s="5">
        <f t="shared" si="88"/>
        <v>1.3269746318559539</v>
      </c>
      <c r="R240" s="5">
        <f t="shared" si="89"/>
        <v>0.15902363619003029</v>
      </c>
      <c r="S240" s="4">
        <f t="shared" si="106"/>
        <v>0.12717237680196242</v>
      </c>
      <c r="T240" s="5">
        <f t="shared" si="90"/>
        <v>0.10054688474692555</v>
      </c>
      <c r="U240" s="4">
        <f t="shared" si="91"/>
        <v>0</v>
      </c>
      <c r="V240" s="4">
        <f t="shared" si="92"/>
        <v>0</v>
      </c>
      <c r="W240" s="5">
        <f t="shared" si="93"/>
        <v>0</v>
      </c>
      <c r="X240" s="5">
        <f t="shared" si="94"/>
        <v>-22.368719921106511</v>
      </c>
      <c r="Y240" s="5">
        <f t="shared" si="95"/>
        <v>-1.2138401126432812</v>
      </c>
      <c r="Z240" s="5">
        <f>1</f>
        <v>1</v>
      </c>
      <c r="AA240" s="5">
        <f>IF(M240=0,0,const*($T240/omega)*O240*(wy*I240-wz*(H240-V240))/Z240)</f>
        <v>0</v>
      </c>
      <c r="AB240" s="5">
        <f>IF(M240=0,0,const*($T240/omega)*O240*(wz*(G240-U240)-wx*I240)/Z240)</f>
        <v>-0.76748239966852616</v>
      </c>
      <c r="AC240" s="5">
        <f>IF(M240=0,0,const*($T240/omega)*O240*(wx*(H240-V240)-wy*(G240-U240))/Z240)</f>
        <v>14.143212655231421</v>
      </c>
      <c r="AD240" s="5">
        <f t="shared" ref="AD240:AE303" si="108">W240+AA240</f>
        <v>0</v>
      </c>
      <c r="AE240" s="5">
        <f t="shared" si="108"/>
        <v>-23.136202320775038</v>
      </c>
      <c r="AF240" s="5">
        <f t="shared" si="96"/>
        <v>-19.244627457411859</v>
      </c>
      <c r="AG240">
        <f t="shared" si="107"/>
        <v>0</v>
      </c>
    </row>
    <row r="241" spans="1:33" x14ac:dyDescent="0.2">
      <c r="A241">
        <f t="shared" si="97"/>
        <v>2.0899999999999994</v>
      </c>
      <c r="B241" s="5">
        <f t="shared" si="98"/>
        <v>0</v>
      </c>
      <c r="C241" s="5">
        <f t="shared" si="99"/>
        <v>394.48561809540735</v>
      </c>
      <c r="D241" s="5">
        <f t="shared" si="100"/>
        <v>57.357054704912841</v>
      </c>
      <c r="E241" s="2">
        <f t="shared" si="82"/>
        <v>131.49520603180244</v>
      </c>
      <c r="F241" s="2">
        <f t="shared" si="101"/>
        <v>0</v>
      </c>
      <c r="G241" s="3">
        <f t="shared" si="102"/>
        <v>0</v>
      </c>
      <c r="H241" s="3">
        <f t="shared" si="103"/>
        <v>156.98620100184411</v>
      </c>
      <c r="I241" s="3">
        <f t="shared" si="104"/>
        <v>8.3389755092787237</v>
      </c>
      <c r="J241" s="2">
        <f t="shared" si="83"/>
        <v>157.20752468484372</v>
      </c>
      <c r="K241" s="2">
        <f t="shared" si="105"/>
        <v>107.16259351386756</v>
      </c>
      <c r="L241" s="5">
        <f t="shared" si="84"/>
        <v>22.25987158215478</v>
      </c>
      <c r="M241" s="3">
        <f t="shared" si="85"/>
        <v>20.017025412709121</v>
      </c>
      <c r="N241" s="2">
        <v>0</v>
      </c>
      <c r="O241" s="2">
        <f t="shared" si="86"/>
        <v>157.20752468484372</v>
      </c>
      <c r="P241" s="2">
        <f t="shared" si="87"/>
        <v>107.16259351386756</v>
      </c>
      <c r="Q241" s="5">
        <f t="shared" si="88"/>
        <v>1.3249405638667178</v>
      </c>
      <c r="R241" s="5">
        <f t="shared" si="89"/>
        <v>0.15905625848319344</v>
      </c>
      <c r="S241" s="4">
        <f t="shared" si="106"/>
        <v>0.12732867242097701</v>
      </c>
      <c r="T241" s="5">
        <f t="shared" si="90"/>
        <v>0.10059629562566698</v>
      </c>
      <c r="U241" s="4">
        <f t="shared" si="91"/>
        <v>0</v>
      </c>
      <c r="V241" s="4">
        <f t="shared" si="92"/>
        <v>0</v>
      </c>
      <c r="W241" s="5">
        <f t="shared" si="93"/>
        <v>0</v>
      </c>
      <c r="X241" s="5">
        <f t="shared" si="94"/>
        <v>-22.306139302759419</v>
      </c>
      <c r="Y241" s="5">
        <f t="shared" si="95"/>
        <v>-1.1848834366664196</v>
      </c>
      <c r="Z241" s="5">
        <f>1</f>
        <v>1</v>
      </c>
      <c r="AA241" s="5">
        <f>IF(M241=0,0,const*($T241/omega)*O241*(wy*I241-wz*(H241-V241))/Z241)</f>
        <v>0</v>
      </c>
      <c r="AB241" s="5">
        <f>IF(M241=0,0,const*($T241/omega)*O241*(wz*(G241-U241)-wx*I241)/Z241)</f>
        <v>-0.7493882077544658</v>
      </c>
      <c r="AC241" s="5">
        <f>IF(M241=0,0,const*($T241/omega)*O241*(wx*(H241-V241)-wy*(G241-U241))/Z241)</f>
        <v>14.107681174990024</v>
      </c>
      <c r="AD241" s="5">
        <f t="shared" si="108"/>
        <v>0</v>
      </c>
      <c r="AE241" s="5">
        <f t="shared" si="108"/>
        <v>-23.055527510513883</v>
      </c>
      <c r="AF241" s="5">
        <f t="shared" si="96"/>
        <v>-19.251202261676397</v>
      </c>
      <c r="AG241">
        <f t="shared" si="107"/>
        <v>0</v>
      </c>
    </row>
    <row r="242" spans="1:33" x14ac:dyDescent="0.2">
      <c r="A242">
        <f t="shared" si="97"/>
        <v>2.0999999999999992</v>
      </c>
      <c r="B242" s="5">
        <f t="shared" si="98"/>
        <v>0</v>
      </c>
      <c r="C242" s="5">
        <f t="shared" si="99"/>
        <v>396.05432732905024</v>
      </c>
      <c r="D242" s="5">
        <f t="shared" si="100"/>
        <v>57.439481899892549</v>
      </c>
      <c r="E242" s="2">
        <f t="shared" si="82"/>
        <v>132.01810910968342</v>
      </c>
      <c r="F242" s="2">
        <f t="shared" si="101"/>
        <v>0</v>
      </c>
      <c r="G242" s="3">
        <f t="shared" si="102"/>
        <v>0</v>
      </c>
      <c r="H242" s="3">
        <f t="shared" si="103"/>
        <v>156.75564572673898</v>
      </c>
      <c r="I242" s="3">
        <f t="shared" si="104"/>
        <v>8.1464634866619594</v>
      </c>
      <c r="J242" s="2">
        <f t="shared" si="83"/>
        <v>156.96718553425879</v>
      </c>
      <c r="K242" s="2">
        <f t="shared" si="105"/>
        <v>106.99876314537067</v>
      </c>
      <c r="L242" s="5">
        <f t="shared" si="84"/>
        <v>22.293954620657225</v>
      </c>
      <c r="M242" s="3">
        <f t="shared" si="85"/>
        <v>20.010920921366761</v>
      </c>
      <c r="N242" s="2">
        <v>0</v>
      </c>
      <c r="O242" s="2">
        <f t="shared" si="86"/>
        <v>156.96718553425879</v>
      </c>
      <c r="P242" s="2">
        <f t="shared" si="87"/>
        <v>106.99876314537067</v>
      </c>
      <c r="Q242" s="5">
        <f t="shared" si="88"/>
        <v>1.3229149923151418</v>
      </c>
      <c r="R242" s="5">
        <f t="shared" si="89"/>
        <v>0.15908883329247919</v>
      </c>
      <c r="S242" s="4">
        <f t="shared" si="106"/>
        <v>0.12748474054151457</v>
      </c>
      <c r="T242" s="5">
        <f t="shared" si="90"/>
        <v>0.10064559828535025</v>
      </c>
      <c r="U242" s="4">
        <f t="shared" si="91"/>
        <v>0</v>
      </c>
      <c r="V242" s="4">
        <f t="shared" si="92"/>
        <v>0</v>
      </c>
      <c r="W242" s="5">
        <f t="shared" si="93"/>
        <v>0</v>
      </c>
      <c r="X242" s="5">
        <f t="shared" si="94"/>
        <v>-22.243882790825054</v>
      </c>
      <c r="Y242" s="5">
        <f t="shared" si="95"/>
        <v>-1.1559965072832747</v>
      </c>
      <c r="Z242" s="5">
        <f>1</f>
        <v>1</v>
      </c>
      <c r="AA242" s="5">
        <f>IF(M242=0,0,const*($T242/omega)*O242*(wy*I242-wz*(H242-V242))/Z242)</f>
        <v>0</v>
      </c>
      <c r="AB242" s="5">
        <f>IF(M242=0,0,const*($T242/omega)*O242*(wz*(G242-U242)-wx*I242)/Z242)</f>
        <v>-0.73132700569500364</v>
      </c>
      <c r="AC242" s="5">
        <f>IF(M242=0,0,const*($T242/omega)*O242*(wx*(H242-V242)-wy*(G242-U242))/Z242)</f>
        <v>14.072319504386165</v>
      </c>
      <c r="AD242" s="5">
        <f t="shared" si="108"/>
        <v>0</v>
      </c>
      <c r="AE242" s="5">
        <f t="shared" si="108"/>
        <v>-22.975209796520058</v>
      </c>
      <c r="AF242" s="5">
        <f t="shared" si="96"/>
        <v>-19.257677002897111</v>
      </c>
      <c r="AG242">
        <f t="shared" si="107"/>
        <v>0</v>
      </c>
    </row>
    <row r="243" spans="1:33" x14ac:dyDescent="0.2">
      <c r="A243">
        <f t="shared" si="97"/>
        <v>2.109999999999999</v>
      </c>
      <c r="B243" s="5">
        <f t="shared" si="98"/>
        <v>0</v>
      </c>
      <c r="C243" s="5">
        <f t="shared" si="99"/>
        <v>397.62073502582786</v>
      </c>
      <c r="D243" s="5">
        <f t="shared" si="100"/>
        <v>57.519983650909026</v>
      </c>
      <c r="E243" s="2">
        <f t="shared" si="82"/>
        <v>132.54024500860928</v>
      </c>
      <c r="F243" s="2">
        <f t="shared" si="101"/>
        <v>0</v>
      </c>
      <c r="G243" s="3">
        <f t="shared" si="102"/>
        <v>0</v>
      </c>
      <c r="H243" s="3">
        <f t="shared" si="103"/>
        <v>156.52589362877379</v>
      </c>
      <c r="I243" s="3">
        <f t="shared" si="104"/>
        <v>7.9538867166329883</v>
      </c>
      <c r="J243" s="2">
        <f t="shared" si="83"/>
        <v>156.7278523115379</v>
      </c>
      <c r="K243" s="2">
        <f t="shared" si="105"/>
        <v>106.83561848093926</v>
      </c>
      <c r="L243" s="5">
        <f t="shared" si="84"/>
        <v>22.32799888227289</v>
      </c>
      <c r="M243" s="3">
        <f t="shared" si="85"/>
        <v>20.004833636642999</v>
      </c>
      <c r="N243" s="2">
        <v>0</v>
      </c>
      <c r="O243" s="2">
        <f t="shared" si="86"/>
        <v>156.7278523115379</v>
      </c>
      <c r="P243" s="2">
        <f t="shared" si="87"/>
        <v>106.83561848093926</v>
      </c>
      <c r="Q243" s="5">
        <f t="shared" si="88"/>
        <v>1.3208978986951034</v>
      </c>
      <c r="R243" s="5">
        <f t="shared" si="89"/>
        <v>0.15912135992948034</v>
      </c>
      <c r="S243" s="4">
        <f t="shared" si="106"/>
        <v>0.12764057786536959</v>
      </c>
      <c r="T243" s="5">
        <f t="shared" si="90"/>
        <v>0.10069479191468743</v>
      </c>
      <c r="U243" s="4">
        <f t="shared" si="91"/>
        <v>0</v>
      </c>
      <c r="V243" s="4">
        <f t="shared" si="92"/>
        <v>0</v>
      </c>
      <c r="W243" s="5">
        <f t="shared" si="93"/>
        <v>0</v>
      </c>
      <c r="X243" s="5">
        <f t="shared" si="94"/>
        <v>-22.18194859598994</v>
      </c>
      <c r="Y243" s="5">
        <f t="shared" si="95"/>
        <v>-1.1271790385373461</v>
      </c>
      <c r="Z243" s="5">
        <f>1</f>
        <v>1</v>
      </c>
      <c r="AA243" s="5">
        <f>IF(M243=0,0,const*($T243/omega)*O243*(wy*I243-wz*(H243-V243))/Z243)</f>
        <v>0</v>
      </c>
      <c r="AB243" s="5">
        <f>IF(M243=0,0,const*($T243/omega)*O243*(wz*(G243-U243)-wx*I243)/Z243)</f>
        <v>-0.71329869721084005</v>
      </c>
      <c r="AC243" s="5">
        <f>IF(M243=0,0,const*($T243/omega)*O243*(wx*(H243-V243)-wy*(G243-U243))/Z243)</f>
        <v>14.037126751087301</v>
      </c>
      <c r="AD243" s="5">
        <f t="shared" si="108"/>
        <v>0</v>
      </c>
      <c r="AE243" s="5">
        <f t="shared" si="108"/>
        <v>-22.895247293200779</v>
      </c>
      <c r="AF243" s="5">
        <f t="shared" si="96"/>
        <v>-19.264052287450042</v>
      </c>
      <c r="AG243">
        <f t="shared" si="107"/>
        <v>0</v>
      </c>
    </row>
    <row r="244" spans="1:33" x14ac:dyDescent="0.2">
      <c r="A244">
        <f t="shared" si="97"/>
        <v>2.1199999999999988</v>
      </c>
      <c r="B244" s="5">
        <f t="shared" si="98"/>
        <v>0</v>
      </c>
      <c r="C244" s="5">
        <f t="shared" si="99"/>
        <v>399.18484919975094</v>
      </c>
      <c r="D244" s="5">
        <f t="shared" si="100"/>
        <v>57.598559315460982</v>
      </c>
      <c r="E244" s="2">
        <f t="shared" si="82"/>
        <v>133.06161639991697</v>
      </c>
      <c r="F244" s="2">
        <f t="shared" si="101"/>
        <v>0</v>
      </c>
      <c r="G244" s="3">
        <f t="shared" si="102"/>
        <v>0</v>
      </c>
      <c r="H244" s="3">
        <f t="shared" si="103"/>
        <v>156.29694115584178</v>
      </c>
      <c r="I244" s="3">
        <f t="shared" si="104"/>
        <v>7.7612461937584882</v>
      </c>
      <c r="J244" s="2">
        <f t="shared" si="83"/>
        <v>156.48952283508567</v>
      </c>
      <c r="K244" s="2">
        <f t="shared" si="105"/>
        <v>106.67315803345988</v>
      </c>
      <c r="L244" s="5">
        <f t="shared" si="84"/>
        <v>22.362003844314</v>
      </c>
      <c r="M244" s="3">
        <f t="shared" si="85"/>
        <v>19.998763397934852</v>
      </c>
      <c r="N244" s="2">
        <v>0</v>
      </c>
      <c r="O244" s="2">
        <f t="shared" si="86"/>
        <v>156.48952283508567</v>
      </c>
      <c r="P244" s="2">
        <f t="shared" si="87"/>
        <v>106.67315803345988</v>
      </c>
      <c r="Q244" s="5">
        <f t="shared" si="88"/>
        <v>1.318889264620178</v>
      </c>
      <c r="R244" s="5">
        <f t="shared" si="89"/>
        <v>0.15915383770357022</v>
      </c>
      <c r="S244" s="4">
        <f t="shared" si="106"/>
        <v>0.1277961810837028</v>
      </c>
      <c r="T244" s="5">
        <f t="shared" si="90"/>
        <v>0.10074387570100467</v>
      </c>
      <c r="U244" s="4">
        <f t="shared" si="91"/>
        <v>0</v>
      </c>
      <c r="V244" s="4">
        <f t="shared" si="92"/>
        <v>0</v>
      </c>
      <c r="W244" s="5">
        <f t="shared" si="93"/>
        <v>0</v>
      </c>
      <c r="X244" s="5">
        <f t="shared" si="94"/>
        <v>-22.1203349415105</v>
      </c>
      <c r="Y244" s="5">
        <f t="shared" si="95"/>
        <v>-1.0984307440686243</v>
      </c>
      <c r="Z244" s="5">
        <f>1</f>
        <v>1</v>
      </c>
      <c r="AA244" s="5">
        <f>IF(M244=0,0,const*($T244/omega)*O244*(wy*I244-wz*(H244-V244))/Z244)</f>
        <v>0</v>
      </c>
      <c r="AB244" s="5">
        <f>IF(M244=0,0,const*($T244/omega)*O244*(wz*(G244-U244)-wx*I244)/Z244)</f>
        <v>-0.69530318554253212</v>
      </c>
      <c r="AC244" s="5">
        <f>IF(M244=0,0,const*($T244/omega)*O244*(wx*(H244-V244)-wy*(G244-U244))/Z244)</f>
        <v>14.002102028873246</v>
      </c>
      <c r="AD244" s="5">
        <f t="shared" si="108"/>
        <v>0</v>
      </c>
      <c r="AE244" s="5">
        <f t="shared" si="108"/>
        <v>-22.815638127053031</v>
      </c>
      <c r="AF244" s="5">
        <f t="shared" si="96"/>
        <v>-19.270328715195376</v>
      </c>
      <c r="AG244">
        <f t="shared" si="107"/>
        <v>0</v>
      </c>
    </row>
    <row r="245" spans="1:33" x14ac:dyDescent="0.2">
      <c r="A245">
        <f t="shared" si="97"/>
        <v>2.1299999999999986</v>
      </c>
      <c r="B245" s="5">
        <f t="shared" si="98"/>
        <v>0</v>
      </c>
      <c r="C245" s="5">
        <f t="shared" si="99"/>
        <v>400.74667782940298</v>
      </c>
      <c r="D245" s="5">
        <f t="shared" si="100"/>
        <v>57.675208260962805</v>
      </c>
      <c r="E245" s="2">
        <f t="shared" si="82"/>
        <v>133.58222594313432</v>
      </c>
      <c r="F245" s="2">
        <f t="shared" si="101"/>
        <v>0</v>
      </c>
      <c r="G245" s="3">
        <f t="shared" si="102"/>
        <v>0</v>
      </c>
      <c r="H245" s="3">
        <f t="shared" si="103"/>
        <v>156.06878477457124</v>
      </c>
      <c r="I245" s="3">
        <f t="shared" si="104"/>
        <v>7.5685429066065346</v>
      </c>
      <c r="J245" s="2">
        <f t="shared" si="83"/>
        <v>156.25219493735307</v>
      </c>
      <c r="K245" s="2">
        <f t="shared" si="105"/>
        <v>106.51138032539404</v>
      </c>
      <c r="L245" s="5">
        <f t="shared" si="84"/>
        <v>22.395968982298697</v>
      </c>
      <c r="M245" s="3">
        <f t="shared" si="85"/>
        <v>19.992710045187756</v>
      </c>
      <c r="N245" s="2">
        <v>0</v>
      </c>
      <c r="O245" s="2">
        <f t="shared" si="86"/>
        <v>156.25219493735307</v>
      </c>
      <c r="P245" s="2">
        <f t="shared" si="87"/>
        <v>106.51138032539404</v>
      </c>
      <c r="Q245" s="5">
        <f t="shared" si="88"/>
        <v>1.3168890718223234</v>
      </c>
      <c r="R245" s="5">
        <f t="shared" si="89"/>
        <v>0.15918626592193</v>
      </c>
      <c r="S245" s="4">
        <f t="shared" si="106"/>
        <v>0.12795154687717206</v>
      </c>
      <c r="T245" s="5">
        <f t="shared" si="90"/>
        <v>0.10079284883027585</v>
      </c>
      <c r="U245" s="4">
        <f t="shared" si="91"/>
        <v>0</v>
      </c>
      <c r="V245" s="4">
        <f t="shared" si="92"/>
        <v>0</v>
      </c>
      <c r="W245" s="5">
        <f t="shared" si="93"/>
        <v>0</v>
      </c>
      <c r="X245" s="5">
        <f t="shared" si="94"/>
        <v>-22.059040063103936</v>
      </c>
      <c r="Y245" s="5">
        <f t="shared" si="95"/>
        <v>-1.0697513371255332</v>
      </c>
      <c r="Z245" s="5">
        <f>1</f>
        <v>1</v>
      </c>
      <c r="AA245" s="5">
        <f>IF(M245=0,0,const*($T245/omega)*O245*(wy*I245-wz*(H245-V245))/Z245)</f>
        <v>0</v>
      </c>
      <c r="AB245" s="5">
        <f>IF(M245=0,0,const*($T245/omega)*O245*(wz*(G245-U245)-wx*I245)/Z245)</f>
        <v>-0.67734037345759035</v>
      </c>
      <c r="AC245" s="5">
        <f>IF(M245=0,0,const*($T245/omega)*O245*(wx*(H245-V245)-wy*(G245-U245))/Z245)</f>
        <v>13.967244457583149</v>
      </c>
      <c r="AD245" s="5">
        <f t="shared" si="108"/>
        <v>0</v>
      </c>
      <c r="AE245" s="5">
        <f t="shared" si="108"/>
        <v>-22.736380436561525</v>
      </c>
      <c r="AF245" s="5">
        <f t="shared" si="96"/>
        <v>-19.276506879542382</v>
      </c>
      <c r="AG245">
        <f t="shared" si="107"/>
        <v>0</v>
      </c>
    </row>
    <row r="246" spans="1:33" x14ac:dyDescent="0.2">
      <c r="A246">
        <f t="shared" si="97"/>
        <v>2.1399999999999983</v>
      </c>
      <c r="B246" s="5">
        <f t="shared" si="98"/>
        <v>0</v>
      </c>
      <c r="C246" s="5">
        <f t="shared" si="99"/>
        <v>402.30622885812687</v>
      </c>
      <c r="D246" s="5">
        <f t="shared" si="100"/>
        <v>57.749929864684887</v>
      </c>
      <c r="E246" s="2">
        <f t="shared" si="82"/>
        <v>134.10207628604229</v>
      </c>
      <c r="F246" s="2">
        <f t="shared" si="101"/>
        <v>0</v>
      </c>
      <c r="G246" s="3">
        <f t="shared" si="102"/>
        <v>0</v>
      </c>
      <c r="H246" s="3">
        <f t="shared" si="103"/>
        <v>155.84142097020563</v>
      </c>
      <c r="I246" s="3">
        <f t="shared" si="104"/>
        <v>7.3757778378111105</v>
      </c>
      <c r="J246" s="2">
        <f t="shared" si="83"/>
        <v>156.01586646468235</v>
      </c>
      <c r="K246" s="2">
        <f t="shared" si="105"/>
        <v>106.35028388867235</v>
      </c>
      <c r="L246" s="5">
        <f t="shared" si="84"/>
        <v>22.429893769972555</v>
      </c>
      <c r="M246" s="3">
        <f t="shared" si="85"/>
        <v>19.986673418891638</v>
      </c>
      <c r="N246" s="2">
        <v>0</v>
      </c>
      <c r="O246" s="2">
        <f t="shared" si="86"/>
        <v>156.01586646468235</v>
      </c>
      <c r="P246" s="2">
        <f t="shared" si="87"/>
        <v>106.35028388867235</v>
      </c>
      <c r="Q246" s="5">
        <f t="shared" si="88"/>
        <v>1.3148973021505739</v>
      </c>
      <c r="R246" s="5">
        <f t="shared" si="89"/>
        <v>0.15921864388957624</v>
      </c>
      <c r="S246" s="4">
        <f t="shared" si="106"/>
        <v>0.12810667191606478</v>
      </c>
      <c r="T246" s="5">
        <f t="shared" si="90"/>
        <v>0.10084171048715683</v>
      </c>
      <c r="U246" s="4">
        <f t="shared" si="91"/>
        <v>0</v>
      </c>
      <c r="V246" s="4">
        <f t="shared" si="92"/>
        <v>0</v>
      </c>
      <c r="W246" s="5">
        <f t="shared" si="93"/>
        <v>0</v>
      </c>
      <c r="X246" s="5">
        <f t="shared" si="94"/>
        <v>-21.998062208840125</v>
      </c>
      <c r="Y246" s="5">
        <f t="shared" si="95"/>
        <v>-1.0411405305767409</v>
      </c>
      <c r="Z246" s="5">
        <f>1</f>
        <v>1</v>
      </c>
      <c r="AA246" s="5">
        <f>IF(M246=0,0,const*($T246/omega)*O246*(wy*I246-wz*(H246-V246))/Z246)</f>
        <v>0</v>
      </c>
      <c r="AB246" s="5">
        <f>IF(M246=0,0,const*($T246/omega)*O246*(wz*(G246-U246)-wx*I246)/Z246)</f>
        <v>-0.65941016325750834</v>
      </c>
      <c r="AC246" s="5">
        <f>IF(M246=0,0,const*($T246/omega)*O246*(wx*(H246-V246)-wy*(G246-U246))/Z246)</f>
        <v>13.93255316306303</v>
      </c>
      <c r="AD246" s="5">
        <f t="shared" si="108"/>
        <v>0</v>
      </c>
      <c r="AE246" s="5">
        <f t="shared" si="108"/>
        <v>-22.657472372097633</v>
      </c>
      <c r="AF246" s="5">
        <f t="shared" si="96"/>
        <v>-19.28258736751371</v>
      </c>
      <c r="AG246">
        <f t="shared" si="107"/>
        <v>0</v>
      </c>
    </row>
    <row r="247" spans="1:33" x14ac:dyDescent="0.2">
      <c r="A247">
        <f t="shared" si="97"/>
        <v>2.1499999999999981</v>
      </c>
      <c r="B247" s="5">
        <f t="shared" si="98"/>
        <v>0</v>
      </c>
      <c r="C247" s="5">
        <f t="shared" si="99"/>
        <v>403.86351019421033</v>
      </c>
      <c r="D247" s="5">
        <f t="shared" si="100"/>
        <v>57.822723513694619</v>
      </c>
      <c r="E247" s="2">
        <f t="shared" si="82"/>
        <v>134.62117006473679</v>
      </c>
      <c r="F247" s="2">
        <f t="shared" si="101"/>
        <v>0</v>
      </c>
      <c r="G247" s="3">
        <f t="shared" si="102"/>
        <v>0</v>
      </c>
      <c r="H247" s="3">
        <f t="shared" si="103"/>
        <v>155.61484624648466</v>
      </c>
      <c r="I247" s="3">
        <f t="shared" si="104"/>
        <v>7.1829519641359738</v>
      </c>
      <c r="J247" s="2">
        <f t="shared" si="83"/>
        <v>155.7805352771525</v>
      </c>
      <c r="K247" s="2">
        <f t="shared" si="105"/>
        <v>106.18986726458928</v>
      </c>
      <c r="L247" s="5">
        <f t="shared" si="84"/>
        <v>22.463777679330455</v>
      </c>
      <c r="M247" s="3">
        <f t="shared" si="85"/>
        <v>19.980653360077088</v>
      </c>
      <c r="N247" s="2">
        <v>0</v>
      </c>
      <c r="O247" s="2">
        <f t="shared" si="86"/>
        <v>155.7805352771525</v>
      </c>
      <c r="P247" s="2">
        <f t="shared" si="87"/>
        <v>106.18986726458928</v>
      </c>
      <c r="Q247" s="5">
        <f t="shared" si="88"/>
        <v>1.3129139375697352</v>
      </c>
      <c r="R247" s="5">
        <f t="shared" si="89"/>
        <v>0.15925097090938928</v>
      </c>
      <c r="S247" s="4">
        <f t="shared" si="106"/>
        <v>0.12826155286043328</v>
      </c>
      <c r="T247" s="5">
        <f t="shared" si="90"/>
        <v>0.10089045985501992</v>
      </c>
      <c r="U247" s="4">
        <f t="shared" si="91"/>
        <v>0</v>
      </c>
      <c r="V247" s="4">
        <f t="shared" si="92"/>
        <v>0</v>
      </c>
      <c r="W247" s="5">
        <f t="shared" si="93"/>
        <v>0</v>
      </c>
      <c r="X247" s="5">
        <f t="shared" si="94"/>
        <v>-21.937399639034517</v>
      </c>
      <c r="Y247" s="5">
        <f t="shared" si="95"/>
        <v>-1.0125980369228325</v>
      </c>
      <c r="Z247" s="5">
        <f>1</f>
        <v>1</v>
      </c>
      <c r="AA247" s="5">
        <f>IF(M247=0,0,const*($T247/omega)*O247*(wy*I247-wz*(H247-V247))/Z247)</f>
        <v>0</v>
      </c>
      <c r="AB247" s="5">
        <f>IF(M247=0,0,const*($T247/omega)*O247*(wz*(G247-U247)-wx*I247)/Z247)</f>
        <v>-0.64151245678472446</v>
      </c>
      <c r="AC247" s="5">
        <f>IF(M247=0,0,const*($T247/omega)*O247*(wx*(H247-V247)-wy*(G247-U247))/Z247)</f>
        <v>13.898027277113748</v>
      </c>
      <c r="AD247" s="5">
        <f t="shared" si="108"/>
        <v>0</v>
      </c>
      <c r="AE247" s="5">
        <f t="shared" si="108"/>
        <v>-22.578912095819241</v>
      </c>
      <c r="AF247" s="5">
        <f t="shared" si="96"/>
        <v>-19.288570759809083</v>
      </c>
      <c r="AG247">
        <f t="shared" si="107"/>
        <v>0</v>
      </c>
    </row>
    <row r="248" spans="1:33" x14ac:dyDescent="0.2">
      <c r="A248">
        <f t="shared" si="97"/>
        <v>2.1599999999999979</v>
      </c>
      <c r="B248" s="5">
        <f t="shared" si="98"/>
        <v>0</v>
      </c>
      <c r="C248" s="5">
        <f t="shared" si="99"/>
        <v>405.41852971107033</v>
      </c>
      <c r="D248" s="5">
        <f t="shared" si="100"/>
        <v>57.893588604797991</v>
      </c>
      <c r="E248" s="2">
        <f t="shared" si="82"/>
        <v>135.13950990369011</v>
      </c>
      <c r="F248" s="2">
        <f t="shared" si="101"/>
        <v>0</v>
      </c>
      <c r="G248" s="3">
        <f t="shared" si="102"/>
        <v>0</v>
      </c>
      <c r="H248" s="3">
        <f t="shared" si="103"/>
        <v>155.38905712552648</v>
      </c>
      <c r="I248" s="3">
        <f t="shared" si="104"/>
        <v>6.990066256537883</v>
      </c>
      <c r="J248" s="2">
        <f t="shared" si="83"/>
        <v>155.54619924842561</v>
      </c>
      <c r="K248" s="2">
        <f t="shared" si="105"/>
        <v>106.03012900369843</v>
      </c>
      <c r="L248" s="5">
        <f t="shared" si="84"/>
        <v>22.497620180638833</v>
      </c>
      <c r="M248" s="3">
        <f t="shared" si="85"/>
        <v>19.974649710311589</v>
      </c>
      <c r="N248" s="2">
        <v>0</v>
      </c>
      <c r="O248" s="2">
        <f t="shared" si="86"/>
        <v>155.54619924842561</v>
      </c>
      <c r="P248" s="2">
        <f t="shared" si="87"/>
        <v>106.03012900369843</v>
      </c>
      <c r="Q248" s="5">
        <f t="shared" si="88"/>
        <v>1.3109389601590922</v>
      </c>
      <c r="R248" s="5">
        <f t="shared" si="89"/>
        <v>0.15928324628214174</v>
      </c>
      <c r="S248" s="4">
        <f t="shared" si="106"/>
        <v>0.12841618636023192</v>
      </c>
      <c r="T248" s="5">
        <f t="shared" si="90"/>
        <v>0.10093909611598895</v>
      </c>
      <c r="U248" s="4">
        <f t="shared" si="91"/>
        <v>0</v>
      </c>
      <c r="V248" s="4">
        <f t="shared" si="92"/>
        <v>0</v>
      </c>
      <c r="W248" s="5">
        <f t="shared" si="93"/>
        <v>0</v>
      </c>
      <c r="X248" s="5">
        <f t="shared" si="94"/>
        <v>-21.87705062614209</v>
      </c>
      <c r="Y248" s="5">
        <f t="shared" si="95"/>
        <v>-0.98412356830785863</v>
      </c>
      <c r="Z248" s="5">
        <f>1</f>
        <v>1</v>
      </c>
      <c r="AA248" s="5">
        <f>IF(M248=0,0,const*($T248/omega)*O248*(wy*I248-wz*(H248-V248))/Z248)</f>
        <v>0</v>
      </c>
      <c r="AB248" s="5">
        <f>IF(M248=0,0,const*($T248/omega)*O248*(wz*(G248-U248)-wx*I248)/Z248)</f>
        <v>-0.62364715542951754</v>
      </c>
      <c r="AC248" s="5">
        <f>IF(M248=0,0,const*($T248/omega)*O248*(wx*(H248-V248)-wy*(G248-U248))/Z248)</f>
        <v>13.863665937439487</v>
      </c>
      <c r="AD248" s="5">
        <f t="shared" si="108"/>
        <v>0</v>
      </c>
      <c r="AE248" s="5">
        <f t="shared" si="108"/>
        <v>-22.500697781571606</v>
      </c>
      <c r="AF248" s="5">
        <f t="shared" si="96"/>
        <v>-19.294457630868372</v>
      </c>
      <c r="AG248">
        <f t="shared" si="107"/>
        <v>0</v>
      </c>
    </row>
    <row r="249" spans="1:33" x14ac:dyDescent="0.2">
      <c r="A249">
        <f t="shared" si="97"/>
        <v>2.1699999999999977</v>
      </c>
      <c r="B249" s="5">
        <f t="shared" si="98"/>
        <v>0</v>
      </c>
      <c r="C249" s="5">
        <f t="shared" si="99"/>
        <v>406.9712952474365</v>
      </c>
      <c r="D249" s="5">
        <f t="shared" si="100"/>
        <v>57.96252454448183</v>
      </c>
      <c r="E249" s="2">
        <f t="shared" si="82"/>
        <v>135.65709841581216</v>
      </c>
      <c r="F249" s="2">
        <f t="shared" si="101"/>
        <v>0</v>
      </c>
      <c r="G249" s="3">
        <f t="shared" si="102"/>
        <v>0</v>
      </c>
      <c r="H249" s="3">
        <f t="shared" si="103"/>
        <v>155.16405014771075</v>
      </c>
      <c r="I249" s="3">
        <f t="shared" si="104"/>
        <v>6.7971216802291989</v>
      </c>
      <c r="J249" s="2">
        <f t="shared" si="83"/>
        <v>155.31285626559423</v>
      </c>
      <c r="K249" s="2">
        <f t="shared" si="105"/>
        <v>105.8710676657084</v>
      </c>
      <c r="L249" s="5">
        <f t="shared" si="84"/>
        <v>22.531420742458266</v>
      </c>
      <c r="M249" s="3">
        <f t="shared" si="85"/>
        <v>19.96866231169578</v>
      </c>
      <c r="N249" s="2">
        <v>0</v>
      </c>
      <c r="O249" s="2">
        <f t="shared" si="86"/>
        <v>155.31285626559423</v>
      </c>
      <c r="P249" s="2">
        <f t="shared" si="87"/>
        <v>105.8710676657084</v>
      </c>
      <c r="Q249" s="5">
        <f t="shared" si="88"/>
        <v>1.3089723521111203</v>
      </c>
      <c r="R249" s="5">
        <f t="shared" si="89"/>
        <v>0.15931546930652776</v>
      </c>
      <c r="S249" s="4">
        <f t="shared" si="106"/>
        <v>0.12857056905545655</v>
      </c>
      <c r="T249" s="5">
        <f t="shared" si="90"/>
        <v>0.10098761845097448</v>
      </c>
      <c r="U249" s="4">
        <f t="shared" si="91"/>
        <v>0</v>
      </c>
      <c r="V249" s="4">
        <f t="shared" si="92"/>
        <v>0</v>
      </c>
      <c r="W249" s="5">
        <f t="shared" si="93"/>
        <v>0</v>
      </c>
      <c r="X249" s="5">
        <f t="shared" si="94"/>
        <v>-21.817013454652326</v>
      </c>
      <c r="Y249" s="5">
        <f t="shared" si="95"/>
        <v>-0.95571683653075434</v>
      </c>
      <c r="Z249" s="5">
        <f>1</f>
        <v>1</v>
      </c>
      <c r="AA249" s="5">
        <f>IF(M249=0,0,const*($T249/omega)*O249*(wy*I249-wz*(H249-V249))/Z249)</f>
        <v>0</v>
      </c>
      <c r="AB249" s="5">
        <f>IF(M249=0,0,const*($T249/omega)*O249*(wz*(G249-U249)-wx*I249)/Z249)</f>
        <v>-0.60581416013683709</v>
      </c>
      <c r="AC249" s="5">
        <f>IF(M249=0,0,const*($T249/omega)*O249*(wx*(H249-V249)-wy*(G249-U249))/Z249)</f>
        <v>13.829468287596665</v>
      </c>
      <c r="AD249" s="5">
        <f t="shared" si="108"/>
        <v>0</v>
      </c>
      <c r="AE249" s="5">
        <f t="shared" si="108"/>
        <v>-22.422827614789163</v>
      </c>
      <c r="AF249" s="5">
        <f t="shared" si="96"/>
        <v>-19.300248548934089</v>
      </c>
      <c r="AG249">
        <f t="shared" si="107"/>
        <v>0</v>
      </c>
    </row>
    <row r="250" spans="1:33" x14ac:dyDescent="0.2">
      <c r="A250">
        <f t="shared" si="97"/>
        <v>2.1799999999999975</v>
      </c>
      <c r="B250" s="5">
        <f t="shared" si="98"/>
        <v>0</v>
      </c>
      <c r="C250" s="5">
        <f t="shared" si="99"/>
        <v>408.52181460753286</v>
      </c>
      <c r="D250" s="5">
        <f t="shared" si="100"/>
        <v>58.029530748856672</v>
      </c>
      <c r="E250" s="2">
        <f t="shared" si="82"/>
        <v>136.17393820251095</v>
      </c>
      <c r="F250" s="2">
        <f t="shared" si="101"/>
        <v>0</v>
      </c>
      <c r="G250" s="3">
        <f t="shared" si="102"/>
        <v>0</v>
      </c>
      <c r="H250" s="3">
        <f t="shared" si="103"/>
        <v>154.93982187156286</v>
      </c>
      <c r="I250" s="3">
        <f t="shared" si="104"/>
        <v>6.6041191947398579</v>
      </c>
      <c r="J250" s="2">
        <f t="shared" si="83"/>
        <v>155.08050422902926</v>
      </c>
      <c r="K250" s="2">
        <f t="shared" si="105"/>
        <v>105.71268181937917</v>
      </c>
      <c r="L250" s="5">
        <f t="shared" si="84"/>
        <v>22.56517883166644</v>
      </c>
      <c r="M250" s="3">
        <f t="shared" si="85"/>
        <v>19.962691006859831</v>
      </c>
      <c r="N250" s="2">
        <v>0</v>
      </c>
      <c r="O250" s="2">
        <f t="shared" si="86"/>
        <v>155.08050422902926</v>
      </c>
      <c r="P250" s="2">
        <f t="shared" si="87"/>
        <v>105.71268181937917</v>
      </c>
      <c r="Q250" s="5">
        <f t="shared" si="88"/>
        <v>1.307014095730205</v>
      </c>
      <c r="R250" s="5">
        <f t="shared" si="89"/>
        <v>0.15934763927919252</v>
      </c>
      <c r="S250" s="4">
        <f t="shared" si="106"/>
        <v>0.12872469757628663</v>
      </c>
      <c r="T250" s="5">
        <f t="shared" si="90"/>
        <v>0.10103602603970979</v>
      </c>
      <c r="U250" s="4">
        <f t="shared" si="91"/>
        <v>0</v>
      </c>
      <c r="V250" s="4">
        <f t="shared" si="92"/>
        <v>0</v>
      </c>
      <c r="W250" s="5">
        <f t="shared" si="93"/>
        <v>0</v>
      </c>
      <c r="X250" s="5">
        <f t="shared" si="94"/>
        <v>-21.757286420985093</v>
      </c>
      <c r="Y250" s="5">
        <f t="shared" si="95"/>
        <v>-0.92737755305663283</v>
      </c>
      <c r="Z250" s="5">
        <f>1</f>
        <v>1</v>
      </c>
      <c r="AA250" s="5">
        <f>IF(M250=0,0,const*($T250/omega)*O250*(wy*I250-wz*(H250-V250))/Z250)</f>
        <v>0</v>
      </c>
      <c r="AB250" s="5">
        <f>IF(M250=0,0,const*($T250/omega)*O250*(wz*(G250-U250)-wx*I250)/Z250)</f>
        <v>-0.58801337141307364</v>
      </c>
      <c r="AC250" s="5">
        <f>IF(M250=0,0,const*($T250/omega)*O250*(wx*(H250-V250)-wy*(G250-U250))/Z250)</f>
        <v>13.795433476943407</v>
      </c>
      <c r="AD250" s="5">
        <f t="shared" si="108"/>
        <v>0</v>
      </c>
      <c r="AE250" s="5">
        <f t="shared" si="108"/>
        <v>-22.345299792398166</v>
      </c>
      <c r="AF250" s="5">
        <f t="shared" si="96"/>
        <v>-19.305944076113228</v>
      </c>
      <c r="AG250">
        <f t="shared" si="107"/>
        <v>0</v>
      </c>
    </row>
    <row r="251" spans="1:33" x14ac:dyDescent="0.2">
      <c r="A251">
        <f t="shared" si="97"/>
        <v>2.1899999999999973</v>
      </c>
      <c r="B251" s="5">
        <f t="shared" si="98"/>
        <v>0</v>
      </c>
      <c r="C251" s="5">
        <f t="shared" si="99"/>
        <v>410.07009556125888</v>
      </c>
      <c r="D251" s="5">
        <f t="shared" si="100"/>
        <v>58.094606643600265</v>
      </c>
      <c r="E251" s="2">
        <f t="shared" si="82"/>
        <v>136.69003185375297</v>
      </c>
      <c r="F251" s="2">
        <f t="shared" si="101"/>
        <v>0</v>
      </c>
      <c r="G251" s="3">
        <f t="shared" si="102"/>
        <v>0</v>
      </c>
      <c r="H251" s="3">
        <f t="shared" si="103"/>
        <v>154.71636887363888</v>
      </c>
      <c r="I251" s="3">
        <f t="shared" si="104"/>
        <v>6.4110597539787255</v>
      </c>
      <c r="J251" s="2">
        <f t="shared" si="83"/>
        <v>154.84914105222856</v>
      </c>
      <c r="K251" s="2">
        <f t="shared" si="105"/>
        <v>105.55497004241892</v>
      </c>
      <c r="L251" s="5">
        <f t="shared" si="84"/>
        <v>22.598893913481518</v>
      </c>
      <c r="M251" s="3">
        <f t="shared" si="85"/>
        <v>19.956735638959838</v>
      </c>
      <c r="N251" s="2">
        <v>0</v>
      </c>
      <c r="O251" s="2">
        <f t="shared" si="86"/>
        <v>154.84914105222856</v>
      </c>
      <c r="P251" s="2">
        <f t="shared" si="87"/>
        <v>105.55497004241892</v>
      </c>
      <c r="Q251" s="5">
        <f t="shared" si="88"/>
        <v>1.3050641734313657</v>
      </c>
      <c r="R251" s="5">
        <f t="shared" si="89"/>
        <v>0.15937975549476244</v>
      </c>
      <c r="S251" s="4">
        <f t="shared" si="106"/>
        <v>0.1288785685432294</v>
      </c>
      <c r="T251" s="5">
        <f t="shared" si="90"/>
        <v>0.10108431806078701</v>
      </c>
      <c r="U251" s="4">
        <f t="shared" si="91"/>
        <v>0</v>
      </c>
      <c r="V251" s="4">
        <f t="shared" si="92"/>
        <v>0</v>
      </c>
      <c r="W251" s="5">
        <f t="shared" si="93"/>
        <v>0</v>
      </c>
      <c r="X251" s="5">
        <f t="shared" si="94"/>
        <v>-21.697867833387622</v>
      </c>
      <c r="Y251" s="5">
        <f t="shared" si="95"/>
        <v>-0.89910542902795842</v>
      </c>
      <c r="Z251" s="5">
        <f>1</f>
        <v>1</v>
      </c>
      <c r="AA251" s="5">
        <f>IF(M251=0,0,const*($T251/omega)*O251*(wy*I251-wz*(H251-V251))/Z251)</f>
        <v>0</v>
      </c>
      <c r="AB251" s="5">
        <f>IF(M251=0,0,const*($T251/omega)*O251*(wz*(G251-U251)-wx*I251)/Z251)</f>
        <v>-0.57024468933276284</v>
      </c>
      <c r="AC251" s="5">
        <f>IF(M251=0,0,const*($T251/omega)*O251*(wx*(H251-V251)-wy*(G251-U251))/Z251)</f>
        <v>13.76156066058936</v>
      </c>
      <c r="AD251" s="5">
        <f t="shared" si="108"/>
        <v>0</v>
      </c>
      <c r="AE251" s="5">
        <f t="shared" si="108"/>
        <v>-22.268112522720386</v>
      </c>
      <c r="AF251" s="5">
        <f t="shared" si="96"/>
        <v>-19.311544768438598</v>
      </c>
      <c r="AG251">
        <f t="shared" si="107"/>
        <v>0</v>
      </c>
    </row>
    <row r="252" spans="1:33" x14ac:dyDescent="0.2">
      <c r="A252">
        <f t="shared" si="97"/>
        <v>2.1999999999999971</v>
      </c>
      <c r="B252" s="5">
        <f t="shared" si="98"/>
        <v>0</v>
      </c>
      <c r="C252" s="5">
        <f t="shared" si="99"/>
        <v>411.6161458443691</v>
      </c>
      <c r="D252" s="5">
        <f t="shared" si="100"/>
        <v>58.157751663901628</v>
      </c>
      <c r="E252" s="2">
        <f t="shared" si="82"/>
        <v>137.20538194812303</v>
      </c>
      <c r="F252" s="2">
        <f t="shared" si="101"/>
        <v>0</v>
      </c>
      <c r="G252" s="3">
        <f t="shared" si="102"/>
        <v>0</v>
      </c>
      <c r="H252" s="3">
        <f t="shared" si="103"/>
        <v>154.49368774841167</v>
      </c>
      <c r="I252" s="3">
        <f t="shared" si="104"/>
        <v>6.2179443062943394</v>
      </c>
      <c r="J252" s="2">
        <f t="shared" si="83"/>
        <v>154.6187646616668</v>
      </c>
      <c r="K252" s="2">
        <f t="shared" si="105"/>
        <v>105.39793092138159</v>
      </c>
      <c r="L252" s="5">
        <f t="shared" si="84"/>
        <v>22.632565451485771</v>
      </c>
      <c r="M252" s="3">
        <f t="shared" si="85"/>
        <v>19.950796051674306</v>
      </c>
      <c r="N252" s="2">
        <v>0</v>
      </c>
      <c r="O252" s="2">
        <f t="shared" si="86"/>
        <v>154.6187646616668</v>
      </c>
      <c r="P252" s="2">
        <f t="shared" si="87"/>
        <v>105.39793092138159</v>
      </c>
      <c r="Q252" s="5">
        <f t="shared" si="88"/>
        <v>1.3031225677389895</v>
      </c>
      <c r="R252" s="5">
        <f t="shared" si="89"/>
        <v>0.15941181724587561</v>
      </c>
      <c r="S252" s="4">
        <f t="shared" si="106"/>
        <v>0.12903217856726623</v>
      </c>
      <c r="T252" s="5">
        <f t="shared" si="90"/>
        <v>0.1011324936916938</v>
      </c>
      <c r="U252" s="4">
        <f t="shared" si="91"/>
        <v>0</v>
      </c>
      <c r="V252" s="4">
        <f t="shared" si="92"/>
        <v>0</v>
      </c>
      <c r="W252" s="5">
        <f t="shared" si="93"/>
        <v>0</v>
      </c>
      <c r="X252" s="5">
        <f t="shared" si="94"/>
        <v>-21.63875601183236</v>
      </c>
      <c r="Y252" s="5">
        <f t="shared" si="95"/>
        <v>-0.87090017527559915</v>
      </c>
      <c r="Z252" s="5">
        <f>1</f>
        <v>1</v>
      </c>
      <c r="AA252" s="5">
        <f>IF(M252=0,0,const*($T252/omega)*O252*(wy*I252-wz*(H252-V252))/Z252)</f>
        <v>0</v>
      </c>
      <c r="AB252" s="5">
        <f>IF(M252=0,0,const*($T252/omega)*O252*(wz*(G252-U252)-wx*I252)/Z252)</f>
        <v>-0.55250801354523382</v>
      </c>
      <c r="AC252" s="5">
        <f>IF(M252=0,0,const*($T252/omega)*O252*(wx*(H252-V252)-wy*(G252-U252))/Z252)</f>
        <v>13.727848999346104</v>
      </c>
      <c r="AD252" s="5">
        <f t="shared" si="108"/>
        <v>0</v>
      </c>
      <c r="AE252" s="5">
        <f t="shared" si="108"/>
        <v>-22.191264025377592</v>
      </c>
      <c r="AF252" s="5">
        <f t="shared" si="96"/>
        <v>-19.317051175929493</v>
      </c>
      <c r="AG252">
        <f t="shared" si="107"/>
        <v>0</v>
      </c>
    </row>
    <row r="253" spans="1:33" x14ac:dyDescent="0.2">
      <c r="A253">
        <f t="shared" si="97"/>
        <v>2.2099999999999969</v>
      </c>
      <c r="B253" s="5">
        <f t="shared" si="98"/>
        <v>0</v>
      </c>
      <c r="C253" s="5">
        <f t="shared" si="99"/>
        <v>413.15997315865195</v>
      </c>
      <c r="D253" s="5">
        <f t="shared" si="100"/>
        <v>58.218965254405774</v>
      </c>
      <c r="E253" s="2">
        <f t="shared" si="82"/>
        <v>137.71999105288398</v>
      </c>
      <c r="F253" s="2">
        <f t="shared" si="101"/>
        <v>0</v>
      </c>
      <c r="G253" s="3">
        <f t="shared" si="102"/>
        <v>0</v>
      </c>
      <c r="H253" s="3">
        <f t="shared" si="103"/>
        <v>154.2717751081579</v>
      </c>
      <c r="I253" s="3">
        <f t="shared" si="104"/>
        <v>6.0247737945350446</v>
      </c>
      <c r="J253" s="2">
        <f t="shared" si="83"/>
        <v>154.38937299664559</v>
      </c>
      <c r="K253" s="2">
        <f t="shared" si="105"/>
        <v>105.24156305156481</v>
      </c>
      <c r="L253" s="5">
        <f t="shared" si="84"/>
        <v>22.666192907649677</v>
      </c>
      <c r="M253" s="3">
        <f t="shared" si="85"/>
        <v>19.944872089200675</v>
      </c>
      <c r="N253" s="2">
        <v>0</v>
      </c>
      <c r="O253" s="2">
        <f t="shared" si="86"/>
        <v>154.38937299664559</v>
      </c>
      <c r="P253" s="2">
        <f t="shared" si="87"/>
        <v>105.24156305156481</v>
      </c>
      <c r="Q253" s="5">
        <f t="shared" si="88"/>
        <v>1.3011892612855684</v>
      </c>
      <c r="R253" s="5">
        <f t="shared" si="89"/>
        <v>0.15944382382321304</v>
      </c>
      <c r="S253" s="4">
        <f t="shared" si="106"/>
        <v>0.12918552425000143</v>
      </c>
      <c r="T253" s="5">
        <f t="shared" si="90"/>
        <v>0.10118055210885048</v>
      </c>
      <c r="U253" s="4">
        <f t="shared" si="91"/>
        <v>0</v>
      </c>
      <c r="V253" s="4">
        <f t="shared" si="92"/>
        <v>0</v>
      </c>
      <c r="W253" s="5">
        <f t="shared" si="93"/>
        <v>0</v>
      </c>
      <c r="X253" s="5">
        <f t="shared" si="94"/>
        <v>-21.579949287915856</v>
      </c>
      <c r="Y253" s="5">
        <f t="shared" si="95"/>
        <v>-0.84276150232976399</v>
      </c>
      <c r="Z253" s="5">
        <f>1</f>
        <v>1</v>
      </c>
      <c r="AA253" s="5">
        <f>IF(M253=0,0,const*($T253/omega)*O253*(wy*I253-wz*(H253-V253))/Z253)</f>
        <v>0</v>
      </c>
      <c r="AB253" s="5">
        <f>IF(M253=0,0,const*($T253/omega)*O253*(wz*(G253-U253)-wx*I253)/Z253)</f>
        <v>-0.53480324328119511</v>
      </c>
      <c r="AC253" s="5">
        <f>IF(M253=0,0,const*($T253/omega)*O253*(wx*(H253-V253)-wy*(G253-U253))/Z253)</f>
        <v>13.694297659677897</v>
      </c>
      <c r="AD253" s="5">
        <f t="shared" si="108"/>
        <v>0</v>
      </c>
      <c r="AE253" s="5">
        <f t="shared" si="108"/>
        <v>-22.114752531197052</v>
      </c>
      <c r="AF253" s="5">
        <f t="shared" si="96"/>
        <v>-19.322463842651867</v>
      </c>
      <c r="AG253">
        <f t="shared" si="107"/>
        <v>0</v>
      </c>
    </row>
    <row r="254" spans="1:33" x14ac:dyDescent="0.2">
      <c r="A254">
        <f t="shared" si="97"/>
        <v>2.2199999999999966</v>
      </c>
      <c r="B254" s="5">
        <f t="shared" si="98"/>
        <v>0</v>
      </c>
      <c r="C254" s="5">
        <f t="shared" si="99"/>
        <v>414.70158517210695</v>
      </c>
      <c r="D254" s="5">
        <f t="shared" si="100"/>
        <v>58.278246869158991</v>
      </c>
      <c r="E254" s="2">
        <f t="shared" si="82"/>
        <v>138.23386172403565</v>
      </c>
      <c r="F254" s="2">
        <f t="shared" si="101"/>
        <v>0</v>
      </c>
      <c r="G254" s="3">
        <f t="shared" si="102"/>
        <v>0</v>
      </c>
      <c r="H254" s="3">
        <f t="shared" si="103"/>
        <v>154.05062758284592</v>
      </c>
      <c r="I254" s="3">
        <f t="shared" si="104"/>
        <v>5.831549156108526</v>
      </c>
      <c r="J254" s="2">
        <f t="shared" si="83"/>
        <v>154.16096400914466</v>
      </c>
      <c r="K254" s="2">
        <f t="shared" si="105"/>
        <v>105.08586503690842</v>
      </c>
      <c r="L254" s="5">
        <f t="shared" si="84"/>
        <v>22.699775742356326</v>
      </c>
      <c r="M254" s="3">
        <f t="shared" si="85"/>
        <v>19.938963596251924</v>
      </c>
      <c r="N254" s="2">
        <v>0</v>
      </c>
      <c r="O254" s="2">
        <f t="shared" si="86"/>
        <v>154.16096400914466</v>
      </c>
      <c r="P254" s="2">
        <f t="shared" si="87"/>
        <v>105.08586503690842</v>
      </c>
      <c r="Q254" s="5">
        <f t="shared" si="88"/>
        <v>1.2992642368104463</v>
      </c>
      <c r="R254" s="5">
        <f t="shared" si="89"/>
        <v>0.15947577451552997</v>
      </c>
      <c r="S254" s="4">
        <f t="shared" si="106"/>
        <v>0.12933860218381332</v>
      </c>
      <c r="T254" s="5">
        <f t="shared" si="90"/>
        <v>0.10122849248764733</v>
      </c>
      <c r="U254" s="4">
        <f t="shared" si="91"/>
        <v>0</v>
      </c>
      <c r="V254" s="4">
        <f t="shared" si="92"/>
        <v>0</v>
      </c>
      <c r="W254" s="5">
        <f t="shared" si="93"/>
        <v>0</v>
      </c>
      <c r="X254" s="5">
        <f t="shared" si="94"/>
        <v>-21.521446004758566</v>
      </c>
      <c r="Y254" s="5">
        <f t="shared" si="95"/>
        <v>-0.81468912043082309</v>
      </c>
      <c r="Z254" s="5">
        <f>1</f>
        <v>1</v>
      </c>
      <c r="AA254" s="5">
        <f>IF(M254=0,0,const*($T254/omega)*O254*(wy*I254-wz*(H254-V254))/Z254)</f>
        <v>0</v>
      </c>
      <c r="AB254" s="5">
        <f>IF(M254=0,0,const*($T254/omega)*O254*(wz*(G254-U254)-wx*I254)/Z254)</f>
        <v>-0.51713027735926476</v>
      </c>
      <c r="AC254" s="5">
        <f>IF(M254=0,0,const*($T254/omega)*O254*(wx*(H254-V254)-wy*(G254-U254))/Z254)</f>
        <v>13.660905813652951</v>
      </c>
      <c r="AD254" s="5">
        <f t="shared" si="108"/>
        <v>0</v>
      </c>
      <c r="AE254" s="5">
        <f t="shared" si="108"/>
        <v>-22.03857628211783</v>
      </c>
      <c r="AF254" s="5">
        <f t="shared" si="96"/>
        <v>-19.327783306777871</v>
      </c>
      <c r="AG254">
        <f t="shared" si="107"/>
        <v>0</v>
      </c>
    </row>
    <row r="255" spans="1:33" x14ac:dyDescent="0.2">
      <c r="A255">
        <f t="shared" si="97"/>
        <v>2.2299999999999964</v>
      </c>
      <c r="B255" s="5">
        <f t="shared" si="98"/>
        <v>0</v>
      </c>
      <c r="C255" s="5">
        <f t="shared" si="99"/>
        <v>416.24098951912134</v>
      </c>
      <c r="D255" s="5">
        <f t="shared" si="100"/>
        <v>58.335595971554731</v>
      </c>
      <c r="E255" s="2">
        <f t="shared" si="82"/>
        <v>138.74699650637379</v>
      </c>
      <c r="F255" s="2">
        <f t="shared" si="101"/>
        <v>0</v>
      </c>
      <c r="G255" s="3">
        <f t="shared" si="102"/>
        <v>0</v>
      </c>
      <c r="H255" s="3">
        <f t="shared" si="103"/>
        <v>153.83024182002475</v>
      </c>
      <c r="I255" s="3">
        <f t="shared" si="104"/>
        <v>5.6382713230407475</v>
      </c>
      <c r="J255" s="2">
        <f t="shared" si="83"/>
        <v>153.93353566367372</v>
      </c>
      <c r="K255" s="2">
        <f t="shared" si="105"/>
        <v>104.93083548989347</v>
      </c>
      <c r="L255" s="5">
        <f t="shared" si="84"/>
        <v>22.73331341442621</v>
      </c>
      <c r="M255" s="3">
        <f t="shared" si="85"/>
        <v>19.933070418053216</v>
      </c>
      <c r="N255" s="2">
        <v>0</v>
      </c>
      <c r="O255" s="2">
        <f t="shared" si="86"/>
        <v>153.93353566367372</v>
      </c>
      <c r="P255" s="2">
        <f t="shared" si="87"/>
        <v>104.93083548989347</v>
      </c>
      <c r="Q255" s="5">
        <f t="shared" si="88"/>
        <v>1.2973474771585682</v>
      </c>
      <c r="R255" s="5">
        <f t="shared" si="89"/>
        <v>0.15950766860968807</v>
      </c>
      <c r="S255" s="4">
        <f t="shared" si="106"/>
        <v>0.12949140895200756</v>
      </c>
      <c r="T255" s="5">
        <f t="shared" si="90"/>
        <v>0.10127631400248276</v>
      </c>
      <c r="U255" s="4">
        <f t="shared" si="91"/>
        <v>0</v>
      </c>
      <c r="V255" s="4">
        <f t="shared" si="92"/>
        <v>0</v>
      </c>
      <c r="W255" s="5">
        <f t="shared" si="93"/>
        <v>0</v>
      </c>
      <c r="X255" s="5">
        <f t="shared" si="94"/>
        <v>-21.463244516905608</v>
      </c>
      <c r="Y255" s="5">
        <f t="shared" si="95"/>
        <v>-0.78668273954001755</v>
      </c>
      <c r="Z255" s="5">
        <f>1</f>
        <v>1</v>
      </c>
      <c r="AA255" s="5">
        <f>IF(M255=0,0,const*($T255/omega)*O255*(wy*I255-wz*(H255-V255))/Z255)</f>
        <v>0</v>
      </c>
      <c r="AB255" s="5">
        <f>IF(M255=0,0,const*($T255/omega)*O255*(wz*(G255-U255)-wx*I255)/Z255)</f>
        <v>-0.49948901419244429</v>
      </c>
      <c r="AC255" s="5">
        <f>IF(M255=0,0,const*($T255/omega)*O255*(wx*(H255-V255)-wy*(G255-U255))/Z255)</f>
        <v>13.627672638895136</v>
      </c>
      <c r="AD255" s="5">
        <f t="shared" si="108"/>
        <v>0</v>
      </c>
      <c r="AE255" s="5">
        <f t="shared" si="108"/>
        <v>-21.962733531098053</v>
      </c>
      <c r="AF255" s="5">
        <f t="shared" si="96"/>
        <v>-19.333010100644881</v>
      </c>
      <c r="AG255">
        <f t="shared" si="107"/>
        <v>0</v>
      </c>
    </row>
    <row r="256" spans="1:33" x14ac:dyDescent="0.2">
      <c r="A256">
        <f t="shared" si="97"/>
        <v>2.2399999999999962</v>
      </c>
      <c r="B256" s="5">
        <f t="shared" si="98"/>
        <v>0</v>
      </c>
      <c r="C256" s="5">
        <f t="shared" si="99"/>
        <v>417.77819380064506</v>
      </c>
      <c r="D256" s="5">
        <f t="shared" si="100"/>
        <v>58.391012034280102</v>
      </c>
      <c r="E256" s="2">
        <f t="shared" si="82"/>
        <v>139.25939793354834</v>
      </c>
      <c r="F256" s="2">
        <f t="shared" si="101"/>
        <v>0</v>
      </c>
      <c r="G256" s="3">
        <f t="shared" si="102"/>
        <v>0</v>
      </c>
      <c r="H256" s="3">
        <f t="shared" si="103"/>
        <v>153.61061448471378</v>
      </c>
      <c r="I256" s="3">
        <f t="shared" si="104"/>
        <v>5.4449412220342985</v>
      </c>
      <c r="J256" s="2">
        <f t="shared" si="83"/>
        <v>153.70708593712513</v>
      </c>
      <c r="K256" s="2">
        <f t="shared" si="105"/>
        <v>104.7764730314418</v>
      </c>
      <c r="L256" s="5">
        <f t="shared" si="84"/>
        <v>22.766805381142344</v>
      </c>
      <c r="M256" s="3">
        <f t="shared" si="85"/>
        <v>19.927192400338608</v>
      </c>
      <c r="N256" s="2">
        <v>0</v>
      </c>
      <c r="O256" s="2">
        <f t="shared" si="86"/>
        <v>153.70708593712513</v>
      </c>
      <c r="P256" s="2">
        <f t="shared" si="87"/>
        <v>104.7764730314418</v>
      </c>
      <c r="Q256" s="5">
        <f t="shared" si="88"/>
        <v>1.2954389652792404</v>
      </c>
      <c r="R256" s="5">
        <f t="shared" si="89"/>
        <v>0.1595395053906877</v>
      </c>
      <c r="S256" s="4">
        <f t="shared" si="106"/>
        <v>0.12964394112897276</v>
      </c>
      <c r="T256" s="5">
        <f t="shared" si="90"/>
        <v>0.1013240158268013</v>
      </c>
      <c r="U256" s="4">
        <f t="shared" si="91"/>
        <v>0</v>
      </c>
      <c r="V256" s="4">
        <f t="shared" si="92"/>
        <v>0</v>
      </c>
      <c r="W256" s="5">
        <f t="shared" si="93"/>
        <v>0</v>
      </c>
      <c r="X256" s="5">
        <f t="shared" si="94"/>
        <v>-21.405343190228425</v>
      </c>
      <c r="Y256" s="5">
        <f t="shared" si="95"/>
        <v>-0.75874206935005928</v>
      </c>
      <c r="Z256" s="5">
        <f>1</f>
        <v>1</v>
      </c>
      <c r="AA256" s="5">
        <f>IF(M256=0,0,const*($T256/omega)*O256*(wy*I256-wz*(H256-V256))/Z256)</f>
        <v>0</v>
      </c>
      <c r="AB256" s="5">
        <f>IF(M256=0,0,const*($T256/omega)*O256*(wz*(G256-U256)-wx*I256)/Z256)</f>
        <v>-0.48187935179453528</v>
      </c>
      <c r="AC256" s="5">
        <f>IF(M256=0,0,const*($T256/omega)*O256*(wx*(H256-V256)-wy*(G256-U256))/Z256)</f>
        <v>13.594597318536096</v>
      </c>
      <c r="AD256" s="5">
        <f t="shared" si="108"/>
        <v>0</v>
      </c>
      <c r="AE256" s="5">
        <f t="shared" si="108"/>
        <v>-21.887222542022961</v>
      </c>
      <c r="AF256" s="5">
        <f t="shared" si="96"/>
        <v>-19.338144750813964</v>
      </c>
      <c r="AG256">
        <f t="shared" si="107"/>
        <v>0</v>
      </c>
    </row>
    <row r="257" spans="1:33" x14ac:dyDescent="0.2">
      <c r="A257">
        <f t="shared" si="97"/>
        <v>2.249999999999996</v>
      </c>
      <c r="B257" s="5">
        <f t="shared" si="98"/>
        <v>0</v>
      </c>
      <c r="C257" s="5">
        <f t="shared" si="99"/>
        <v>419.31320558436505</v>
      </c>
      <c r="D257" s="5">
        <f t="shared" si="100"/>
        <v>58.444494539262905</v>
      </c>
      <c r="E257" s="2">
        <f t="shared" si="82"/>
        <v>139.77106852812167</v>
      </c>
      <c r="F257" s="2">
        <f t="shared" si="101"/>
        <v>0</v>
      </c>
      <c r="G257" s="3">
        <f t="shared" si="102"/>
        <v>0</v>
      </c>
      <c r="H257" s="3">
        <f t="shared" si="103"/>
        <v>153.39174225929355</v>
      </c>
      <c r="I257" s="3">
        <f t="shared" si="104"/>
        <v>5.2515597745261591</v>
      </c>
      <c r="J257" s="2">
        <f t="shared" si="83"/>
        <v>153.48161281862713</v>
      </c>
      <c r="K257" s="2">
        <f t="shared" si="105"/>
        <v>104.62277629081603</v>
      </c>
      <c r="L257" s="5">
        <f t="shared" si="84"/>
        <v>22.80025109827583</v>
      </c>
      <c r="M257" s="3">
        <f t="shared" si="85"/>
        <v>19.92132938934785</v>
      </c>
      <c r="N257" s="2">
        <v>0</v>
      </c>
      <c r="O257" s="2">
        <f t="shared" si="86"/>
        <v>153.48161281862713</v>
      </c>
      <c r="P257" s="2">
        <f t="shared" si="87"/>
        <v>104.62277629081603</v>
      </c>
      <c r="Q257" s="5">
        <f t="shared" si="88"/>
        <v>1.2935386842248928</v>
      </c>
      <c r="R257" s="5">
        <f t="shared" si="89"/>
        <v>0.15957128414170119</v>
      </c>
      <c r="S257" s="4">
        <f t="shared" si="106"/>
        <v>0.12979619528033862</v>
      </c>
      <c r="T257" s="5">
        <f t="shared" si="90"/>
        <v>0.10137159713313258</v>
      </c>
      <c r="U257" s="4">
        <f t="shared" si="91"/>
        <v>0</v>
      </c>
      <c r="V257" s="4">
        <f t="shared" si="92"/>
        <v>0</v>
      </c>
      <c r="W257" s="5">
        <f t="shared" si="93"/>
        <v>0</v>
      </c>
      <c r="X257" s="5">
        <f t="shared" si="94"/>
        <v>-21.347740401827419</v>
      </c>
      <c r="Y257" s="5">
        <f t="shared" si="95"/>
        <v>-0.73086681929562236</v>
      </c>
      <c r="Z257" s="5">
        <f>1</f>
        <v>1</v>
      </c>
      <c r="AA257" s="5">
        <f>IF(M257=0,0,const*($T257/omega)*O257*(wy*I257-wz*(H257-V257))/Z257)</f>
        <v>0</v>
      </c>
      <c r="AB257" s="5">
        <f>IF(M257=0,0,const*($T257/omega)*O257*(wz*(G257-U257)-wx*I257)/Z257)</f>
        <v>-0.46430118778650564</v>
      </c>
      <c r="AC257" s="5">
        <f>IF(M257=0,0,const*($T257/omega)*O257*(wx*(H257-V257)-wy*(G257-U257))/Z257)</f>
        <v>13.561679041167842</v>
      </c>
      <c r="AD257" s="5">
        <f t="shared" si="108"/>
        <v>0</v>
      </c>
      <c r="AE257" s="5">
        <f t="shared" si="108"/>
        <v>-21.812041589613926</v>
      </c>
      <c r="AF257" s="5">
        <f t="shared" si="96"/>
        <v>-19.343187778127778</v>
      </c>
      <c r="AG257">
        <f t="shared" si="107"/>
        <v>0</v>
      </c>
    </row>
    <row r="258" spans="1:33" x14ac:dyDescent="0.2">
      <c r="A258">
        <f t="shared" si="97"/>
        <v>2.2599999999999958</v>
      </c>
      <c r="B258" s="5">
        <f t="shared" si="98"/>
        <v>0</v>
      </c>
      <c r="C258" s="5">
        <f t="shared" si="99"/>
        <v>420.84603240487849</v>
      </c>
      <c r="D258" s="5">
        <f t="shared" si="100"/>
        <v>58.496042977619261</v>
      </c>
      <c r="E258" s="2">
        <f t="shared" si="82"/>
        <v>140.28201080162617</v>
      </c>
      <c r="F258" s="2">
        <f t="shared" si="101"/>
        <v>0</v>
      </c>
      <c r="G258" s="3">
        <f t="shared" si="102"/>
        <v>0</v>
      </c>
      <c r="H258" s="3">
        <f t="shared" si="103"/>
        <v>153.1736218433974</v>
      </c>
      <c r="I258" s="3">
        <f t="shared" si="104"/>
        <v>5.0581278967448817</v>
      </c>
      <c r="J258" s="2">
        <f t="shared" si="83"/>
        <v>153.25711430939816</v>
      </c>
      <c r="K258" s="2">
        <f t="shared" si="105"/>
        <v>104.46974390552022</v>
      </c>
      <c r="L258" s="5">
        <f t="shared" si="84"/>
        <v>22.833650020111691</v>
      </c>
      <c r="M258" s="3">
        <f t="shared" si="85"/>
        <v>19.915481231823186</v>
      </c>
      <c r="N258" s="2">
        <v>0</v>
      </c>
      <c r="O258" s="2">
        <f t="shared" si="86"/>
        <v>153.25711430939816</v>
      </c>
      <c r="P258" s="2">
        <f t="shared" si="87"/>
        <v>104.46974390552022</v>
      </c>
      <c r="Q258" s="5">
        <f t="shared" si="88"/>
        <v>1.2916466171498504</v>
      </c>
      <c r="R258" s="5">
        <f t="shared" si="89"/>
        <v>0.159603004144106</v>
      </c>
      <c r="S258" s="4">
        <f t="shared" si="106"/>
        <v>0.12994816796313588</v>
      </c>
      <c r="T258" s="5">
        <f t="shared" si="90"/>
        <v>0.1014190570931304</v>
      </c>
      <c r="U258" s="4">
        <f t="shared" si="91"/>
        <v>0</v>
      </c>
      <c r="V258" s="4">
        <f t="shared" si="92"/>
        <v>0</v>
      </c>
      <c r="W258" s="5">
        <f t="shared" si="93"/>
        <v>0</v>
      </c>
      <c r="X258" s="5">
        <f t="shared" si="94"/>
        <v>-21.290434539935458</v>
      </c>
      <c r="Y258" s="5">
        <f t="shared" si="95"/>
        <v>-0.70305669856373076</v>
      </c>
      <c r="Z258" s="5">
        <f>1</f>
        <v>1</v>
      </c>
      <c r="AA258" s="5">
        <f>IF(M258=0,0,const*($T258/omega)*O258*(wy*I258-wz*(H258-V258))/Z258)</f>
        <v>0</v>
      </c>
      <c r="AB258" s="5">
        <f>IF(M258=0,0,const*($T258/omega)*O258*(wz*(G258-U258)-wx*I258)/Z258)</f>
        <v>-0.44675441940280008</v>
      </c>
      <c r="AC258" s="5">
        <f>IF(M258=0,0,const*($T258/omega)*O258*(wx*(H258-V258)-wy*(G258-U258))/Z258)</f>
        <v>13.528917000795747</v>
      </c>
      <c r="AD258" s="5">
        <f t="shared" si="108"/>
        <v>0</v>
      </c>
      <c r="AE258" s="5">
        <f t="shared" si="108"/>
        <v>-21.737188959338258</v>
      </c>
      <c r="AF258" s="5">
        <f t="shared" si="96"/>
        <v>-19.348139697767984</v>
      </c>
      <c r="AG258">
        <f t="shared" si="107"/>
        <v>0</v>
      </c>
    </row>
    <row r="259" spans="1:33" x14ac:dyDescent="0.2">
      <c r="A259">
        <f t="shared" si="97"/>
        <v>2.2699999999999956</v>
      </c>
      <c r="B259" s="5">
        <f t="shared" si="98"/>
        <v>0</v>
      </c>
      <c r="C259" s="5">
        <f t="shared" si="99"/>
        <v>422.3766817638645</v>
      </c>
      <c r="D259" s="5">
        <f t="shared" si="100"/>
        <v>58.545656849601819</v>
      </c>
      <c r="E259" s="2">
        <f t="shared" si="82"/>
        <v>140.79222725462151</v>
      </c>
      <c r="F259" s="2">
        <f t="shared" si="101"/>
        <v>0</v>
      </c>
      <c r="G259" s="3">
        <f t="shared" si="102"/>
        <v>0</v>
      </c>
      <c r="H259" s="3">
        <f t="shared" si="103"/>
        <v>152.95624995380402</v>
      </c>
      <c r="I259" s="3">
        <f t="shared" si="104"/>
        <v>4.8646464997672023</v>
      </c>
      <c r="J259" s="2">
        <f t="shared" si="83"/>
        <v>153.03358842260175</v>
      </c>
      <c r="K259" s="2">
        <f t="shared" si="105"/>
        <v>104.31737452120092</v>
      </c>
      <c r="L259" s="5">
        <f t="shared" si="84"/>
        <v>22.867001599475106</v>
      </c>
      <c r="M259" s="3">
        <f t="shared" si="85"/>
        <v>19.90964777500627</v>
      </c>
      <c r="N259" s="2">
        <v>0</v>
      </c>
      <c r="O259" s="2">
        <f t="shared" si="86"/>
        <v>153.03358842260175</v>
      </c>
      <c r="P259" s="2">
        <f t="shared" si="87"/>
        <v>104.31737452120092</v>
      </c>
      <c r="Q259" s="5">
        <f t="shared" si="88"/>
        <v>1.2897627473091124</v>
      </c>
      <c r="R259" s="5">
        <f t="shared" si="89"/>
        <v>0.15963466467751875</v>
      </c>
      <c r="S259" s="4">
        <f t="shared" si="106"/>
        <v>0.13009985572595895</v>
      </c>
      <c r="T259" s="5">
        <f t="shared" si="90"/>
        <v>0.10146639487761211</v>
      </c>
      <c r="U259" s="4">
        <f t="shared" si="91"/>
        <v>0</v>
      </c>
      <c r="V259" s="4">
        <f t="shared" si="92"/>
        <v>0</v>
      </c>
      <c r="W259" s="5">
        <f t="shared" si="93"/>
        <v>0</v>
      </c>
      <c r="X259" s="5">
        <f t="shared" si="94"/>
        <v>-21.233424003822311</v>
      </c>
      <c r="Y259" s="5">
        <f t="shared" si="95"/>
        <v>-0.67531141610404133</v>
      </c>
      <c r="Z259" s="5">
        <f>1</f>
        <v>1</v>
      </c>
      <c r="AA259" s="5">
        <f>IF(M259=0,0,const*($T259/omega)*O259*(wy*I259-wz*(H259-V259))/Z259)</f>
        <v>0</v>
      </c>
      <c r="AB259" s="5">
        <f>IF(M259=0,0,const*($T259/omega)*O259*(wz*(G259-U259)-wx*I259)/Z259)</f>
        <v>-0.42923894349760178</v>
      </c>
      <c r="AC259" s="5">
        <f>IF(M259=0,0,const*($T259/omega)*O259*(wx*(H259-V259)-wy*(G259-U259))/Z259)</f>
        <v>13.496310396792008</v>
      </c>
      <c r="AD259" s="5">
        <f t="shared" si="108"/>
        <v>0</v>
      </c>
      <c r="AE259" s="5">
        <f t="shared" si="108"/>
        <v>-21.662662947319912</v>
      </c>
      <c r="AF259" s="5">
        <f t="shared" si="96"/>
        <v>-19.353001019312032</v>
      </c>
      <c r="AG259">
        <f t="shared" si="107"/>
        <v>0</v>
      </c>
    </row>
    <row r="260" spans="1:33" x14ac:dyDescent="0.2">
      <c r="A260">
        <f t="shared" si="97"/>
        <v>2.2799999999999954</v>
      </c>
      <c r="B260" s="5">
        <f t="shared" si="98"/>
        <v>0</v>
      </c>
      <c r="C260" s="5">
        <f t="shared" si="99"/>
        <v>423.90516113025518</v>
      </c>
      <c r="D260" s="5">
        <f t="shared" si="100"/>
        <v>58.593335664548526</v>
      </c>
      <c r="E260" s="2">
        <f t="shared" si="82"/>
        <v>141.30172037675172</v>
      </c>
      <c r="F260" s="2">
        <f t="shared" si="101"/>
        <v>0</v>
      </c>
      <c r="G260" s="3">
        <f t="shared" si="102"/>
        <v>0</v>
      </c>
      <c r="H260" s="3">
        <f t="shared" si="103"/>
        <v>152.73962332433081</v>
      </c>
      <c r="I260" s="3">
        <f t="shared" si="104"/>
        <v>4.6711164895740822</v>
      </c>
      <c r="J260" s="2">
        <f t="shared" si="83"/>
        <v>152.81103318320189</v>
      </c>
      <c r="K260" s="2">
        <f t="shared" si="105"/>
        <v>104.16566679154866</v>
      </c>
      <c r="L260" s="5">
        <f t="shared" si="84"/>
        <v>22.900305287758048</v>
      </c>
      <c r="M260" s="3">
        <f t="shared" si="85"/>
        <v>19.903828866635095</v>
      </c>
      <c r="N260" s="2">
        <v>0</v>
      </c>
      <c r="O260" s="2">
        <f t="shared" si="86"/>
        <v>152.81103318320189</v>
      </c>
      <c r="P260" s="2">
        <f t="shared" si="87"/>
        <v>104.16566679154866</v>
      </c>
      <c r="Q260" s="5">
        <f t="shared" si="88"/>
        <v>1.2878870580571311</v>
      </c>
      <c r="R260" s="5">
        <f t="shared" si="89"/>
        <v>0.15966626501982964</v>
      </c>
      <c r="S260" s="4">
        <f t="shared" si="106"/>
        <v>0.13025125510913088</v>
      </c>
      <c r="T260" s="5">
        <f t="shared" si="90"/>
        <v>0.10151360965659877</v>
      </c>
      <c r="U260" s="4">
        <f t="shared" si="91"/>
        <v>0</v>
      </c>
      <c r="V260" s="4">
        <f t="shared" si="92"/>
        <v>0</v>
      </c>
      <c r="W260" s="5">
        <f t="shared" si="93"/>
        <v>0</v>
      </c>
      <c r="X260" s="5">
        <f t="shared" si="94"/>
        <v>-21.176707203699916</v>
      </c>
      <c r="Y260" s="5">
        <f t="shared" si="95"/>
        <v>-0.64763068063902685</v>
      </c>
      <c r="Z260" s="5">
        <f>1</f>
        <v>1</v>
      </c>
      <c r="AA260" s="5">
        <f>IF(M260=0,0,const*($T260/omega)*O260*(wy*I260-wz*(H260-V260))/Z260)</f>
        <v>0</v>
      </c>
      <c r="AB260" s="5">
        <f>IF(M260=0,0,const*($T260/omega)*O260*(wz*(G260-U260)-wx*I260)/Z260)</f>
        <v>-0.41175465655104165</v>
      </c>
      <c r="AC260" s="5">
        <f>IF(M260=0,0,const*($T260/omega)*O260*(wx*(H260-V260)-wy*(G260-U260))/Z260)</f>
        <v>13.463858433849461</v>
      </c>
      <c r="AD260" s="5">
        <f t="shared" si="108"/>
        <v>0</v>
      </c>
      <c r="AE260" s="5">
        <f t="shared" si="108"/>
        <v>-21.588461860250959</v>
      </c>
      <c r="AF260" s="5">
        <f t="shared" si="96"/>
        <v>-19.357772246789565</v>
      </c>
      <c r="AG260">
        <f t="shared" si="107"/>
        <v>0</v>
      </c>
    </row>
    <row r="261" spans="1:33" x14ac:dyDescent="0.2">
      <c r="A261">
        <f t="shared" si="97"/>
        <v>2.2899999999999952</v>
      </c>
      <c r="B261" s="5">
        <f t="shared" si="98"/>
        <v>0</v>
      </c>
      <c r="C261" s="5">
        <f t="shared" si="99"/>
        <v>425.43147794040544</v>
      </c>
      <c r="D261" s="5">
        <f t="shared" si="100"/>
        <v>58.639078940831929</v>
      </c>
      <c r="E261" s="2">
        <f t="shared" si="82"/>
        <v>141.8104926468018</v>
      </c>
      <c r="F261" s="2">
        <f t="shared" si="101"/>
        <v>0</v>
      </c>
      <c r="G261" s="3">
        <f t="shared" si="102"/>
        <v>0</v>
      </c>
      <c r="H261" s="3">
        <f t="shared" si="103"/>
        <v>152.52373870572831</v>
      </c>
      <c r="I261" s="3">
        <f t="shared" si="104"/>
        <v>4.4775387671061866</v>
      </c>
      <c r="J261" s="2">
        <f t="shared" si="83"/>
        <v>152.58944662781965</v>
      </c>
      <c r="K261" s="2">
        <f t="shared" si="105"/>
        <v>104.01461937820017</v>
      </c>
      <c r="L261" s="5">
        <f t="shared" si="84"/>
        <v>22.933560534946231</v>
      </c>
      <c r="M261" s="3">
        <f t="shared" si="85"/>
        <v>19.898024354941008</v>
      </c>
      <c r="N261" s="2">
        <v>0</v>
      </c>
      <c r="O261" s="2">
        <f t="shared" si="86"/>
        <v>152.58944662781965</v>
      </c>
      <c r="P261" s="2">
        <f t="shared" si="87"/>
        <v>104.01461937820017</v>
      </c>
      <c r="Q261" s="5">
        <f t="shared" si="88"/>
        <v>1.2860195328466044</v>
      </c>
      <c r="R261" s="5">
        <f t="shared" si="89"/>
        <v>0.1596978044472373</v>
      </c>
      <c r="S261" s="4">
        <f t="shared" si="106"/>
        <v>0.13040236264487021</v>
      </c>
      <c r="T261" s="5">
        <f t="shared" si="90"/>
        <v>0.10156070059935536</v>
      </c>
      <c r="U261" s="4">
        <f t="shared" si="91"/>
        <v>0</v>
      </c>
      <c r="V261" s="4">
        <f t="shared" si="92"/>
        <v>0</v>
      </c>
      <c r="W261" s="5">
        <f t="shared" si="93"/>
        <v>0</v>
      </c>
      <c r="X261" s="5">
        <f t="shared" si="94"/>
        <v>-21.120282560628649</v>
      </c>
      <c r="Y261" s="5">
        <f t="shared" si="95"/>
        <v>-0.62001420067406121</v>
      </c>
      <c r="Z261" s="5">
        <f>1</f>
        <v>1</v>
      </c>
      <c r="AA261" s="5">
        <f>IF(M261=0,0,const*($T261/omega)*O261*(wy*I261-wz*(H261-V261))/Z261)</f>
        <v>0</v>
      </c>
      <c r="AB261" s="5">
        <f>IF(M261=0,0,const*($T261/omega)*O261*(wz*(G261-U261)-wx*I261)/Z261)</f>
        <v>-0.39430145467536082</v>
      </c>
      <c r="AC261" s="5">
        <f>IF(M261=0,0,const*($T261/omega)*O261*(wx*(H261-V261)-wy*(G261-U261))/Z261)</f>
        <v>13.431560321935914</v>
      </c>
      <c r="AD261" s="5">
        <f t="shared" si="108"/>
        <v>0</v>
      </c>
      <c r="AE261" s="5">
        <f t="shared" si="108"/>
        <v>-21.51458401530401</v>
      </c>
      <c r="AF261" s="5">
        <f t="shared" si="96"/>
        <v>-19.362453878738147</v>
      </c>
      <c r="AG261">
        <f t="shared" si="107"/>
        <v>0</v>
      </c>
    </row>
    <row r="262" spans="1:33" x14ac:dyDescent="0.2">
      <c r="A262">
        <f t="shared" si="97"/>
        <v>2.2999999999999949</v>
      </c>
      <c r="B262" s="5">
        <f t="shared" si="98"/>
        <v>0</v>
      </c>
      <c r="C262" s="5">
        <f t="shared" si="99"/>
        <v>426.955639598262</v>
      </c>
      <c r="D262" s="5">
        <f t="shared" si="100"/>
        <v>58.682886205809055</v>
      </c>
      <c r="E262" s="2">
        <f t="shared" si="82"/>
        <v>142.318546532754</v>
      </c>
      <c r="F262" s="2">
        <f t="shared" si="101"/>
        <v>0</v>
      </c>
      <c r="G262" s="3">
        <f t="shared" si="102"/>
        <v>0</v>
      </c>
      <c r="H262" s="3">
        <f t="shared" si="103"/>
        <v>152.30859286557526</v>
      </c>
      <c r="I262" s="3">
        <f t="shared" si="104"/>
        <v>4.283914228318805</v>
      </c>
      <c r="J262" s="2">
        <f t="shared" si="83"/>
        <v>152.36882680459004</v>
      </c>
      <c r="K262" s="2">
        <f t="shared" si="105"/>
        <v>103.86423095064079</v>
      </c>
      <c r="L262" s="5">
        <f t="shared" si="84"/>
        <v>22.966766789646439</v>
      </c>
      <c r="M262" s="3">
        <f t="shared" si="85"/>
        <v>19.892234088645779</v>
      </c>
      <c r="N262" s="2">
        <v>0</v>
      </c>
      <c r="O262" s="2">
        <f t="shared" si="86"/>
        <v>152.36882680459004</v>
      </c>
      <c r="P262" s="2">
        <f t="shared" si="87"/>
        <v>103.86423095064079</v>
      </c>
      <c r="Q262" s="5">
        <f t="shared" si="88"/>
        <v>1.2841601552272699</v>
      </c>
      <c r="R262" s="5">
        <f t="shared" si="89"/>
        <v>0.15972928223428423</v>
      </c>
      <c r="S262" s="4">
        <f t="shared" si="106"/>
        <v>0.13055317485746062</v>
      </c>
      <c r="T262" s="5">
        <f t="shared" si="90"/>
        <v>0.10160766687443167</v>
      </c>
      <c r="U262" s="4">
        <f t="shared" si="91"/>
        <v>0</v>
      </c>
      <c r="V262" s="4">
        <f t="shared" si="92"/>
        <v>0</v>
      </c>
      <c r="W262" s="5">
        <f t="shared" si="93"/>
        <v>0</v>
      </c>
      <c r="X262" s="5">
        <f t="shared" si="94"/>
        <v>-21.064148506424338</v>
      </c>
      <c r="Y262" s="5">
        <f t="shared" si="95"/>
        <v>-0.59246168450740677</v>
      </c>
      <c r="Z262" s="5">
        <f>1</f>
        <v>1</v>
      </c>
      <c r="AA262" s="5">
        <f>IF(M262=0,0,const*($T262/omega)*O262*(wy*I262-wz*(H262-V262))/Z262)</f>
        <v>0</v>
      </c>
      <c r="AB262" s="5">
        <f>IF(M262=0,0,const*($T262/omega)*O262*(wz*(G262-U262)-wx*I262)/Z262)</f>
        <v>-0.37687923362102366</v>
      </c>
      <c r="AC262" s="5">
        <f>IF(M262=0,0,const*($T262/omega)*O262*(wx*(H262-V262)-wy*(G262-U262))/Z262)</f>
        <v>13.399415276248783</v>
      </c>
      <c r="AD262" s="5">
        <f t="shared" si="108"/>
        <v>0</v>
      </c>
      <c r="AE262" s="5">
        <f t="shared" si="108"/>
        <v>-21.441027740045364</v>
      </c>
      <c r="AF262" s="5">
        <f t="shared" si="96"/>
        <v>-19.367046408258624</v>
      </c>
      <c r="AG262">
        <f t="shared" si="107"/>
        <v>0</v>
      </c>
    </row>
    <row r="263" spans="1:33" x14ac:dyDescent="0.2">
      <c r="A263">
        <f t="shared" si="97"/>
        <v>2.3099999999999947</v>
      </c>
      <c r="B263" s="5">
        <f t="shared" si="98"/>
        <v>0</v>
      </c>
      <c r="C263" s="5">
        <f t="shared" si="99"/>
        <v>428.47765347553076</v>
      </c>
      <c r="D263" s="5">
        <f t="shared" si="100"/>
        <v>58.724756995771827</v>
      </c>
      <c r="E263" s="2">
        <f t="shared" si="82"/>
        <v>142.8258844918436</v>
      </c>
      <c r="F263" s="2">
        <f t="shared" si="101"/>
        <v>0</v>
      </c>
      <c r="G263" s="3">
        <f t="shared" si="102"/>
        <v>0</v>
      </c>
      <c r="H263" s="3">
        <f t="shared" si="103"/>
        <v>152.09418258817482</v>
      </c>
      <c r="I263" s="3">
        <f t="shared" si="104"/>
        <v>4.0902437642362184</v>
      </c>
      <c r="J263" s="2">
        <f t="shared" si="83"/>
        <v>152.14917177301996</v>
      </c>
      <c r="K263" s="2">
        <f t="shared" si="105"/>
        <v>103.71450018610767</v>
      </c>
      <c r="L263" s="5">
        <f t="shared" si="84"/>
        <v>22.999923499114228</v>
      </c>
      <c r="M263" s="3">
        <f t="shared" si="85"/>
        <v>19.886457916958715</v>
      </c>
      <c r="N263" s="2">
        <v>0</v>
      </c>
      <c r="O263" s="2">
        <f t="shared" si="86"/>
        <v>152.14917177301996</v>
      </c>
      <c r="P263" s="2">
        <f t="shared" si="87"/>
        <v>103.71450018610767</v>
      </c>
      <c r="Q263" s="5">
        <f t="shared" si="88"/>
        <v>1.2823089088447059</v>
      </c>
      <c r="R263" s="5">
        <f t="shared" si="89"/>
        <v>0.15976069765389245</v>
      </c>
      <c r="S263" s="4">
        <f t="shared" si="106"/>
        <v>0.13070368826342246</v>
      </c>
      <c r="T263" s="5">
        <f t="shared" si="90"/>
        <v>0.10165450764970325</v>
      </c>
      <c r="U263" s="4">
        <f t="shared" si="91"/>
        <v>0</v>
      </c>
      <c r="V263" s="4">
        <f t="shared" si="92"/>
        <v>0</v>
      </c>
      <c r="W263" s="5">
        <f t="shared" si="93"/>
        <v>0</v>
      </c>
      <c r="X263" s="5">
        <f t="shared" si="94"/>
        <v>-21.008303483566213</v>
      </c>
      <c r="Y263" s="5">
        <f t="shared" si="95"/>
        <v>-0.56497284024010808</v>
      </c>
      <c r="Z263" s="5">
        <f>1</f>
        <v>1</v>
      </c>
      <c r="AA263" s="5">
        <f>IF(M263=0,0,const*($T263/omega)*O263*(wy*I263-wz*(H263-V263))/Z263)</f>
        <v>0</v>
      </c>
      <c r="AB263" s="5">
        <f>IF(M263=0,0,const*($T263/omega)*O263*(wz*(G263-U263)-wx*I263)/Z263)</f>
        <v>-0.3594878887827852</v>
      </c>
      <c r="AC263" s="5">
        <f>IF(M263=0,0,const*($T263/omega)*O263*(wx*(H263-V263)-wy*(G263-U263))/Z263)</f>
        <v>13.367422517170244</v>
      </c>
      <c r="AD263" s="5">
        <f t="shared" si="108"/>
        <v>0</v>
      </c>
      <c r="AE263" s="5">
        <f t="shared" si="108"/>
        <v>-21.367791372348997</v>
      </c>
      <c r="AF263" s="5">
        <f t="shared" si="96"/>
        <v>-19.371550323069862</v>
      </c>
      <c r="AG263">
        <f t="shared" si="107"/>
        <v>0</v>
      </c>
    </row>
    <row r="264" spans="1:33" x14ac:dyDescent="0.2">
      <c r="A264">
        <f t="shared" si="97"/>
        <v>2.3199999999999945</v>
      </c>
      <c r="B264" s="5">
        <f t="shared" si="98"/>
        <v>0</v>
      </c>
      <c r="C264" s="5">
        <f t="shared" si="99"/>
        <v>429.99752691184386</v>
      </c>
      <c r="D264" s="5">
        <f t="shared" si="100"/>
        <v>58.764690855898031</v>
      </c>
      <c r="E264" s="2">
        <f t="shared" si="82"/>
        <v>143.33250897061461</v>
      </c>
      <c r="F264" s="2">
        <f t="shared" si="101"/>
        <v>0</v>
      </c>
      <c r="G264" s="3">
        <f t="shared" si="102"/>
        <v>0</v>
      </c>
      <c r="H264" s="3">
        <f t="shared" si="103"/>
        <v>151.88050467445132</v>
      </c>
      <c r="I264" s="3">
        <f t="shared" si="104"/>
        <v>3.8965282610055199</v>
      </c>
      <c r="J264" s="2">
        <f t="shared" si="83"/>
        <v>151.93047960384658</v>
      </c>
      <c r="K264" s="2">
        <f t="shared" si="105"/>
        <v>103.56542576949323</v>
      </c>
      <c r="L264" s="5">
        <f t="shared" si="84"/>
        <v>23.033030109281974</v>
      </c>
      <c r="M264" s="3">
        <f t="shared" si="85"/>
        <v>19.880695689573827</v>
      </c>
      <c r="N264" s="2">
        <v>0</v>
      </c>
      <c r="O264" s="2">
        <f t="shared" si="86"/>
        <v>151.93047960384658</v>
      </c>
      <c r="P264" s="2">
        <f t="shared" si="87"/>
        <v>103.56542576949323</v>
      </c>
      <c r="Q264" s="5">
        <f t="shared" si="88"/>
        <v>1.2804657774391408</v>
      </c>
      <c r="R264" s="5">
        <f t="shared" si="89"/>
        <v>0.15979204997739999</v>
      </c>
      <c r="S264" s="4">
        <f t="shared" si="106"/>
        <v>0.13085389937168662</v>
      </c>
      <c r="T264" s="5">
        <f t="shared" si="90"/>
        <v>0.10170122209241318</v>
      </c>
      <c r="U264" s="4">
        <f t="shared" si="91"/>
        <v>0</v>
      </c>
      <c r="V264" s="4">
        <f t="shared" si="92"/>
        <v>0</v>
      </c>
      <c r="W264" s="5">
        <f t="shared" si="93"/>
        <v>0</v>
      </c>
      <c r="X264" s="5">
        <f t="shared" si="94"/>
        <v>-20.952745945105708</v>
      </c>
      <c r="Y264" s="5">
        <f t="shared" si="95"/>
        <v>-0.53754737578579315</v>
      </c>
      <c r="Z264" s="5">
        <f>1</f>
        <v>1</v>
      </c>
      <c r="AA264" s="5">
        <f>IF(M264=0,0,const*($T264/omega)*O264*(wy*I264-wz*(H264-V264))/Z264)</f>
        <v>0</v>
      </c>
      <c r="AB264" s="5">
        <f>IF(M264=0,0,const*($T264/omega)*O264*(wz*(G264-U264)-wx*I264)/Z264)</f>
        <v>-0.34212731520571221</v>
      </c>
      <c r="AC264" s="5">
        <f>IF(M264=0,0,const*($T264/omega)*O264*(wx*(H264-V264)-wy*(G264-U264))/Z264)</f>
        <v>13.335581270222704</v>
      </c>
      <c r="AD264" s="5">
        <f t="shared" si="108"/>
        <v>0</v>
      </c>
      <c r="AE264" s="5">
        <f t="shared" si="108"/>
        <v>-21.294873260311419</v>
      </c>
      <c r="AF264" s="5">
        <f t="shared" si="96"/>
        <v>-19.375966105563087</v>
      </c>
      <c r="AG264">
        <f t="shared" si="107"/>
        <v>0</v>
      </c>
    </row>
    <row r="265" spans="1:33" x14ac:dyDescent="0.2">
      <c r="A265">
        <f t="shared" si="97"/>
        <v>2.3299999999999943</v>
      </c>
      <c r="B265" s="5">
        <f t="shared" si="98"/>
        <v>0</v>
      </c>
      <c r="C265" s="5">
        <f t="shared" si="99"/>
        <v>431.51526721492536</v>
      </c>
      <c r="D265" s="5">
        <f t="shared" si="100"/>
        <v>58.802687340202809</v>
      </c>
      <c r="E265" s="2">
        <f t="shared" si="82"/>
        <v>143.83842240497512</v>
      </c>
      <c r="F265" s="2">
        <f t="shared" si="101"/>
        <v>0</v>
      </c>
      <c r="G265" s="3">
        <f t="shared" si="102"/>
        <v>0</v>
      </c>
      <c r="H265" s="3">
        <f t="shared" si="103"/>
        <v>151.66755594184821</v>
      </c>
      <c r="I265" s="3">
        <f t="shared" si="104"/>
        <v>3.7027685999498892</v>
      </c>
      <c r="J265" s="2">
        <f t="shared" si="83"/>
        <v>151.71274837889672</v>
      </c>
      <c r="K265" s="2">
        <f t="shared" si="105"/>
        <v>103.4170063932493</v>
      </c>
      <c r="L265" s="5">
        <f t="shared" si="84"/>
        <v>23.066086064787282</v>
      </c>
      <c r="M265" s="3">
        <f t="shared" si="85"/>
        <v>19.874947256667081</v>
      </c>
      <c r="N265" s="2">
        <v>0</v>
      </c>
      <c r="O265" s="2">
        <f t="shared" si="86"/>
        <v>151.71274837889672</v>
      </c>
      <c r="P265" s="2">
        <f t="shared" si="87"/>
        <v>103.4170063932493</v>
      </c>
      <c r="Q265" s="5">
        <f t="shared" si="88"/>
        <v>1.2786307448442649</v>
      </c>
      <c r="R265" s="5">
        <f t="shared" si="89"/>
        <v>0.15982333847459754</v>
      </c>
      <c r="S265" s="4">
        <f t="shared" si="106"/>
        <v>0.13100380468377099</v>
      </c>
      <c r="T265" s="5">
        <f t="shared" si="90"/>
        <v>0.1017478093692139</v>
      </c>
      <c r="U265" s="4">
        <f t="shared" si="91"/>
        <v>0</v>
      </c>
      <c r="V265" s="4">
        <f t="shared" si="92"/>
        <v>0</v>
      </c>
      <c r="W265" s="5">
        <f t="shared" si="93"/>
        <v>0</v>
      </c>
      <c r="X265" s="5">
        <f t="shared" si="94"/>
        <v>-20.897474354576104</v>
      </c>
      <c r="Y265" s="5">
        <f t="shared" si="95"/>
        <v>-0.51018499888038449</v>
      </c>
      <c r="Z265" s="5">
        <f>1</f>
        <v>1</v>
      </c>
      <c r="AA265" s="5">
        <f>IF(M265=0,0,const*($T265/omega)*O265*(wy*I265-wz*(H265-V265))/Z265)</f>
        <v>0</v>
      </c>
      <c r="AB265" s="5">
        <f>IF(M265=0,0,const*($T265/omega)*O265*(wz*(G265-U265)-wx*I265)/Z265)</f>
        <v>-0.32479740759116121</v>
      </c>
      <c r="AC265" s="5">
        <f>IF(M265=0,0,const*($T265/omega)*O265*(wx*(H265-V265)-wy*(G265-U265))/Z265)</f>
        <v>13.303890766024749</v>
      </c>
      <c r="AD265" s="5">
        <f t="shared" si="108"/>
        <v>0</v>
      </c>
      <c r="AE265" s="5">
        <f t="shared" si="108"/>
        <v>-21.222271762167267</v>
      </c>
      <c r="AF265" s="5">
        <f t="shared" si="96"/>
        <v>-19.380294232855636</v>
      </c>
      <c r="AG265">
        <f t="shared" si="107"/>
        <v>0</v>
      </c>
    </row>
    <row r="266" spans="1:33" x14ac:dyDescent="0.2">
      <c r="A266">
        <f t="shared" si="97"/>
        <v>2.3399999999999941</v>
      </c>
      <c r="B266" s="5">
        <f t="shared" si="98"/>
        <v>0</v>
      </c>
      <c r="C266" s="5">
        <f t="shared" si="99"/>
        <v>433.03088166075577</v>
      </c>
      <c r="D266" s="5">
        <f t="shared" si="100"/>
        <v>58.838746011490663</v>
      </c>
      <c r="E266" s="2">
        <f t="shared" si="82"/>
        <v>144.34362722025193</v>
      </c>
      <c r="F266" s="2">
        <f t="shared" si="101"/>
        <v>0</v>
      </c>
      <c r="G266" s="3">
        <f t="shared" si="102"/>
        <v>0</v>
      </c>
      <c r="H266" s="3">
        <f t="shared" si="103"/>
        <v>151.45533322422654</v>
      </c>
      <c r="I266" s="3">
        <f t="shared" si="104"/>
        <v>3.5089656576213328</v>
      </c>
      <c r="J266" s="2">
        <f t="shared" si="83"/>
        <v>151.49597619094664</v>
      </c>
      <c r="K266" s="2">
        <f t="shared" si="105"/>
        <v>103.2692407572915</v>
      </c>
      <c r="L266" s="5">
        <f t="shared" si="84"/>
        <v>23.099090809001787</v>
      </c>
      <c r="M266" s="3">
        <f t="shared" si="85"/>
        <v>19.869212468893664</v>
      </c>
      <c r="N266" s="2">
        <v>0</v>
      </c>
      <c r="O266" s="2">
        <f t="shared" si="86"/>
        <v>151.49597619094664</v>
      </c>
      <c r="P266" s="2">
        <f t="shared" si="87"/>
        <v>103.2692407572915</v>
      </c>
      <c r="Q266" s="5">
        <f t="shared" si="88"/>
        <v>1.2768037949860502</v>
      </c>
      <c r="R266" s="5">
        <f t="shared" si="89"/>
        <v>0.15985456241376586</v>
      </c>
      <c r="S266" s="4">
        <f t="shared" si="106"/>
        <v>0.13115340069395878</v>
      </c>
      <c r="T266" s="5">
        <f t="shared" si="90"/>
        <v>0.10179426864620955</v>
      </c>
      <c r="U266" s="4">
        <f t="shared" si="91"/>
        <v>0</v>
      </c>
      <c r="V266" s="4">
        <f t="shared" si="92"/>
        <v>0</v>
      </c>
      <c r="W266" s="5">
        <f t="shared" si="93"/>
        <v>0</v>
      </c>
      <c r="X266" s="5">
        <f t="shared" si="94"/>
        <v>-20.842487185903003</v>
      </c>
      <c r="Y266" s="5">
        <f t="shared" si="95"/>
        <v>-0.48288541709172178</v>
      </c>
      <c r="Z266" s="5">
        <f>1</f>
        <v>1</v>
      </c>
      <c r="AA266" s="5">
        <f>IF(M266=0,0,const*($T266/omega)*O266*(wy*I266-wz*(H266-V266))/Z266)</f>
        <v>0</v>
      </c>
      <c r="AB266" s="5">
        <f>IF(M266=0,0,const*($T266/omega)*O266*(wz*(G266-U266)-wx*I266)/Z266)</f>
        <v>-0.30749806030271115</v>
      </c>
      <c r="AC266" s="5">
        <f>IF(M266=0,0,const*($T266/omega)*O266*(wx*(H266-V266)-wy*(G266-U266))/Z266)</f>
        <v>13.272350240247413</v>
      </c>
      <c r="AD266" s="5">
        <f t="shared" si="108"/>
        <v>0</v>
      </c>
      <c r="AE266" s="5">
        <f t="shared" si="108"/>
        <v>-21.149985246205716</v>
      </c>
      <c r="AF266" s="5">
        <f t="shared" si="96"/>
        <v>-19.384535176844309</v>
      </c>
      <c r="AG266">
        <f t="shared" si="107"/>
        <v>0</v>
      </c>
    </row>
    <row r="267" spans="1:33" x14ac:dyDescent="0.2">
      <c r="A267">
        <f t="shared" si="97"/>
        <v>2.3499999999999939</v>
      </c>
      <c r="B267" s="5">
        <f t="shared" si="98"/>
        <v>0</v>
      </c>
      <c r="C267" s="5">
        <f t="shared" si="99"/>
        <v>434.54437749373574</v>
      </c>
      <c r="D267" s="5">
        <f t="shared" si="100"/>
        <v>58.872866441308034</v>
      </c>
      <c r="E267" s="2">
        <f t="shared" si="82"/>
        <v>144.84812583124526</v>
      </c>
      <c r="F267" s="2">
        <f t="shared" si="101"/>
        <v>0</v>
      </c>
      <c r="G267" s="3">
        <f t="shared" si="102"/>
        <v>0</v>
      </c>
      <c r="H267" s="3">
        <f t="shared" si="103"/>
        <v>151.24383337176448</v>
      </c>
      <c r="I267" s="3">
        <f t="shared" si="104"/>
        <v>3.31512030585289</v>
      </c>
      <c r="J267" s="2">
        <f t="shared" si="83"/>
        <v>151.28016114358266</v>
      </c>
      <c r="K267" s="2">
        <f t="shared" si="105"/>
        <v>103.12212756890433</v>
      </c>
      <c r="L267" s="5">
        <f t="shared" si="84"/>
        <v>23.132043784060283</v>
      </c>
      <c r="M267" s="3">
        <f t="shared" si="85"/>
        <v>19.863491177385345</v>
      </c>
      <c r="N267" s="2">
        <v>0</v>
      </c>
      <c r="O267" s="2">
        <f t="shared" si="86"/>
        <v>151.28016114358266</v>
      </c>
      <c r="P267" s="2">
        <f t="shared" si="87"/>
        <v>103.12212756890433</v>
      </c>
      <c r="Q267" s="5">
        <f t="shared" si="88"/>
        <v>1.274984911881577</v>
      </c>
      <c r="R267" s="5">
        <f t="shared" si="89"/>
        <v>0.15988572106171331</v>
      </c>
      <c r="S267" s="4">
        <f t="shared" si="106"/>
        <v>0.13130268388947944</v>
      </c>
      <c r="T267" s="5">
        <f t="shared" si="90"/>
        <v>0.10184059908899881</v>
      </c>
      <c r="U267" s="4">
        <f t="shared" si="91"/>
        <v>0</v>
      </c>
      <c r="V267" s="4">
        <f t="shared" si="92"/>
        <v>0</v>
      </c>
      <c r="W267" s="5">
        <f t="shared" si="93"/>
        <v>0</v>
      </c>
      <c r="X267" s="5">
        <f t="shared" si="94"/>
        <v>-20.7877829233156</v>
      </c>
      <c r="Y267" s="5">
        <f t="shared" si="95"/>
        <v>-0.45564833782909764</v>
      </c>
      <c r="Z267" s="5">
        <f>1</f>
        <v>1</v>
      </c>
      <c r="AA267" s="5">
        <f>IF(M267=0,0,const*($T267/omega)*O267*(wy*I267-wz*(H267-V267))/Z267)</f>
        <v>0</v>
      </c>
      <c r="AB267" s="5">
        <f>IF(M267=0,0,const*($T267/omega)*O267*(wz*(G267-U267)-wx*I267)/Z267)</f>
        <v>-0.29022916737205579</v>
      </c>
      <c r="AC267" s="5">
        <f>IF(M267=0,0,const*($T267/omega)*O267*(wx*(H267-V267)-wy*(G267-U267))/Z267)</f>
        <v>13.240958933570912</v>
      </c>
      <c r="AD267" s="5">
        <f t="shared" si="108"/>
        <v>0</v>
      </c>
      <c r="AE267" s="5">
        <f t="shared" si="108"/>
        <v>-21.078012090687654</v>
      </c>
      <c r="AF267" s="5">
        <f t="shared" si="96"/>
        <v>-19.388689404258187</v>
      </c>
      <c r="AG267">
        <f t="shared" si="107"/>
        <v>0</v>
      </c>
    </row>
    <row r="268" spans="1:33" x14ac:dyDescent="0.2">
      <c r="A268">
        <f t="shared" si="97"/>
        <v>2.3599999999999937</v>
      </c>
      <c r="B268" s="5">
        <f t="shared" si="98"/>
        <v>0</v>
      </c>
      <c r="C268" s="5">
        <f t="shared" si="99"/>
        <v>436.05576192684885</v>
      </c>
      <c r="D268" s="5">
        <f t="shared" si="100"/>
        <v>58.90504820989635</v>
      </c>
      <c r="E268" s="2">
        <f t="shared" si="82"/>
        <v>145.35192064228295</v>
      </c>
      <c r="F268" s="2">
        <f t="shared" si="101"/>
        <v>0</v>
      </c>
      <c r="G268" s="3">
        <f t="shared" si="102"/>
        <v>0</v>
      </c>
      <c r="H268" s="3">
        <f t="shared" si="103"/>
        <v>151.03305325085759</v>
      </c>
      <c r="I268" s="3">
        <f t="shared" si="104"/>
        <v>3.1212334118103082</v>
      </c>
      <c r="J268" s="2">
        <f t="shared" si="83"/>
        <v>151.06530135106269</v>
      </c>
      <c r="K268" s="2">
        <f t="shared" si="105"/>
        <v>102.97566554264668</v>
      </c>
      <c r="L268" s="5">
        <f t="shared" si="84"/>
        <v>23.164944430890198</v>
      </c>
      <c r="M268" s="3">
        <f t="shared" si="85"/>
        <v>19.857783233747849</v>
      </c>
      <c r="N268" s="2">
        <v>0</v>
      </c>
      <c r="O268" s="2">
        <f t="shared" si="86"/>
        <v>151.06530135106269</v>
      </c>
      <c r="P268" s="2">
        <f t="shared" si="87"/>
        <v>102.97566554264668</v>
      </c>
      <c r="Q268" s="5">
        <f t="shared" si="88"/>
        <v>1.2731740796378637</v>
      </c>
      <c r="R268" s="5">
        <f t="shared" si="89"/>
        <v>0.15991681368381425</v>
      </c>
      <c r="S268" s="4">
        <f t="shared" si="106"/>
        <v>0.13145165075069146</v>
      </c>
      <c r="T268" s="5">
        <f t="shared" si="90"/>
        <v>0.10188679986271795</v>
      </c>
      <c r="U268" s="4">
        <f t="shared" si="91"/>
        <v>0</v>
      </c>
      <c r="V268" s="4">
        <f t="shared" si="92"/>
        <v>0</v>
      </c>
      <c r="W268" s="5">
        <f t="shared" si="93"/>
        <v>0</v>
      </c>
      <c r="X268" s="5">
        <f t="shared" si="94"/>
        <v>-20.733360061258864</v>
      </c>
      <c r="Y268" s="5">
        <f t="shared" si="95"/>
        <v>-0.42847346835271055</v>
      </c>
      <c r="Z268" s="5">
        <f>1</f>
        <v>1</v>
      </c>
      <c r="AA268" s="5">
        <f>IF(M268=0,0,const*($T268/omega)*O268*(wy*I268-wz*(H268-V268))/Z268)</f>
        <v>0</v>
      </c>
      <c r="AB268" s="5">
        <f>IF(M268=0,0,const*($T268/omega)*O268*(wz*(G268-U268)-wx*I268)/Z268)</f>
        <v>-0.27299062250485417</v>
      </c>
      <c r="AC268" s="5">
        <f>IF(M268=0,0,const*($T268/omega)*O268*(wx*(H268-V268)-wy*(G268-U268))/Z268)</f>
        <v>13.209716091641717</v>
      </c>
      <c r="AD268" s="5">
        <f t="shared" si="108"/>
        <v>0</v>
      </c>
      <c r="AE268" s="5">
        <f t="shared" si="108"/>
        <v>-21.006350683763717</v>
      </c>
      <c r="AF268" s="5">
        <f t="shared" si="96"/>
        <v>-19.392757376710993</v>
      </c>
      <c r="AG268">
        <f t="shared" si="107"/>
        <v>0</v>
      </c>
    </row>
    <row r="269" spans="1:33" x14ac:dyDescent="0.2">
      <c r="A269">
        <f t="shared" si="97"/>
        <v>2.3699999999999934</v>
      </c>
      <c r="B269" s="5">
        <f t="shared" si="98"/>
        <v>0</v>
      </c>
      <c r="C269" s="5">
        <f t="shared" si="99"/>
        <v>437.56504214182326</v>
      </c>
      <c r="D269" s="5">
        <f t="shared" si="100"/>
        <v>58.935290906145617</v>
      </c>
      <c r="E269" s="2">
        <f t="shared" si="82"/>
        <v>145.85501404727441</v>
      </c>
      <c r="F269" s="2">
        <f t="shared" si="101"/>
        <v>0</v>
      </c>
      <c r="G269" s="3">
        <f t="shared" si="102"/>
        <v>0</v>
      </c>
      <c r="H269" s="3">
        <f t="shared" si="103"/>
        <v>150.82298974401996</v>
      </c>
      <c r="I269" s="3">
        <f t="shared" si="104"/>
        <v>2.9273058380431984</v>
      </c>
      <c r="J269" s="2">
        <f t="shared" si="83"/>
        <v>150.85139493817812</v>
      </c>
      <c r="K269" s="2">
        <f t="shared" si="105"/>
        <v>102.82985340025775</v>
      </c>
      <c r="L269" s="5">
        <f t="shared" si="84"/>
        <v>23.197792189241476</v>
      </c>
      <c r="M269" s="3">
        <f t="shared" si="85"/>
        <v>19.852088490058332</v>
      </c>
      <c r="N269" s="2">
        <v>0</v>
      </c>
      <c r="O269" s="2">
        <f t="shared" si="86"/>
        <v>150.85139493817812</v>
      </c>
      <c r="P269" s="2">
        <f t="shared" si="87"/>
        <v>102.82985340025775</v>
      </c>
      <c r="Q269" s="5">
        <f t="shared" si="88"/>
        <v>1.2713712824507051</v>
      </c>
      <c r="R269" s="5">
        <f t="shared" si="89"/>
        <v>0.15994783954404757</v>
      </c>
      <c r="S269" s="4">
        <f t="shared" si="106"/>
        <v>0.1316002977512678</v>
      </c>
      <c r="T269" s="5">
        <f t="shared" si="90"/>
        <v>0.10193287013208428</v>
      </c>
      <c r="U269" s="4">
        <f t="shared" si="91"/>
        <v>0</v>
      </c>
      <c r="V269" s="4">
        <f t="shared" si="92"/>
        <v>0</v>
      </c>
      <c r="W269" s="5">
        <f t="shared" si="93"/>
        <v>0</v>
      </c>
      <c r="X269" s="5">
        <f t="shared" si="94"/>
        <v>-20.67921710430646</v>
      </c>
      <c r="Y269" s="5">
        <f t="shared" si="95"/>
        <v>-0.40136051578303378</v>
      </c>
      <c r="Z269" s="5">
        <f>1</f>
        <v>1</v>
      </c>
      <c r="AA269" s="5">
        <f>IF(M269=0,0,const*($T269/omega)*O269*(wy*I269-wz*(H269-V269))/Z269)</f>
        <v>0</v>
      </c>
      <c r="AB269" s="5">
        <f>IF(M269=0,0,const*($T269/omega)*O269*(wz*(G269-U269)-wx*I269)/Z269)</f>
        <v>-0.25578231908654042</v>
      </c>
      <c r="AC269" s="5">
        <f>IF(M269=0,0,const*($T269/omega)*O269*(wx*(H269-V269)-wy*(G269-U269))/Z269)</f>
        <v>13.17862096503004</v>
      </c>
      <c r="AD269" s="5">
        <f t="shared" si="108"/>
        <v>0</v>
      </c>
      <c r="AE269" s="5">
        <f t="shared" si="108"/>
        <v>-20.934999423393002</v>
      </c>
      <c r="AF269" s="5">
        <f t="shared" si="96"/>
        <v>-19.396739550752994</v>
      </c>
      <c r="AG269">
        <f t="shared" si="107"/>
        <v>0</v>
      </c>
    </row>
    <row r="270" spans="1:33" x14ac:dyDescent="0.2">
      <c r="A270">
        <f t="shared" si="97"/>
        <v>2.3799999999999932</v>
      </c>
      <c r="B270" s="5">
        <f t="shared" si="98"/>
        <v>0</v>
      </c>
      <c r="C270" s="5">
        <f t="shared" si="99"/>
        <v>439.07222528929225</v>
      </c>
      <c r="D270" s="5">
        <f t="shared" si="100"/>
        <v>58.963594127548511</v>
      </c>
      <c r="E270" s="2">
        <f t="shared" si="82"/>
        <v>146.35740842976409</v>
      </c>
      <c r="F270" s="2">
        <f t="shared" si="101"/>
        <v>0</v>
      </c>
      <c r="G270" s="3">
        <f t="shared" si="102"/>
        <v>0</v>
      </c>
      <c r="H270" s="3">
        <f t="shared" si="103"/>
        <v>150.61363974978605</v>
      </c>
      <c r="I270" s="3">
        <f t="shared" si="104"/>
        <v>2.7333384425356684</v>
      </c>
      <c r="J270" s="2">
        <f t="shared" si="83"/>
        <v>150.63844004011651</v>
      </c>
      <c r="K270" s="2">
        <f t="shared" si="105"/>
        <v>102.68468987056339</v>
      </c>
      <c r="L270" s="5">
        <f t="shared" si="84"/>
        <v>23.230586497716775</v>
      </c>
      <c r="M270" s="3">
        <f t="shared" si="85"/>
        <v>19.846406798862862</v>
      </c>
      <c r="N270" s="2">
        <v>0</v>
      </c>
      <c r="O270" s="2">
        <f t="shared" si="86"/>
        <v>150.63844004011651</v>
      </c>
      <c r="P270" s="2">
        <f t="shared" si="87"/>
        <v>102.68468987056339</v>
      </c>
      <c r="Q270" s="5">
        <f t="shared" si="88"/>
        <v>1.2695765046035148</v>
      </c>
      <c r="R270" s="5">
        <f t="shared" si="89"/>
        <v>0.15997879790503586</v>
      </c>
      <c r="S270" s="4">
        <f t="shared" si="106"/>
        <v>0.13174862135838347</v>
      </c>
      <c r="T270" s="5">
        <f t="shared" si="90"/>
        <v>0.10197880906144026</v>
      </c>
      <c r="U270" s="4">
        <f t="shared" si="91"/>
        <v>0</v>
      </c>
      <c r="V270" s="4">
        <f t="shared" si="92"/>
        <v>0</v>
      </c>
      <c r="W270" s="5">
        <f t="shared" si="93"/>
        <v>0</v>
      </c>
      <c r="X270" s="5">
        <f t="shared" si="94"/>
        <v>-20.625352567074465</v>
      </c>
      <c r="Y270" s="5">
        <f t="shared" si="95"/>
        <v>-0.37430918711010336</v>
      </c>
      <c r="Z270" s="5">
        <f>1</f>
        <v>1</v>
      </c>
      <c r="AA270" s="5">
        <f>IF(M270=0,0,const*($T270/omega)*O270*(wy*I270-wz*(H270-V270))/Z270)</f>
        <v>0</v>
      </c>
      <c r="AB270" s="5">
        <f>IF(M270=0,0,const*($T270/omega)*O270*(wz*(G270-U270)-wx*I270)/Z270)</f>
        <v>-0.23860415018809544</v>
      </c>
      <c r="AC270" s="5">
        <f>IF(M270=0,0,const*($T270/omega)*O270*(wx*(H270-V270)-wy*(G270-U270))/Z270)</f>
        <v>13.147672809187695</v>
      </c>
      <c r="AD270" s="5">
        <f t="shared" si="108"/>
        <v>0</v>
      </c>
      <c r="AE270" s="5">
        <f t="shared" si="108"/>
        <v>-20.86395671726256</v>
      </c>
      <c r="AF270" s="5">
        <f t="shared" si="96"/>
        <v>-19.40063637792241</v>
      </c>
      <c r="AG270">
        <f t="shared" si="107"/>
        <v>0</v>
      </c>
    </row>
    <row r="271" spans="1:33" x14ac:dyDescent="0.2">
      <c r="A271">
        <f t="shared" si="97"/>
        <v>2.389999999999993</v>
      </c>
      <c r="B271" s="5">
        <f t="shared" si="98"/>
        <v>0</v>
      </c>
      <c r="C271" s="5">
        <f t="shared" si="99"/>
        <v>440.57731848895423</v>
      </c>
      <c r="D271" s="5">
        <f t="shared" si="100"/>
        <v>58.98995748015497</v>
      </c>
      <c r="E271" s="2">
        <f t="shared" si="82"/>
        <v>146.85910616298474</v>
      </c>
      <c r="F271" s="2">
        <f t="shared" si="101"/>
        <v>0</v>
      </c>
      <c r="G271" s="3">
        <f t="shared" si="102"/>
        <v>0</v>
      </c>
      <c r="H271" s="3">
        <f t="shared" si="103"/>
        <v>150.40500018261341</v>
      </c>
      <c r="I271" s="3">
        <f t="shared" si="104"/>
        <v>2.5393320787564444</v>
      </c>
      <c r="J271" s="2">
        <f t="shared" si="83"/>
        <v>150.42643480232502</v>
      </c>
      <c r="K271" s="2">
        <f t="shared" si="105"/>
        <v>102.5401736893831</v>
      </c>
      <c r="L271" s="5">
        <f t="shared" si="84"/>
        <v>23.263326793802076</v>
      </c>
      <c r="M271" s="3">
        <f t="shared" si="85"/>
        <v>19.840738013174004</v>
      </c>
      <c r="N271" s="2">
        <v>0</v>
      </c>
      <c r="O271" s="2">
        <f t="shared" si="86"/>
        <v>150.42643480232502</v>
      </c>
      <c r="P271" s="2">
        <f t="shared" si="87"/>
        <v>102.5401736893831</v>
      </c>
      <c r="Q271" s="5">
        <f t="shared" si="88"/>
        <v>1.2677897304661747</v>
      </c>
      <c r="R271" s="5">
        <f t="shared" si="89"/>
        <v>0.16000968802808513</v>
      </c>
      <c r="S271" s="4">
        <f t="shared" si="106"/>
        <v>0.13189661803290537</v>
      </c>
      <c r="T271" s="5">
        <f t="shared" si="90"/>
        <v>0.10202461581479766</v>
      </c>
      <c r="U271" s="4">
        <f t="shared" si="91"/>
        <v>0</v>
      </c>
      <c r="V271" s="4">
        <f t="shared" si="92"/>
        <v>0</v>
      </c>
      <c r="W271" s="5">
        <f t="shared" si="93"/>
        <v>0</v>
      </c>
      <c r="X271" s="5">
        <f t="shared" si="94"/>
        <v>-20.571764974135927</v>
      </c>
      <c r="Y271" s="5">
        <f t="shared" si="95"/>
        <v>-0.34731918920272897</v>
      </c>
      <c r="Z271" s="5">
        <f>1</f>
        <v>1</v>
      </c>
      <c r="AA271" s="5">
        <f>IF(M271=0,0,const*($T271/omega)*O271*(wy*I271-wz*(H271-V271))/Z271)</f>
        <v>0</v>
      </c>
      <c r="AB271" s="5">
        <f>IF(M271=0,0,const*($T271/omega)*O271*(wz*(G271-U271)-wx*I271)/Z271)</f>
        <v>-0.22145600857177986</v>
      </c>
      <c r="AC271" s="5">
        <f>IF(M271=0,0,const*($T271/omega)*O271*(wx*(H271-V271)-wy*(G271-U271))/Z271)</f>
        <v>13.116870884406319</v>
      </c>
      <c r="AD271" s="5">
        <f t="shared" si="108"/>
        <v>0</v>
      </c>
      <c r="AE271" s="5">
        <f t="shared" si="108"/>
        <v>-20.793220982707709</v>
      </c>
      <c r="AF271" s="5">
        <f t="shared" si="96"/>
        <v>-19.404448304796411</v>
      </c>
      <c r="AG271">
        <f t="shared" si="107"/>
        <v>0</v>
      </c>
    </row>
    <row r="272" spans="1:33" x14ac:dyDescent="0.2">
      <c r="A272">
        <f t="shared" si="97"/>
        <v>2.3999999999999928</v>
      </c>
      <c r="B272" s="5">
        <f t="shared" si="98"/>
        <v>0</v>
      </c>
      <c r="C272" s="5">
        <f t="shared" si="99"/>
        <v>442.08032882973123</v>
      </c>
      <c r="D272" s="5">
        <f t="shared" si="100"/>
        <v>59.014380578527295</v>
      </c>
      <c r="E272" s="2">
        <f t="shared" si="82"/>
        <v>147.36010960991041</v>
      </c>
      <c r="F272" s="2">
        <f t="shared" si="101"/>
        <v>0</v>
      </c>
      <c r="G272" s="3">
        <f t="shared" si="102"/>
        <v>0</v>
      </c>
      <c r="H272" s="3">
        <f t="shared" si="103"/>
        <v>150.19706797278633</v>
      </c>
      <c r="I272" s="3">
        <f t="shared" si="104"/>
        <v>2.3452875957084802</v>
      </c>
      <c r="J272" s="2">
        <f t="shared" si="83"/>
        <v>150.21537738037466</v>
      </c>
      <c r="K272" s="2">
        <f t="shared" si="105"/>
        <v>102.39630359943739</v>
      </c>
      <c r="L272" s="5">
        <f t="shared" si="84"/>
        <v>23.296012513897534</v>
      </c>
      <c r="M272" s="3">
        <f t="shared" si="85"/>
        <v>19.835081986468388</v>
      </c>
      <c r="N272" s="2">
        <v>0</v>
      </c>
      <c r="O272" s="2">
        <f t="shared" si="86"/>
        <v>150.21537738037466</v>
      </c>
      <c r="P272" s="2">
        <f t="shared" si="87"/>
        <v>102.39630359943739</v>
      </c>
      <c r="Q272" s="5">
        <f t="shared" si="88"/>
        <v>1.2660109444938892</v>
      </c>
      <c r="R272" s="5">
        <f t="shared" si="89"/>
        <v>0.16004050917322474</v>
      </c>
      <c r="S272" s="4">
        <f t="shared" si="106"/>
        <v>0.13204428422958384</v>
      </c>
      <c r="T272" s="5">
        <f t="shared" si="90"/>
        <v>0.10207028955588214</v>
      </c>
      <c r="U272" s="4">
        <f t="shared" si="91"/>
        <v>0</v>
      </c>
      <c r="V272" s="4">
        <f t="shared" si="92"/>
        <v>0</v>
      </c>
      <c r="W272" s="5">
        <f t="shared" si="93"/>
        <v>0</v>
      </c>
      <c r="X272" s="5">
        <f t="shared" si="94"/>
        <v>-20.518452859936215</v>
      </c>
      <c r="Y272" s="5">
        <f t="shared" si="95"/>
        <v>-0.32039022881762635</v>
      </c>
      <c r="Z272" s="5">
        <f>1</f>
        <v>1</v>
      </c>
      <c r="AA272" s="5">
        <f>IF(M272=0,0,const*($T272/omega)*O272*(wy*I272-wz*(H272-V272))/Z272)</f>
        <v>0</v>
      </c>
      <c r="AB272" s="5">
        <f>IF(M272=0,0,const*($T272/omega)*O272*(wz*(G272-U272)-wx*I272)/Z272)</f>
        <v>-0.20433778669682998</v>
      </c>
      <c r="AC272" s="5">
        <f>IF(M272=0,0,const*($T272/omega)*O272*(wx*(H272-V272)-wy*(G272-U272))/Z272)</f>
        <v>13.086214455776012</v>
      </c>
      <c r="AD272" s="5">
        <f t="shared" si="108"/>
        <v>0</v>
      </c>
      <c r="AE272" s="5">
        <f t="shared" si="108"/>
        <v>-20.722790646633044</v>
      </c>
      <c r="AF272" s="5">
        <f t="shared" si="96"/>
        <v>-19.408175773041613</v>
      </c>
      <c r="AG272">
        <f t="shared" si="107"/>
        <v>0</v>
      </c>
    </row>
    <row r="273" spans="1:33" x14ac:dyDescent="0.2">
      <c r="A273">
        <f t="shared" si="97"/>
        <v>2.4099999999999926</v>
      </c>
      <c r="B273" s="5">
        <f t="shared" si="98"/>
        <v>0</v>
      </c>
      <c r="C273" s="5">
        <f t="shared" si="99"/>
        <v>443.58126336992677</v>
      </c>
      <c r="D273" s="5">
        <f t="shared" si="100"/>
        <v>59.036863045695725</v>
      </c>
      <c r="E273" s="2">
        <f t="shared" si="82"/>
        <v>147.86042112330892</v>
      </c>
      <c r="F273" s="2">
        <f t="shared" si="101"/>
        <v>0</v>
      </c>
      <c r="G273" s="3">
        <f t="shared" si="102"/>
        <v>0</v>
      </c>
      <c r="H273" s="3">
        <f t="shared" si="103"/>
        <v>149.98984006632</v>
      </c>
      <c r="I273" s="3">
        <f t="shared" si="104"/>
        <v>2.1512058379780639</v>
      </c>
      <c r="J273" s="2">
        <f t="shared" si="83"/>
        <v>150.00526593982494</v>
      </c>
      <c r="K273" s="2">
        <f t="shared" si="105"/>
        <v>102.25307835025558</v>
      </c>
      <c r="L273" s="5">
        <f t="shared" si="84"/>
        <v>23.328643093348813</v>
      </c>
      <c r="M273" s="3">
        <f t="shared" si="85"/>
        <v>19.829438572684413</v>
      </c>
      <c r="N273" s="2">
        <v>0</v>
      </c>
      <c r="O273" s="2">
        <f t="shared" si="86"/>
        <v>150.00526593982494</v>
      </c>
      <c r="P273" s="2">
        <f t="shared" si="87"/>
        <v>102.25307835025558</v>
      </c>
      <c r="Q273" s="5">
        <f t="shared" si="88"/>
        <v>1.2642401312260454</v>
      </c>
      <c r="R273" s="5">
        <f t="shared" si="89"/>
        <v>0.16007126059924795</v>
      </c>
      <c r="S273" s="4">
        <f t="shared" si="106"/>
        <v>0.13219161639724736</v>
      </c>
      <c r="T273" s="5">
        <f t="shared" si="90"/>
        <v>0.10211582944817846</v>
      </c>
      <c r="U273" s="4">
        <f t="shared" si="91"/>
        <v>0</v>
      </c>
      <c r="V273" s="4">
        <f t="shared" si="92"/>
        <v>0</v>
      </c>
      <c r="W273" s="5">
        <f t="shared" si="93"/>
        <v>0</v>
      </c>
      <c r="X273" s="5">
        <f t="shared" si="94"/>
        <v>-20.465414768709074</v>
      </c>
      <c r="Y273" s="5">
        <f t="shared" si="95"/>
        <v>-0.29352201260847444</v>
      </c>
      <c r="Z273" s="5">
        <f>1</f>
        <v>1</v>
      </c>
      <c r="AA273" s="5">
        <f>IF(M273=0,0,const*($T273/omega)*O273*(wy*I273-wz*(H273-V273))/Z273)</f>
        <v>0</v>
      </c>
      <c r="AB273" s="5">
        <f>IF(M273=0,0,const*($T273/omega)*O273*(wz*(G273-U273)-wx*I273)/Z273)</f>
        <v>-0.18724937672511768</v>
      </c>
      <c r="AC273" s="5">
        <f>IF(M273=0,0,const*($T273/omega)*O273*(wx*(H273-V273)-wy*(G273-U273))/Z273)</f>
        <v>13.055702793144285</v>
      </c>
      <c r="AD273" s="5">
        <f t="shared" si="108"/>
        <v>0</v>
      </c>
      <c r="AE273" s="5">
        <f t="shared" si="108"/>
        <v>-20.652664145434191</v>
      </c>
      <c r="AF273" s="5">
        <f t="shared" si="96"/>
        <v>-19.411819219464189</v>
      </c>
      <c r="AG273">
        <f t="shared" si="107"/>
        <v>0</v>
      </c>
    </row>
    <row r="274" spans="1:33" x14ac:dyDescent="0.2">
      <c r="A274">
        <f t="shared" si="97"/>
        <v>2.4199999999999924</v>
      </c>
      <c r="B274" s="5">
        <f t="shared" si="98"/>
        <v>0</v>
      </c>
      <c r="C274" s="5">
        <f t="shared" si="99"/>
        <v>445.0801291373827</v>
      </c>
      <c r="D274" s="5">
        <f t="shared" si="100"/>
        <v>59.057404513114534</v>
      </c>
      <c r="E274" s="2">
        <f t="shared" si="82"/>
        <v>148.36004304579424</v>
      </c>
      <c r="F274" s="2">
        <f t="shared" si="101"/>
        <v>0</v>
      </c>
      <c r="G274" s="3">
        <f t="shared" si="102"/>
        <v>0</v>
      </c>
      <c r="H274" s="3">
        <f t="shared" si="103"/>
        <v>149.78331342486567</v>
      </c>
      <c r="I274" s="3">
        <f t="shared" si="104"/>
        <v>1.9570876457834219</v>
      </c>
      <c r="J274" s="2">
        <f t="shared" si="83"/>
        <v>149.79609865608924</v>
      </c>
      <c r="K274" s="2">
        <f t="shared" si="105"/>
        <v>102.11049669808401</v>
      </c>
      <c r="L274" s="5">
        <f t="shared" si="84"/>
        <v>23.361217966478709</v>
      </c>
      <c r="M274" s="3">
        <f t="shared" si="85"/>
        <v>19.823807626219939</v>
      </c>
      <c r="N274" s="2">
        <v>0</v>
      </c>
      <c r="O274" s="2">
        <f t="shared" si="86"/>
        <v>149.79609865608924</v>
      </c>
      <c r="P274" s="2">
        <f t="shared" si="87"/>
        <v>102.11049669808401</v>
      </c>
      <c r="Q274" s="5">
        <f t="shared" si="88"/>
        <v>1.2624772752850792</v>
      </c>
      <c r="R274" s="5">
        <f t="shared" si="89"/>
        <v>0.1601019415637531</v>
      </c>
      <c r="S274" s="4">
        <f t="shared" si="106"/>
        <v>0.13233861097899893</v>
      </c>
      <c r="T274" s="5">
        <f t="shared" si="90"/>
        <v>0.10216123465497585</v>
      </c>
      <c r="U274" s="4">
        <f t="shared" si="91"/>
        <v>0</v>
      </c>
      <c r="V274" s="4">
        <f t="shared" si="92"/>
        <v>0</v>
      </c>
      <c r="W274" s="5">
        <f t="shared" si="93"/>
        <v>0</v>
      </c>
      <c r="X274" s="5">
        <f t="shared" si="94"/>
        <v>-20.412649254393553</v>
      </c>
      <c r="Y274" s="5">
        <f t="shared" si="95"/>
        <v>-0.2667142471349</v>
      </c>
      <c r="Z274" s="5">
        <f>1</f>
        <v>1</v>
      </c>
      <c r="AA274" s="5">
        <f>IF(M274=0,0,const*($T274/omega)*O274*(wy*I274-wz*(H274-V274))/Z274)</f>
        <v>0</v>
      </c>
      <c r="AB274" s="5">
        <f>IF(M274=0,0,const*($T274/omega)*O274*(wz*(G274-U274)-wx*I274)/Z274)</f>
        <v>-0.17019067052677528</v>
      </c>
      <c r="AC274" s="5">
        <f>IF(M274=0,0,const*($T274/omega)*O274*(wx*(H274-V274)-wy*(G274-U274))/Z274)</f>
        <v>13.025335171075437</v>
      </c>
      <c r="AD274" s="5">
        <f t="shared" si="108"/>
        <v>0</v>
      </c>
      <c r="AE274" s="5">
        <f t="shared" si="108"/>
        <v>-20.582839924920329</v>
      </c>
      <c r="AF274" s="5">
        <f t="shared" si="96"/>
        <v>-19.415379076059462</v>
      </c>
      <c r="AG274">
        <f t="shared" si="107"/>
        <v>0</v>
      </c>
    </row>
    <row r="275" spans="1:33" x14ac:dyDescent="0.2">
      <c r="A275">
        <f t="shared" si="97"/>
        <v>2.4299999999999922</v>
      </c>
      <c r="B275" s="5">
        <f t="shared" si="98"/>
        <v>0</v>
      </c>
      <c r="C275" s="5">
        <f t="shared" si="99"/>
        <v>446.57693312963511</v>
      </c>
      <c r="D275" s="5">
        <f t="shared" si="100"/>
        <v>59.076004620618562</v>
      </c>
      <c r="E275" s="2">
        <f t="shared" si="82"/>
        <v>148.85897770987836</v>
      </c>
      <c r="F275" s="2">
        <f t="shared" si="101"/>
        <v>0</v>
      </c>
      <c r="G275" s="3">
        <f t="shared" si="102"/>
        <v>0</v>
      </c>
      <c r="H275" s="3">
        <f t="shared" si="103"/>
        <v>149.57748502561645</v>
      </c>
      <c r="I275" s="3">
        <f t="shared" si="104"/>
        <v>1.7629338550228273</v>
      </c>
      <c r="J275" s="2">
        <f t="shared" si="83"/>
        <v>149.58787371430111</v>
      </c>
      <c r="K275" s="2">
        <f t="shared" si="105"/>
        <v>101.96855740579488</v>
      </c>
      <c r="L275" s="5">
        <f t="shared" si="84"/>
        <v>23.393736566619115</v>
      </c>
      <c r="M275" s="3">
        <f t="shared" si="85"/>
        <v>19.818189001930051</v>
      </c>
      <c r="N275" s="2">
        <v>0</v>
      </c>
      <c r="O275" s="2">
        <f t="shared" si="86"/>
        <v>149.58787371430111</v>
      </c>
      <c r="P275" s="2">
        <f t="shared" si="87"/>
        <v>101.96855740579488</v>
      </c>
      <c r="Q275" s="5">
        <f t="shared" si="88"/>
        <v>1.260722361375348</v>
      </c>
      <c r="R275" s="5">
        <f t="shared" si="89"/>
        <v>0.1601325513231848</v>
      </c>
      <c r="S275" s="4">
        <f t="shared" si="106"/>
        <v>0.13248526441241451</v>
      </c>
      <c r="T275" s="5">
        <f t="shared" si="90"/>
        <v>0.10220650433941371</v>
      </c>
      <c r="U275" s="4">
        <f t="shared" si="91"/>
        <v>0</v>
      </c>
      <c r="V275" s="4">
        <f t="shared" si="92"/>
        <v>0</v>
      </c>
      <c r="W275" s="5">
        <f t="shared" si="93"/>
        <v>0</v>
      </c>
      <c r="X275" s="5">
        <f t="shared" si="94"/>
        <v>-20.360154880551583</v>
      </c>
      <c r="Y275" s="5">
        <f t="shared" si="95"/>
        <v>-0.23996663887138855</v>
      </c>
      <c r="Z275" s="5">
        <f>1</f>
        <v>1</v>
      </c>
      <c r="AA275" s="5">
        <f>IF(M275=0,0,const*($T275/omega)*O275*(wy*I275-wz*(H275-V275))/Z275)</f>
        <v>0</v>
      </c>
      <c r="AB275" s="5">
        <f>IF(M275=0,0,const*($T275/omega)*O275*(wz*(G275-U275)-wx*I275)/Z275)</f>
        <v>-0.1531615596857856</v>
      </c>
      <c r="AC275" s="5">
        <f>IF(M275=0,0,const*($T275/omega)*O275*(wx*(H275-V275)-wy*(G275-U275))/Z275)</f>
        <v>12.995110868810228</v>
      </c>
      <c r="AD275" s="5">
        <f t="shared" si="108"/>
        <v>0</v>
      </c>
      <c r="AE275" s="5">
        <f t="shared" si="108"/>
        <v>-20.513316440237368</v>
      </c>
      <c r="AF275" s="5">
        <f t="shared" si="96"/>
        <v>-19.41885577006116</v>
      </c>
      <c r="AG275">
        <f t="shared" si="107"/>
        <v>0</v>
      </c>
    </row>
    <row r="276" spans="1:33" x14ac:dyDescent="0.2">
      <c r="A276">
        <f t="shared" si="97"/>
        <v>2.439999999999992</v>
      </c>
      <c r="B276" s="5">
        <f t="shared" si="98"/>
        <v>0</v>
      </c>
      <c r="C276" s="5">
        <f t="shared" si="99"/>
        <v>448.07168231406928</v>
      </c>
      <c r="D276" s="5">
        <f t="shared" si="100"/>
        <v>59.092663016380286</v>
      </c>
      <c r="E276" s="2">
        <f t="shared" si="82"/>
        <v>149.3572274380231</v>
      </c>
      <c r="F276" s="2">
        <f t="shared" si="101"/>
        <v>0</v>
      </c>
      <c r="G276" s="3">
        <f t="shared" si="102"/>
        <v>0</v>
      </c>
      <c r="H276" s="3">
        <f t="shared" si="103"/>
        <v>149.37235186121407</v>
      </c>
      <c r="I276" s="3">
        <f t="shared" si="104"/>
        <v>1.5687452973222156</v>
      </c>
      <c r="J276" s="2">
        <f t="shared" si="83"/>
        <v>149.38058930918103</v>
      </c>
      <c r="K276" s="2">
        <f t="shared" si="105"/>
        <v>101.82725924279552</v>
      </c>
      <c r="L276" s="5">
        <f t="shared" si="84"/>
        <v>23.426198326143382</v>
      </c>
      <c r="M276" s="3">
        <f t="shared" si="85"/>
        <v>19.812582555124887</v>
      </c>
      <c r="N276" s="2">
        <v>0</v>
      </c>
      <c r="O276" s="2">
        <f t="shared" si="86"/>
        <v>149.38058930918103</v>
      </c>
      <c r="P276" s="2">
        <f t="shared" si="87"/>
        <v>101.82725924279552</v>
      </c>
      <c r="Q276" s="5">
        <f t="shared" si="88"/>
        <v>1.2589753742820065</v>
      </c>
      <c r="R276" s="5">
        <f t="shared" si="89"/>
        <v>0.16016308913287605</v>
      </c>
      <c r="S276" s="4">
        <f t="shared" si="106"/>
        <v>0.13263157312974391</v>
      </c>
      <c r="T276" s="5">
        <f t="shared" si="90"/>
        <v>0.1022516376645279</v>
      </c>
      <c r="U276" s="4">
        <f t="shared" si="91"/>
        <v>0</v>
      </c>
      <c r="V276" s="4">
        <f t="shared" si="92"/>
        <v>0</v>
      </c>
      <c r="W276" s="5">
        <f t="shared" si="93"/>
        <v>0</v>
      </c>
      <c r="X276" s="5">
        <f t="shared" si="94"/>
        <v>-20.30793022028644</v>
      </c>
      <c r="Y276" s="5">
        <f t="shared" si="95"/>
        <v>-0.21327889421612753</v>
      </c>
      <c r="Z276" s="5">
        <f>1</f>
        <v>1</v>
      </c>
      <c r="AA276" s="5">
        <f>IF(M276=0,0,const*($T276/omega)*O276*(wy*I276-wz*(H276-V276))/Z276)</f>
        <v>0</v>
      </c>
      <c r="AB276" s="5">
        <f>IF(M276=0,0,const*($T276/omega)*O276*(wz*(G276-U276)-wx*I276)/Z276)</f>
        <v>-0.13616193550553954</v>
      </c>
      <c r="AC276" s="5">
        <f>IF(M276=0,0,const*($T276/omega)*O276*(wx*(H276-V276)-wy*(G276-U276))/Z276)</f>
        <v>12.965029170226003</v>
      </c>
      <c r="AD276" s="5">
        <f t="shared" si="108"/>
        <v>0</v>
      </c>
      <c r="AE276" s="5">
        <f t="shared" si="108"/>
        <v>-20.444092155791981</v>
      </c>
      <c r="AF276" s="5">
        <f t="shared" si="96"/>
        <v>-19.422249723990124</v>
      </c>
      <c r="AG276">
        <f t="shared" si="107"/>
        <v>0</v>
      </c>
    </row>
    <row r="277" spans="1:33" x14ac:dyDescent="0.2">
      <c r="A277">
        <f t="shared" si="97"/>
        <v>2.4499999999999917</v>
      </c>
      <c r="B277" s="5">
        <f t="shared" si="98"/>
        <v>0</v>
      </c>
      <c r="C277" s="5">
        <f t="shared" si="99"/>
        <v>449.56438362807359</v>
      </c>
      <c r="D277" s="5">
        <f t="shared" si="100"/>
        <v>59.107379356867312</v>
      </c>
      <c r="E277" s="2">
        <f t="shared" si="82"/>
        <v>149.8547945426912</v>
      </c>
      <c r="F277" s="2">
        <f t="shared" si="101"/>
        <v>0</v>
      </c>
      <c r="G277" s="3">
        <f t="shared" si="102"/>
        <v>0</v>
      </c>
      <c r="H277" s="3">
        <f t="shared" si="103"/>
        <v>149.16791093965614</v>
      </c>
      <c r="I277" s="3">
        <f t="shared" si="104"/>
        <v>1.3745228000823144</v>
      </c>
      <c r="J277" s="2">
        <f t="shared" si="83"/>
        <v>149.17424364490384</v>
      </c>
      <c r="K277" s="2">
        <f t="shared" si="105"/>
        <v>101.68660098493785</v>
      </c>
      <c r="L277" s="5">
        <f t="shared" si="84"/>
        <v>23.458602676498959</v>
      </c>
      <c r="M277" s="3">
        <f t="shared" si="85"/>
        <v>19.806988141567501</v>
      </c>
      <c r="N277" s="2">
        <v>0</v>
      </c>
      <c r="O277" s="2">
        <f t="shared" si="86"/>
        <v>149.17424364490384</v>
      </c>
      <c r="P277" s="2">
        <f t="shared" si="87"/>
        <v>101.68660098493785</v>
      </c>
      <c r="Q277" s="5">
        <f t="shared" si="88"/>
        <v>1.2572362988698913</v>
      </c>
      <c r="R277" s="5">
        <f t="shared" si="89"/>
        <v>0.16019355424709059</v>
      </c>
      <c r="S277" s="4">
        <f t="shared" si="106"/>
        <v>0.13277753355811406</v>
      </c>
      <c r="T277" s="5">
        <f t="shared" si="90"/>
        <v>0.10229663379329715</v>
      </c>
      <c r="U277" s="4">
        <f t="shared" si="91"/>
        <v>0</v>
      </c>
      <c r="V277" s="4">
        <f t="shared" si="92"/>
        <v>0</v>
      </c>
      <c r="W277" s="5">
        <f t="shared" si="93"/>
        <v>0</v>
      </c>
      <c r="X277" s="5">
        <f t="shared" si="94"/>
        <v>-20.255973856161845</v>
      </c>
      <c r="Y277" s="5">
        <f t="shared" si="95"/>
        <v>-0.18665071949977874</v>
      </c>
      <c r="Z277" s="5">
        <f>1</f>
        <v>1</v>
      </c>
      <c r="AA277" s="5">
        <f>IF(M277=0,0,const*($T277/omega)*O277*(wy*I277-wz*(H277-V277))/Z277)</f>
        <v>0</v>
      </c>
      <c r="AB277" s="5">
        <f>IF(M277=0,0,const*($T277/omega)*O277*(wz*(G277-U277)-wx*I277)/Z277)</f>
        <v>-0.11919168901436042</v>
      </c>
      <c r="AC277" s="5">
        <f>IF(M277=0,0,const*($T277/omega)*O277*(wx*(H277-V277)-wy*(G277-U277))/Z277)</f>
        <v>12.935089363797067</v>
      </c>
      <c r="AD277" s="5">
        <f t="shared" si="108"/>
        <v>0</v>
      </c>
      <c r="AE277" s="5">
        <f t="shared" si="108"/>
        <v>-20.375165545176205</v>
      </c>
      <c r="AF277" s="5">
        <f t="shared" si="96"/>
        <v>-19.425561355702712</v>
      </c>
      <c r="AG277">
        <f t="shared" si="107"/>
        <v>0</v>
      </c>
    </row>
    <row r="278" spans="1:33" x14ac:dyDescent="0.2">
      <c r="A278">
        <f t="shared" si="97"/>
        <v>2.4599999999999915</v>
      </c>
      <c r="B278" s="5">
        <f t="shared" si="98"/>
        <v>0</v>
      </c>
      <c r="C278" s="5">
        <f t="shared" si="99"/>
        <v>451.05504397919287</v>
      </c>
      <c r="D278" s="5">
        <f t="shared" si="100"/>
        <v>59.120153306800347</v>
      </c>
      <c r="E278" s="2">
        <f t="shared" si="82"/>
        <v>150.35168132639762</v>
      </c>
      <c r="F278" s="2">
        <f t="shared" si="101"/>
        <v>0</v>
      </c>
      <c r="G278" s="3">
        <f t="shared" si="102"/>
        <v>0</v>
      </c>
      <c r="H278" s="3">
        <f t="shared" si="103"/>
        <v>148.96415928420438</v>
      </c>
      <c r="I278" s="3">
        <f t="shared" si="104"/>
        <v>1.1802671865252874</v>
      </c>
      <c r="J278" s="2">
        <f t="shared" si="83"/>
        <v>148.96883493496688</v>
      </c>
      <c r="K278" s="2">
        <f t="shared" si="105"/>
        <v>101.54658141442867</v>
      </c>
      <c r="L278" s="5">
        <f t="shared" si="84"/>
        <v>23.490949048240452</v>
      </c>
      <c r="M278" s="3">
        <f t="shared" si="85"/>
        <v>19.801405617471776</v>
      </c>
      <c r="N278" s="2">
        <v>0</v>
      </c>
      <c r="O278" s="2">
        <f t="shared" si="86"/>
        <v>148.96883493496688</v>
      </c>
      <c r="P278" s="2">
        <f t="shared" si="87"/>
        <v>101.54658141442867</v>
      </c>
      <c r="Q278" s="5">
        <f t="shared" si="88"/>
        <v>1.255505120082409</v>
      </c>
      <c r="R278" s="5">
        <f t="shared" si="89"/>
        <v>0.16022394591906561</v>
      </c>
      <c r="S278" s="4">
        <f t="shared" si="106"/>
        <v>0.13292314211973386</v>
      </c>
      <c r="T278" s="5">
        <f t="shared" si="90"/>
        <v>0.10234149188869002</v>
      </c>
      <c r="U278" s="4">
        <f t="shared" si="91"/>
        <v>0</v>
      </c>
      <c r="V278" s="4">
        <f t="shared" si="92"/>
        <v>0</v>
      </c>
      <c r="W278" s="5">
        <f t="shared" si="93"/>
        <v>0</v>
      </c>
      <c r="X278" s="5">
        <f t="shared" si="94"/>
        <v>-20.204284380121862</v>
      </c>
      <c r="Y278" s="5">
        <f t="shared" si="95"/>
        <v>-0.16008182099418483</v>
      </c>
      <c r="Z278" s="5">
        <f>1</f>
        <v>1</v>
      </c>
      <c r="AA278" s="5">
        <f>IF(M278=0,0,const*($T278/omega)*O278*(wy*I278-wz*(H278-V278))/Z278)</f>
        <v>0</v>
      </c>
      <c r="AB278" s="5">
        <f>IF(M278=0,0,const*($T278/omega)*O278*(wz*(G278-U278)-wx*I278)/Z278)</f>
        <v>-0.10225071097099739</v>
      </c>
      <c r="AC278" s="5">
        <f>IF(M278=0,0,const*($T278/omega)*O278*(wx*(H278-V278)-wy*(G278-U278))/Z278)</f>
        <v>12.905290742555485</v>
      </c>
      <c r="AD278" s="5">
        <f t="shared" si="108"/>
        <v>0</v>
      </c>
      <c r="AE278" s="5">
        <f t="shared" si="108"/>
        <v>-20.306535091092861</v>
      </c>
      <c r="AF278" s="5">
        <f t="shared" si="96"/>
        <v>-19.428791078438699</v>
      </c>
      <c r="AG278">
        <f t="shared" si="107"/>
        <v>0</v>
      </c>
    </row>
    <row r="279" spans="1:33" x14ac:dyDescent="0.2">
      <c r="A279">
        <f t="shared" si="97"/>
        <v>2.4699999999999913</v>
      </c>
      <c r="B279" s="5">
        <f t="shared" si="98"/>
        <v>0</v>
      </c>
      <c r="C279" s="5">
        <f t="shared" si="99"/>
        <v>452.54367024528034</v>
      </c>
      <c r="D279" s="5">
        <f t="shared" si="100"/>
        <v>59.13098453911168</v>
      </c>
      <c r="E279" s="2">
        <f t="shared" si="82"/>
        <v>150.84789008176011</v>
      </c>
      <c r="F279" s="2">
        <f t="shared" si="101"/>
        <v>0</v>
      </c>
      <c r="G279" s="3">
        <f t="shared" si="102"/>
        <v>0</v>
      </c>
      <c r="H279" s="3">
        <f t="shared" si="103"/>
        <v>148.76109393329347</v>
      </c>
      <c r="I279" s="3">
        <f t="shared" si="104"/>
        <v>0.98597927574090038</v>
      </c>
      <c r="J279" s="2">
        <f t="shared" si="83"/>
        <v>148.76436140205877</v>
      </c>
      <c r="K279" s="2">
        <f t="shared" si="105"/>
        <v>101.40719931974012</v>
      </c>
      <c r="L279" s="5">
        <f t="shared" si="84"/>
        <v>23.523236871062991</v>
      </c>
      <c r="M279" s="3">
        <f t="shared" si="85"/>
        <v>19.795834839500394</v>
      </c>
      <c r="N279" s="2">
        <v>0</v>
      </c>
      <c r="O279" s="2">
        <f t="shared" si="86"/>
        <v>148.76436140205877</v>
      </c>
      <c r="P279" s="2">
        <f t="shared" si="87"/>
        <v>101.40719931974012</v>
      </c>
      <c r="Q279" s="5">
        <f t="shared" si="88"/>
        <v>1.2537818229404292</v>
      </c>
      <c r="R279" s="5">
        <f t="shared" si="89"/>
        <v>0.1602542634010552</v>
      </c>
      <c r="S279" s="4">
        <f t="shared" si="106"/>
        <v>0.13306839523210184</v>
      </c>
      <c r="T279" s="5">
        <f t="shared" si="90"/>
        <v>0.10238621111371213</v>
      </c>
      <c r="U279" s="4">
        <f t="shared" si="91"/>
        <v>0</v>
      </c>
      <c r="V279" s="4">
        <f t="shared" si="92"/>
        <v>0</v>
      </c>
      <c r="W279" s="5">
        <f t="shared" si="93"/>
        <v>0</v>
      </c>
      <c r="X279" s="5">
        <f t="shared" si="94"/>
        <v>-20.152860393411494</v>
      </c>
      <c r="Y279" s="5">
        <f t="shared" si="95"/>
        <v>-0.1335719049210102</v>
      </c>
      <c r="Z279" s="5">
        <f>1</f>
        <v>1</v>
      </c>
      <c r="AA279" s="5">
        <f>IF(M279=0,0,const*($T279/omega)*O279*(wy*I279-wz*(H279-V279))/Z279)</f>
        <v>0</v>
      </c>
      <c r="AB279" s="5">
        <f>IF(M279=0,0,const*($T279/omega)*O279*(wz*(G279-U279)-wx*I279)/Z279)</f>
        <v>-8.5338891870087905E-2</v>
      </c>
      <c r="AC279" s="5">
        <f>IF(M279=0,0,const*($T279/omega)*O279*(wx*(H279-V279)-wy*(G279-U279))/Z279)</f>
        <v>12.875632604052209</v>
      </c>
      <c r="AD279" s="5">
        <f t="shared" si="108"/>
        <v>0</v>
      </c>
      <c r="AE279" s="5">
        <f t="shared" si="108"/>
        <v>-20.238199285281581</v>
      </c>
      <c r="AF279" s="5">
        <f t="shared" si="96"/>
        <v>-19.431939300868802</v>
      </c>
      <c r="AG279">
        <f t="shared" si="107"/>
        <v>0</v>
      </c>
    </row>
    <row r="280" spans="1:33" x14ac:dyDescent="0.2">
      <c r="A280">
        <f t="shared" si="97"/>
        <v>2.4799999999999911</v>
      </c>
      <c r="B280" s="5">
        <f t="shared" si="98"/>
        <v>0</v>
      </c>
      <c r="C280" s="5">
        <f t="shared" si="99"/>
        <v>454.03026927464896</v>
      </c>
      <c r="D280" s="5">
        <f t="shared" si="100"/>
        <v>59.139872734904046</v>
      </c>
      <c r="E280" s="2">
        <f t="shared" si="82"/>
        <v>151.34342309154965</v>
      </c>
      <c r="F280" s="2">
        <f t="shared" si="101"/>
        <v>0</v>
      </c>
      <c r="G280" s="3">
        <f t="shared" si="102"/>
        <v>0</v>
      </c>
      <c r="H280" s="3">
        <f t="shared" si="103"/>
        <v>148.55871194044065</v>
      </c>
      <c r="I280" s="3">
        <f t="shared" si="104"/>
        <v>0.79165988273221233</v>
      </c>
      <c r="J280" s="2">
        <f t="shared" si="83"/>
        <v>148.56082127792897</v>
      </c>
      <c r="K280" s="2">
        <f t="shared" si="105"/>
        <v>101.26845349552076</v>
      </c>
      <c r="L280" s="5">
        <f t="shared" si="84"/>
        <v>23.555465573835935</v>
      </c>
      <c r="M280" s="3">
        <f t="shared" si="85"/>
        <v>19.790275664762859</v>
      </c>
      <c r="N280" s="2">
        <v>0</v>
      </c>
      <c r="O280" s="2">
        <f t="shared" si="86"/>
        <v>148.56082127792897</v>
      </c>
      <c r="P280" s="2">
        <f t="shared" si="87"/>
        <v>101.26845349552076</v>
      </c>
      <c r="Q280" s="5">
        <f t="shared" si="88"/>
        <v>1.2520663925411868</v>
      </c>
      <c r="R280" s="5">
        <f t="shared" si="89"/>
        <v>0.16028450594437399</v>
      </c>
      <c r="S280" s="4">
        <f t="shared" si="106"/>
        <v>0.13321328930821558</v>
      </c>
      <c r="T280" s="5">
        <f t="shared" si="90"/>
        <v>0.10243079063145377</v>
      </c>
      <c r="U280" s="4">
        <f t="shared" si="91"/>
        <v>0</v>
      </c>
      <c r="V280" s="4">
        <f t="shared" si="92"/>
        <v>0</v>
      </c>
      <c r="W280" s="5">
        <f t="shared" si="93"/>
        <v>0</v>
      </c>
      <c r="X280" s="5">
        <f t="shared" si="94"/>
        <v>-20.101700506498062</v>
      </c>
      <c r="Y280" s="5">
        <f t="shared" si="95"/>
        <v>-0.1071206774603185</v>
      </c>
      <c r="Z280" s="5">
        <f>1</f>
        <v>1</v>
      </c>
      <c r="AA280" s="5">
        <f>IF(M280=0,0,const*($T280/omega)*O280*(wy*I280-wz*(H280-V280))/Z280)</f>
        <v>0</v>
      </c>
      <c r="AB280" s="5">
        <f>IF(M280=0,0,const*($T280/omega)*O280*(wz*(G280-U280)-wx*I280)/Z280)</f>
        <v>-6.8456121947590598E-2</v>
      </c>
      <c r="AC280" s="5">
        <f>IF(M280=0,0,const*($T280/omega)*O280*(wx*(H280-V280)-wy*(G280-U280))/Z280)</f>
        <v>12.846114250318553</v>
      </c>
      <c r="AD280" s="5">
        <f t="shared" si="108"/>
        <v>0</v>
      </c>
      <c r="AE280" s="5">
        <f t="shared" si="108"/>
        <v>-20.170156628445653</v>
      </c>
      <c r="AF280" s="5">
        <f t="shared" si="96"/>
        <v>-19.435006427141765</v>
      </c>
      <c r="AG280">
        <f t="shared" si="107"/>
        <v>0</v>
      </c>
    </row>
    <row r="281" spans="1:33" x14ac:dyDescent="0.2">
      <c r="A281">
        <f t="shared" si="97"/>
        <v>2.4899999999999909</v>
      </c>
      <c r="B281" s="5">
        <f t="shared" si="98"/>
        <v>0</v>
      </c>
      <c r="C281" s="5">
        <f t="shared" si="99"/>
        <v>455.5148478862219</v>
      </c>
      <c r="D281" s="5">
        <f t="shared" si="100"/>
        <v>59.146817583410012</v>
      </c>
      <c r="E281" s="2">
        <f t="shared" si="82"/>
        <v>151.83828262874064</v>
      </c>
      <c r="F281" s="2">
        <f t="shared" si="101"/>
        <v>0</v>
      </c>
      <c r="G281" s="3">
        <f t="shared" si="102"/>
        <v>0</v>
      </c>
      <c r="H281" s="3">
        <f t="shared" si="103"/>
        <v>148.35701037415618</v>
      </c>
      <c r="I281" s="3">
        <f t="shared" si="104"/>
        <v>0.59730981846079467</v>
      </c>
      <c r="J281" s="2">
        <f t="shared" si="83"/>
        <v>148.35821280325774</v>
      </c>
      <c r="K281" s="2">
        <f t="shared" si="105"/>
        <v>101.13034274250698</v>
      </c>
      <c r="L281" s="5">
        <f t="shared" si="84"/>
        <v>23.587634584636938</v>
      </c>
      <c r="M281" s="3">
        <f t="shared" si="85"/>
        <v>19.784727950813558</v>
      </c>
      <c r="N281" s="2">
        <v>0</v>
      </c>
      <c r="O281" s="2">
        <f t="shared" si="86"/>
        <v>148.35821280325774</v>
      </c>
      <c r="P281" s="2">
        <f t="shared" si="87"/>
        <v>101.13034274250698</v>
      </c>
      <c r="Q281" s="5">
        <f t="shared" si="88"/>
        <v>1.2503588140571849</v>
      </c>
      <c r="R281" s="5">
        <f t="shared" si="89"/>
        <v>0.16031467279944131</v>
      </c>
      <c r="S281" s="4">
        <f t="shared" si="106"/>
        <v>0.13335782075678329</v>
      </c>
      <c r="T281" s="5">
        <f t="shared" si="90"/>
        <v>0.10247522960513772</v>
      </c>
      <c r="U281" s="4">
        <f t="shared" si="91"/>
        <v>0</v>
      </c>
      <c r="V281" s="4">
        <f t="shared" si="92"/>
        <v>0</v>
      </c>
      <c r="W281" s="5">
        <f t="shared" si="93"/>
        <v>0</v>
      </c>
      <c r="X281" s="5">
        <f t="shared" si="94"/>
        <v>-20.05080333899323</v>
      </c>
      <c r="Y281" s="5">
        <f t="shared" si="95"/>
        <v>-8.0727844759087009E-2</v>
      </c>
      <c r="Z281" s="5">
        <f>1</f>
        <v>1</v>
      </c>
      <c r="AA281" s="5">
        <f>IF(M281=0,0,const*($T281/omega)*O281*(wy*I281-wz*(H281-V281))/Z281)</f>
        <v>0</v>
      </c>
      <c r="AB281" s="5">
        <f>IF(M281=0,0,const*($T281/omega)*O281*(wz*(G281-U281)-wx*I281)/Z281)</f>
        <v>-5.1602291186188823E-2</v>
      </c>
      <c r="AC281" s="5">
        <f>IF(M281=0,0,const*($T281/omega)*O281*(wx*(H281-V281)-wy*(G281-U281))/Z281)</f>
        <v>12.816734987827974</v>
      </c>
      <c r="AD281" s="5">
        <f t="shared" si="108"/>
        <v>0</v>
      </c>
      <c r="AE281" s="5">
        <f t="shared" si="108"/>
        <v>-20.102405630179419</v>
      </c>
      <c r="AF281" s="5">
        <f t="shared" si="96"/>
        <v>-19.43799285693111</v>
      </c>
      <c r="AG281">
        <f t="shared" si="107"/>
        <v>0</v>
      </c>
    </row>
    <row r="282" spans="1:33" x14ac:dyDescent="0.2">
      <c r="A282">
        <f t="shared" si="97"/>
        <v>2.4999999999999907</v>
      </c>
      <c r="B282" s="5">
        <f t="shared" si="98"/>
        <v>0</v>
      </c>
      <c r="C282" s="5">
        <f t="shared" si="99"/>
        <v>456.99741286968197</v>
      </c>
      <c r="D282" s="5">
        <f t="shared" si="100"/>
        <v>59.151818781951768</v>
      </c>
      <c r="E282" s="2">
        <f t="shared" si="82"/>
        <v>152.33247095656066</v>
      </c>
      <c r="F282" s="2">
        <f t="shared" si="101"/>
        <v>0</v>
      </c>
      <c r="G282" s="3">
        <f t="shared" si="102"/>
        <v>0</v>
      </c>
      <c r="H282" s="3">
        <f t="shared" si="103"/>
        <v>148.15598631785437</v>
      </c>
      <c r="I282" s="3">
        <f t="shared" si="104"/>
        <v>0.40292988989148359</v>
      </c>
      <c r="J282" s="2">
        <f t="shared" si="83"/>
        <v>148.15653422752715</v>
      </c>
      <c r="K282" s="2">
        <f t="shared" si="105"/>
        <v>100.992865867435</v>
      </c>
      <c r="L282" s="5">
        <f t="shared" si="84"/>
        <v>23.619743330786317</v>
      </c>
      <c r="M282" s="3">
        <f t="shared" si="85"/>
        <v>19.779191555649874</v>
      </c>
      <c r="N282" s="2">
        <v>0</v>
      </c>
      <c r="O282" s="2">
        <f t="shared" si="86"/>
        <v>148.15653422752715</v>
      </c>
      <c r="P282" s="2">
        <f t="shared" si="87"/>
        <v>100.992865867435</v>
      </c>
      <c r="Q282" s="5">
        <f t="shared" si="88"/>
        <v>1.2486590727351077</v>
      </c>
      <c r="R282" s="5">
        <f t="shared" si="89"/>
        <v>0.16034476321582586</v>
      </c>
      <c r="S282" s="4">
        <f t="shared" si="106"/>
        <v>0.13350198598243765</v>
      </c>
      <c r="T282" s="5">
        <f t="shared" si="90"/>
        <v>0.10251952719816773</v>
      </c>
      <c r="U282" s="4">
        <f t="shared" si="91"/>
        <v>0</v>
      </c>
      <c r="V282" s="4">
        <f t="shared" si="92"/>
        <v>0</v>
      </c>
      <c r="W282" s="5">
        <f t="shared" si="93"/>
        <v>0</v>
      </c>
      <c r="X282" s="5">
        <f t="shared" si="94"/>
        <v>-20.000167519575793</v>
      </c>
      <c r="Y282" s="5">
        <f t="shared" si="95"/>
        <v>-5.439311293966085E-2</v>
      </c>
      <c r="Z282" s="5">
        <f>1</f>
        <v>1</v>
      </c>
      <c r="AA282" s="5">
        <f>IF(M282=0,0,const*($T282/omega)*O282*(wy*I282-wz*(H282-V282))/Z282)</f>
        <v>0</v>
      </c>
      <c r="AB282" s="5">
        <f>IF(M282=0,0,const*($T282/omega)*O282*(wz*(G282-U282)-wx*I282)/Z282)</f>
        <v>-3.4777289320666684E-2</v>
      </c>
      <c r="AC282" s="5">
        <f>IF(M282=0,0,const*($T282/omega)*O282*(wx*(H282-V282)-wy*(G282-U282))/Z282)</f>
        <v>12.787494127458276</v>
      </c>
      <c r="AD282" s="5">
        <f t="shared" si="108"/>
        <v>0</v>
      </c>
      <c r="AE282" s="5">
        <f t="shared" si="108"/>
        <v>-20.034944808896459</v>
      </c>
      <c r="AF282" s="5">
        <f t="shared" si="96"/>
        <v>-19.440898985481383</v>
      </c>
      <c r="AG282">
        <f t="shared" si="107"/>
        <v>0</v>
      </c>
    </row>
    <row r="283" spans="1:33" x14ac:dyDescent="0.2">
      <c r="A283">
        <f t="shared" si="97"/>
        <v>2.5099999999999905</v>
      </c>
      <c r="B283" s="5">
        <f t="shared" si="98"/>
        <v>0</v>
      </c>
      <c r="C283" s="5">
        <f t="shared" si="99"/>
        <v>458.47797098562006</v>
      </c>
      <c r="D283" s="5">
        <f t="shared" si="100"/>
        <v>59.15487603590141</v>
      </c>
      <c r="E283" s="2">
        <f t="shared" si="82"/>
        <v>152.82599032854003</v>
      </c>
      <c r="F283" s="2">
        <f t="shared" si="101"/>
        <v>0</v>
      </c>
      <c r="G283" s="3">
        <f t="shared" si="102"/>
        <v>0</v>
      </c>
      <c r="H283" s="3">
        <f t="shared" si="103"/>
        <v>147.95563686976541</v>
      </c>
      <c r="I283" s="3">
        <f t="shared" si="104"/>
        <v>0.20852090003666976</v>
      </c>
      <c r="J283" s="2">
        <f t="shared" si="83"/>
        <v>147.95578380889216</v>
      </c>
      <c r="K283" s="2">
        <f t="shared" si="105"/>
        <v>100.85602168295307</v>
      </c>
      <c r="L283" s="5">
        <f t="shared" si="84"/>
        <v>23.651791238881824</v>
      </c>
      <c r="M283" s="3">
        <f t="shared" si="85"/>
        <v>19.773666337710356</v>
      </c>
      <c r="N283" s="2">
        <v>0</v>
      </c>
      <c r="O283" s="2">
        <f t="shared" si="86"/>
        <v>147.95578380889216</v>
      </c>
      <c r="P283" s="2">
        <f t="shared" si="87"/>
        <v>100.85602168295307</v>
      </c>
      <c r="Q283" s="5">
        <f t="shared" si="88"/>
        <v>1.2469671538947342</v>
      </c>
      <c r="R283" s="5">
        <f t="shared" si="89"/>
        <v>0.16037477644229073</v>
      </c>
      <c r="S283" s="4">
        <f t="shared" si="106"/>
        <v>0.13364578138595185</v>
      </c>
      <c r="T283" s="5">
        <f t="shared" si="90"/>
        <v>0.10256368257417708</v>
      </c>
      <c r="U283" s="4">
        <f t="shared" si="91"/>
        <v>0</v>
      </c>
      <c r="V283" s="4">
        <f t="shared" si="92"/>
        <v>0</v>
      </c>
      <c r="W283" s="5">
        <f t="shared" si="93"/>
        <v>0</v>
      </c>
      <c r="X283" s="5">
        <f t="shared" si="94"/>
        <v>-19.949791685915141</v>
      </c>
      <c r="Y283" s="5">
        <f t="shared" si="95"/>
        <v>-2.8116188108147561E-2</v>
      </c>
      <c r="Z283" s="5">
        <f>1</f>
        <v>1</v>
      </c>
      <c r="AA283" s="5">
        <f>IF(M283=0,0,const*($T283/omega)*O283*(wy*I283-wz*(H283-V283))/Z283)</f>
        <v>0</v>
      </c>
      <c r="AB283" s="5">
        <f>IF(M283=0,0,const*($T283/omega)*O283*(wz*(G283-U283)-wx*I283)/Z283)</f>
        <v>-1.7981005843257215E-2</v>
      </c>
      <c r="AC283" s="5">
        <f>IF(M283=0,0,const*($T283/omega)*O283*(wx*(H283-V283)-wy*(G283-U283))/Z283)</f>
        <v>12.758390984454063</v>
      </c>
      <c r="AD283" s="5">
        <f t="shared" si="108"/>
        <v>0</v>
      </c>
      <c r="AE283" s="5">
        <f t="shared" si="108"/>
        <v>-19.967772691758398</v>
      </c>
      <c r="AF283" s="5">
        <f t="shared" si="96"/>
        <v>-19.443725203654083</v>
      </c>
      <c r="AG283">
        <f t="shared" si="107"/>
        <v>0</v>
      </c>
    </row>
    <row r="284" spans="1:33" x14ac:dyDescent="0.2">
      <c r="A284">
        <f t="shared" si="97"/>
        <v>2.5199999999999902</v>
      </c>
      <c r="B284" s="5">
        <f t="shared" si="98"/>
        <v>0</v>
      </c>
      <c r="C284" s="5">
        <f t="shared" si="99"/>
        <v>459.95652896568316</v>
      </c>
      <c r="D284" s="5">
        <f t="shared" si="100"/>
        <v>59.155989058641595</v>
      </c>
      <c r="E284" s="2">
        <f t="shared" si="82"/>
        <v>153.31884298856104</v>
      </c>
      <c r="F284" s="2">
        <f t="shared" si="101"/>
        <v>0</v>
      </c>
      <c r="G284" s="3">
        <f t="shared" si="102"/>
        <v>0</v>
      </c>
      <c r="H284" s="3">
        <f t="shared" si="103"/>
        <v>147.75595914284784</v>
      </c>
      <c r="I284" s="3">
        <f t="shared" si="104"/>
        <v>1.4083648000128929E-2</v>
      </c>
      <c r="J284" s="2">
        <f t="shared" si="83"/>
        <v>147.75595981405306</v>
      </c>
      <c r="K284" s="2">
        <f t="shared" si="105"/>
        <v>100.71980900753445</v>
      </c>
      <c r="L284" s="5">
        <f t="shared" si="84"/>
        <v>23.683777734833676</v>
      </c>
      <c r="M284" s="3">
        <f t="shared" si="85"/>
        <v>19.768152155872926</v>
      </c>
      <c r="N284" s="2">
        <v>0</v>
      </c>
      <c r="O284" s="2">
        <f t="shared" si="86"/>
        <v>147.75595981405306</v>
      </c>
      <c r="P284" s="2">
        <f t="shared" si="87"/>
        <v>100.71980900753445</v>
      </c>
      <c r="Q284" s="5">
        <f t="shared" si="88"/>
        <v>1.2452830429278643</v>
      </c>
      <c r="R284" s="5">
        <f t="shared" si="89"/>
        <v>0.16040471172683896</v>
      </c>
      <c r="S284" s="4">
        <f t="shared" si="106"/>
        <v>0.13378920336445729</v>
      </c>
      <c r="T284" s="5">
        <f t="shared" si="90"/>
        <v>0.10260769489707752</v>
      </c>
      <c r="U284" s="4">
        <f t="shared" si="91"/>
        <v>0</v>
      </c>
      <c r="V284" s="4">
        <f t="shared" si="92"/>
        <v>0</v>
      </c>
      <c r="W284" s="5">
        <f t="shared" si="93"/>
        <v>0</v>
      </c>
      <c r="X284" s="5">
        <f t="shared" si="94"/>
        <v>-19.899674484595451</v>
      </c>
      <c r="Y284" s="5">
        <f t="shared" si="95"/>
        <v>-1.8967763627539313E-3</v>
      </c>
      <c r="Z284" s="5">
        <f>1</f>
        <v>1</v>
      </c>
      <c r="AA284" s="5">
        <f>IF(M284=0,0,const*($T284/omega)*O284*(wy*I284-wz*(H284-V284))/Z284)</f>
        <v>0</v>
      </c>
      <c r="AB284" s="5">
        <f>IF(M284=0,0,const*($T284/omega)*O284*(wz*(G284-U284)-wx*I284)/Z284)</f>
        <v>-1.2133300089643146E-3</v>
      </c>
      <c r="AC284" s="5">
        <f>IF(M284=0,0,const*($T284/omega)*O284*(wx*(H284-V284)-wy*(G284-U284))/Z284)</f>
        <v>12.729424878389553</v>
      </c>
      <c r="AD284" s="5">
        <f t="shared" si="108"/>
        <v>0</v>
      </c>
      <c r="AE284" s="5">
        <f t="shared" si="108"/>
        <v>-19.900887814604417</v>
      </c>
      <c r="AF284" s="5">
        <f t="shared" si="96"/>
        <v>-19.446471897973201</v>
      </c>
      <c r="AG284">
        <f t="shared" si="107"/>
        <v>0</v>
      </c>
    </row>
    <row r="285" spans="1:33" x14ac:dyDescent="0.2">
      <c r="A285">
        <f t="shared" si="97"/>
        <v>2.52999999999999</v>
      </c>
      <c r="B285" s="5">
        <f t="shared" si="98"/>
        <v>0</v>
      </c>
      <c r="C285" s="5">
        <f t="shared" si="99"/>
        <v>461.43309351272092</v>
      </c>
      <c r="D285" s="5">
        <f t="shared" si="100"/>
        <v>59.155157571526694</v>
      </c>
      <c r="E285" s="2">
        <f t="shared" si="82"/>
        <v>153.81103117090697</v>
      </c>
      <c r="F285" s="2">
        <f t="shared" si="101"/>
        <v>0</v>
      </c>
      <c r="G285" s="3">
        <f t="shared" si="102"/>
        <v>0</v>
      </c>
      <c r="H285" s="3">
        <f t="shared" si="103"/>
        <v>147.55695026470181</v>
      </c>
      <c r="I285" s="3">
        <f t="shared" si="104"/>
        <v>-0.18038107097960307</v>
      </c>
      <c r="J285" s="2">
        <f t="shared" si="83"/>
        <v>147.55706051812788</v>
      </c>
      <c r="K285" s="2">
        <f t="shared" si="105"/>
        <v>100.5842266653905</v>
      </c>
      <c r="L285" s="5">
        <f t="shared" si="84"/>
        <v>23.715702243899965</v>
      </c>
      <c r="M285" s="3">
        <f t="shared" si="85"/>
        <v>19.76264886945313</v>
      </c>
      <c r="N285" s="2">
        <v>0</v>
      </c>
      <c r="O285" s="2">
        <f t="shared" si="86"/>
        <v>147.55706051812788</v>
      </c>
      <c r="P285" s="2">
        <f t="shared" si="87"/>
        <v>100.5842266653905</v>
      </c>
      <c r="Q285" s="5">
        <f t="shared" si="88"/>
        <v>1.2436067252972414</v>
      </c>
      <c r="R285" s="5">
        <f t="shared" si="89"/>
        <v>0.16043456831675942</v>
      </c>
      <c r="S285" s="4">
        <f t="shared" si="106"/>
        <v>0.13393224831166398</v>
      </c>
      <c r="T285" s="5">
        <f t="shared" si="90"/>
        <v>0.10265156333110864</v>
      </c>
      <c r="U285" s="4">
        <f t="shared" si="91"/>
        <v>0</v>
      </c>
      <c r="V285" s="4">
        <f t="shared" si="92"/>
        <v>0</v>
      </c>
      <c r="W285" s="5">
        <f t="shared" si="93"/>
        <v>0</v>
      </c>
      <c r="X285" s="5">
        <f t="shared" si="94"/>
        <v>-19.849814571040511</v>
      </c>
      <c r="Y285" s="5">
        <f t="shared" si="95"/>
        <v>2.4265416197933869E-2</v>
      </c>
      <c r="Z285" s="5">
        <f>1</f>
        <v>1</v>
      </c>
      <c r="AA285" s="5">
        <f>IF(M285=0,0,const*($T285/omega)*O285*(wy*I285-wz*(H285-V285))/Z285)</f>
        <v>0</v>
      </c>
      <c r="AB285" s="5">
        <f>IF(M285=0,0,const*($T285/omega)*O285*(wz*(G285-U285)-wx*I285)/Z285)</f>
        <v>1.5525849159141056E-2</v>
      </c>
      <c r="AC285" s="5">
        <f>IF(M285=0,0,const*($T285/omega)*O285*(wx*(H285-V285)-wy*(G285-U285))/Z285)</f>
        <v>12.700595133131749</v>
      </c>
      <c r="AD285" s="5">
        <f t="shared" si="108"/>
        <v>0</v>
      </c>
      <c r="AE285" s="5">
        <f t="shared" si="108"/>
        <v>-19.834288721881371</v>
      </c>
      <c r="AF285" s="5">
        <f t="shared" si="96"/>
        <v>-19.449139450670316</v>
      </c>
      <c r="AG285">
        <f t="shared" si="107"/>
        <v>0</v>
      </c>
    </row>
    <row r="286" spans="1:33" x14ac:dyDescent="0.2">
      <c r="A286">
        <f t="shared" si="97"/>
        <v>2.5399999999999898</v>
      </c>
      <c r="B286" s="5">
        <f t="shared" si="98"/>
        <v>0</v>
      </c>
      <c r="C286" s="5">
        <f t="shared" si="99"/>
        <v>462.90767130093184</v>
      </c>
      <c r="D286" s="5">
        <f t="shared" si="100"/>
        <v>59.152381303844365</v>
      </c>
      <c r="E286" s="2">
        <f t="shared" si="82"/>
        <v>154.30255710031062</v>
      </c>
      <c r="F286" s="2">
        <f t="shared" si="101"/>
        <v>0</v>
      </c>
      <c r="G286" s="3">
        <f t="shared" si="102"/>
        <v>0</v>
      </c>
      <c r="H286" s="3">
        <f t="shared" si="103"/>
        <v>147.358607377483</v>
      </c>
      <c r="I286" s="3">
        <f t="shared" si="104"/>
        <v>-0.37487246548630626</v>
      </c>
      <c r="J286" s="2">
        <f t="shared" si="83"/>
        <v>147.35908420452594</v>
      </c>
      <c r="K286" s="2">
        <f t="shared" si="105"/>
        <v>100.44927348638441</v>
      </c>
      <c r="L286" s="5">
        <f t="shared" si="84"/>
        <v>23.747564190722411</v>
      </c>
      <c r="M286" s="3">
        <f t="shared" si="85"/>
        <v>19.757156338202467</v>
      </c>
      <c r="N286" s="2">
        <v>0</v>
      </c>
      <c r="O286" s="2">
        <f t="shared" si="86"/>
        <v>147.35908420452594</v>
      </c>
      <c r="P286" s="2">
        <f t="shared" si="87"/>
        <v>100.44927348638441</v>
      </c>
      <c r="Q286" s="5">
        <f t="shared" si="88"/>
        <v>1.2419381865354877</v>
      </c>
      <c r="R286" s="5">
        <f t="shared" si="89"/>
        <v>0.16046434545867322</v>
      </c>
      <c r="S286" s="4">
        <f t="shared" si="106"/>
        <v>0.13407491261808244</v>
      </c>
      <c r="T286" s="5">
        <f t="shared" si="90"/>
        <v>0.1026952870408875</v>
      </c>
      <c r="U286" s="4">
        <f t="shared" si="91"/>
        <v>0</v>
      </c>
      <c r="V286" s="4">
        <f t="shared" si="92"/>
        <v>0</v>
      </c>
      <c r="W286" s="5">
        <f t="shared" si="93"/>
        <v>0</v>
      </c>
      <c r="X286" s="5">
        <f t="shared" si="94"/>
        <v>-19.800210609439283</v>
      </c>
      <c r="Y286" s="5">
        <f t="shared" si="95"/>
        <v>5.037068346672513E-2</v>
      </c>
      <c r="Z286" s="5">
        <f>1</f>
        <v>1</v>
      </c>
      <c r="AA286" s="5">
        <f>IF(M286=0,0,const*($T286/omega)*O286*(wy*I286-wz*(H286-V286))/Z286)</f>
        <v>0</v>
      </c>
      <c r="AB286" s="5">
        <f>IF(M286=0,0,const*($T286/omega)*O286*(wz*(G286-U286)-wx*I286)/Z286)</f>
        <v>3.2236642864649709E-2</v>
      </c>
      <c r="AC286" s="5">
        <f>IF(M286=0,0,const*($T286/omega)*O286*(wx*(H286-V286)-wy*(G286-U286))/Z286)</f>
        <v>12.671901076803895</v>
      </c>
      <c r="AD286" s="5">
        <f t="shared" si="108"/>
        <v>0</v>
      </c>
      <c r="AE286" s="5">
        <f t="shared" si="108"/>
        <v>-19.767973966574633</v>
      </c>
      <c r="AF286" s="5">
        <f t="shared" si="96"/>
        <v>-19.451728239729377</v>
      </c>
      <c r="AG286">
        <f t="shared" si="107"/>
        <v>0</v>
      </c>
    </row>
    <row r="287" spans="1:33" x14ac:dyDescent="0.2">
      <c r="A287">
        <f t="shared" si="97"/>
        <v>2.5499999999999896</v>
      </c>
      <c r="B287" s="5">
        <f t="shared" si="98"/>
        <v>0</v>
      </c>
      <c r="C287" s="5">
        <f t="shared" si="99"/>
        <v>464.38026897600832</v>
      </c>
      <c r="D287" s="5">
        <f t="shared" si="100"/>
        <v>59.14765999277752</v>
      </c>
      <c r="E287" s="2">
        <f t="shared" si="82"/>
        <v>154.79342299200277</v>
      </c>
      <c r="F287" s="2">
        <f t="shared" si="101"/>
        <v>0</v>
      </c>
      <c r="G287" s="3">
        <f t="shared" si="102"/>
        <v>0</v>
      </c>
      <c r="H287" s="3">
        <f t="shared" si="103"/>
        <v>147.16092763781725</v>
      </c>
      <c r="I287" s="3">
        <f t="shared" si="104"/>
        <v>-0.56938974788360008</v>
      </c>
      <c r="J287" s="2">
        <f t="shared" si="83"/>
        <v>147.16202916482186</v>
      </c>
      <c r="K287" s="2">
        <f t="shared" si="105"/>
        <v>100.31494830594536</v>
      </c>
      <c r="L287" s="5">
        <f t="shared" si="84"/>
        <v>23.779362999362359</v>
      </c>
      <c r="M287" s="3">
        <f t="shared" si="85"/>
        <v>19.751674422306724</v>
      </c>
      <c r="N287" s="2">
        <v>0</v>
      </c>
      <c r="O287" s="2">
        <f t="shared" si="86"/>
        <v>147.16202916482186</v>
      </c>
      <c r="P287" s="2">
        <f t="shared" si="87"/>
        <v>100.31494830594536</v>
      </c>
      <c r="Q287" s="5">
        <f t="shared" si="88"/>
        <v>1.2402774122440425</v>
      </c>
      <c r="R287" s="5">
        <f t="shared" si="89"/>
        <v>0.16049404239858042</v>
      </c>
      <c r="S287" s="4">
        <f t="shared" si="106"/>
        <v>0.13421719267124807</v>
      </c>
      <c r="T287" s="5">
        <f t="shared" si="90"/>
        <v>0.10273886519145861</v>
      </c>
      <c r="U287" s="4">
        <f t="shared" si="91"/>
        <v>0</v>
      </c>
      <c r="V287" s="4">
        <f t="shared" si="92"/>
        <v>0</v>
      </c>
      <c r="W287" s="5">
        <f t="shared" si="93"/>
        <v>0</v>
      </c>
      <c r="X287" s="5">
        <f t="shared" si="94"/>
        <v>-19.75086127267214</v>
      </c>
      <c r="Y287" s="5">
        <f t="shared" si="95"/>
        <v>7.6419319319653317E-2</v>
      </c>
      <c r="Z287" s="5">
        <f>1</f>
        <v>1</v>
      </c>
      <c r="AA287" s="5">
        <f>IF(M287=0,0,const*($T287/omega)*O287*(wy*I287-wz*(H287-V287))/Z287)</f>
        <v>0</v>
      </c>
      <c r="AB287" s="5">
        <f>IF(M287=0,0,const*($T287/omega)*O287*(wz*(G287-U287)-wx*I287)/Z287)</f>
        <v>4.8919162532567236E-2</v>
      </c>
      <c r="AC287" s="5">
        <f>IF(M287=0,0,const*($T287/omega)*O287*(wx*(H287-V287)-wy*(G287-U287))/Z287)</f>
        <v>12.643342041749285</v>
      </c>
      <c r="AD287" s="5">
        <f t="shared" si="108"/>
        <v>0</v>
      </c>
      <c r="AE287" s="5">
        <f t="shared" si="108"/>
        <v>-19.701942110139573</v>
      </c>
      <c r="AF287" s="5">
        <f t="shared" si="96"/>
        <v>-19.454238638931059</v>
      </c>
      <c r="AG287">
        <f t="shared" si="107"/>
        <v>0</v>
      </c>
    </row>
    <row r="288" spans="1:33" x14ac:dyDescent="0.2">
      <c r="A288">
        <f t="shared" si="97"/>
        <v>2.5599999999999894</v>
      </c>
      <c r="B288" s="5">
        <f t="shared" si="98"/>
        <v>0</v>
      </c>
      <c r="C288" s="5">
        <f t="shared" si="99"/>
        <v>465.85089315528097</v>
      </c>
      <c r="D288" s="5">
        <f t="shared" si="100"/>
        <v>59.140993383366741</v>
      </c>
      <c r="E288" s="2">
        <f t="shared" ref="E288:E351" si="109">SQRT(B288^2+C288^2)/3</f>
        <v>155.28363105176032</v>
      </c>
      <c r="F288" s="2">
        <f t="shared" si="101"/>
        <v>0</v>
      </c>
      <c r="G288" s="3">
        <f t="shared" si="102"/>
        <v>0</v>
      </c>
      <c r="H288" s="3">
        <f t="shared" si="103"/>
        <v>146.96390821671585</v>
      </c>
      <c r="I288" s="3">
        <f t="shared" si="104"/>
        <v>-0.76393213427291062</v>
      </c>
      <c r="J288" s="2">
        <f t="shared" ref="J288:J351" si="110">SQRT(G288^2+H288^2+I288^2)</f>
        <v>146.96589369863014</v>
      </c>
      <c r="K288" s="2">
        <f t="shared" si="105"/>
        <v>100.18124996498305</v>
      </c>
      <c r="L288" s="5">
        <f t="shared" ref="L288:L351" si="111">1/(0.00002*J288/(circ/(2*PI()*12)))</f>
        <v>23.811098093337197</v>
      </c>
      <c r="M288" s="3">
        <f t="shared" ref="M288:M351" si="112">romega*EXP(-A288/L288)</f>
        <v>19.746202982384375</v>
      </c>
      <c r="N288" s="2">
        <v>0</v>
      </c>
      <c r="O288" s="2">
        <f t="shared" ref="O288:O351" si="113">IF(D288&gt;=hwind,SQRT((G288-vxw)^2+(H288-vyw)^2+I288^2),J288)</f>
        <v>146.96589369863014</v>
      </c>
      <c r="P288" s="2">
        <f t="shared" ref="P288:P351" si="114">J288/1.467</f>
        <v>100.18124996498305</v>
      </c>
      <c r="Q288" s="5">
        <f t="shared" ref="Q288:Q351" si="115">(P288/100)*Re_100*0.00001</f>
        <v>1.2386243880921055</v>
      </c>
      <c r="R288" s="5">
        <f t="shared" ref="R288:R351" si="116">IF(Q288&lt;=ReLow,CdL,IF(Q288&lt;ReHigh,CdL+(CdH-CdL)*(Q288-ReLow)/(ReHigh-ReLow),CdH))+CdS*S288</f>
        <v>0.16052365838190741</v>
      </c>
      <c r="S288" s="4">
        <f t="shared" si="106"/>
        <v>0.13435908485594728</v>
      </c>
      <c r="T288" s="5">
        <f t="shared" ref="T288:T351" si="117">ClAmp*S288^0.4</f>
        <v>0.1027822969483442</v>
      </c>
      <c r="U288" s="4">
        <f t="shared" ref="U288:U351" si="118">IF(D288&gt;=hwind,vxw,0)</f>
        <v>0</v>
      </c>
      <c r="V288" s="4">
        <f t="shared" ref="V288:V351" si="119">IF(D288&gt;=hwind,vyw,0)</f>
        <v>0</v>
      </c>
      <c r="W288" s="5">
        <f t="shared" ref="W288:W351" si="120">-const*$R288*$O288*(G288-U288)</f>
        <v>0</v>
      </c>
      <c r="X288" s="5">
        <f t="shared" ref="X288:X351" si="121">-const*$R288*$O288*(H288-V288)</f>
        <v>-19.701765242237737</v>
      </c>
      <c r="Y288" s="5">
        <f t="shared" ref="Y288:Y351" si="122">-const*$R288*$O288*I288</f>
        <v>0.10241161760785716</v>
      </c>
      <c r="Z288" s="5">
        <f>1</f>
        <v>1</v>
      </c>
      <c r="AA288" s="5">
        <f>IF(M288=0,0,const*($T288/omega)*O288*(wy*I288-wz*(H288-V288))/Z288)</f>
        <v>0</v>
      </c>
      <c r="AB288" s="5">
        <f>IF(M288=0,0,const*($T288/omega)*O288*(wz*(G288-U288)-wx*I288)/Z288)</f>
        <v>6.557351980409043E-2</v>
      </c>
      <c r="AC288" s="5">
        <f>IF(M288=0,0,const*($T288/omega)*O288*(wx*(H288-V288)-wy*(G288-U288))/Z288)</f>
        <v>12.614917364495364</v>
      </c>
      <c r="AD288" s="5">
        <f t="shared" si="108"/>
        <v>0</v>
      </c>
      <c r="AE288" s="5">
        <f t="shared" si="108"/>
        <v>-19.636191722433647</v>
      </c>
      <c r="AF288" s="5">
        <f t="shared" ref="AF288:AF351" si="123">Y288+AC288-32.174</f>
        <v>-19.456671017896781</v>
      </c>
      <c r="AG288">
        <f t="shared" si="107"/>
        <v>0</v>
      </c>
    </row>
    <row r="289" spans="1:33" x14ac:dyDescent="0.2">
      <c r="A289">
        <f t="shared" ref="A289:A352" si="124">A288+dt</f>
        <v>2.5699999999999892</v>
      </c>
      <c r="B289" s="5">
        <f t="shared" ref="B289:B352" si="125">B288+G288*dt+0.5*AD288*dt*dt</f>
        <v>0</v>
      </c>
      <c r="C289" s="5">
        <f t="shared" ref="C289:C352" si="126">C288+H288*dt+0.5*AE288*dt*dt</f>
        <v>467.319550427862</v>
      </c>
      <c r="D289" s="5">
        <f t="shared" ref="D289:D352" si="127">D288+I288*dt+0.5*AF288*dt*dt</f>
        <v>59.132381228473115</v>
      </c>
      <c r="E289" s="2">
        <f t="shared" si="109"/>
        <v>155.773183475954</v>
      </c>
      <c r="F289" s="2">
        <f t="shared" ref="F289:F352" si="128">ATAN2(C289,B289)*180/PI()</f>
        <v>0</v>
      </c>
      <c r="G289" s="3">
        <f t="shared" ref="G289:G352" si="129">G288+AD288*dt</f>
        <v>0</v>
      </c>
      <c r="H289" s="3">
        <f t="shared" ref="H289:H352" si="130">H288+AE288*dt</f>
        <v>146.76754629949153</v>
      </c>
      <c r="I289" s="3">
        <f t="shared" ref="I289:I352" si="131">I288+AF288*dt</f>
        <v>-0.9584988444518785</v>
      </c>
      <c r="J289" s="2">
        <f t="shared" si="110"/>
        <v>146.77067611348053</v>
      </c>
      <c r="K289" s="2">
        <f t="shared" ref="K289:K352" si="132">J289/1.467</f>
        <v>100.04817730980268</v>
      </c>
      <c r="L289" s="5">
        <f t="shared" si="111"/>
        <v>23.842768895657048</v>
      </c>
      <c r="M289" s="3">
        <f t="shared" si="112"/>
        <v>19.740741879485025</v>
      </c>
      <c r="N289" s="2">
        <v>0</v>
      </c>
      <c r="O289" s="2">
        <f t="shared" si="113"/>
        <v>146.77067611348053</v>
      </c>
      <c r="P289" s="2">
        <f t="shared" si="114"/>
        <v>100.04817730980268</v>
      </c>
      <c r="Q289" s="5">
        <f t="shared" si="115"/>
        <v>1.2369790998155847</v>
      </c>
      <c r="R289" s="5">
        <f t="shared" si="116"/>
        <v>0.16055319265355436</v>
      </c>
      <c r="S289" s="4">
        <f t="shared" ref="S289:S352" si="133">(M289/O289)</f>
        <v>0.13450058555444569</v>
      </c>
      <c r="T289" s="5">
        <f t="shared" si="117"/>
        <v>0.10282558147759481</v>
      </c>
      <c r="U289" s="4">
        <f t="shared" si="118"/>
        <v>0</v>
      </c>
      <c r="V289" s="4">
        <f t="shared" si="119"/>
        <v>0</v>
      </c>
      <c r="W289" s="5">
        <f t="shared" si="120"/>
        <v>0</v>
      </c>
      <c r="X289" s="5">
        <f t="shared" si="121"/>
        <v>-19.652921208180555</v>
      </c>
      <c r="Y289" s="5">
        <f t="shared" si="122"/>
        <v>0.12834787214951307</v>
      </c>
      <c r="Z289" s="5">
        <f>1</f>
        <v>1</v>
      </c>
      <c r="AA289" s="5">
        <f>IF(M289=0,0,const*($T289/omega)*O289*(wy*I289-wz*(H289-V289))/Z289)</f>
        <v>0</v>
      </c>
      <c r="AB289" s="5">
        <f>IF(M289=0,0,const*($T289/omega)*O289*(wz*(G289-U289)-wx*I289)/Z289)</f>
        <v>8.2199826531406631E-2</v>
      </c>
      <c r="AC289" s="5">
        <f>IF(M289=0,0,const*($T289/omega)*O289*(wx*(H289-V289)-wy*(G289-U289))/Z289)</f>
        <v>12.586626385718175</v>
      </c>
      <c r="AD289" s="5">
        <f t="shared" si="108"/>
        <v>0</v>
      </c>
      <c r="AE289" s="5">
        <f t="shared" si="108"/>
        <v>-19.570721381649147</v>
      </c>
      <c r="AF289" s="5">
        <f t="shared" si="123"/>
        <v>-19.459025742132312</v>
      </c>
      <c r="AG289">
        <f t="shared" si="107"/>
        <v>0</v>
      </c>
    </row>
    <row r="290" spans="1:33" x14ac:dyDescent="0.2">
      <c r="A290">
        <f t="shared" si="124"/>
        <v>2.579999999999989</v>
      </c>
      <c r="B290" s="5">
        <f t="shared" si="125"/>
        <v>0</v>
      </c>
      <c r="C290" s="5">
        <f t="shared" si="126"/>
        <v>468.78624735478786</v>
      </c>
      <c r="D290" s="5">
        <f t="shared" si="127"/>
        <v>59.121823288741496</v>
      </c>
      <c r="E290" s="2">
        <f t="shared" si="109"/>
        <v>156.26208245159594</v>
      </c>
      <c r="F290" s="2">
        <f t="shared" si="128"/>
        <v>0</v>
      </c>
      <c r="G290" s="3">
        <f t="shared" si="129"/>
        <v>0</v>
      </c>
      <c r="H290" s="3">
        <f t="shared" si="130"/>
        <v>146.57183908567504</v>
      </c>
      <c r="I290" s="3">
        <f t="shared" si="131"/>
        <v>-1.1530891018732017</v>
      </c>
      <c r="J290" s="2">
        <f t="shared" si="110"/>
        <v>146.57637472469386</v>
      </c>
      <c r="K290" s="2">
        <f t="shared" si="132"/>
        <v>99.915729192020351</v>
      </c>
      <c r="L290" s="5">
        <f t="shared" si="111"/>
        <v>23.874374828861821</v>
      </c>
      <c r="M290" s="3">
        <f t="shared" si="112"/>
        <v>19.735290975087924</v>
      </c>
      <c r="N290" s="2">
        <v>0</v>
      </c>
      <c r="O290" s="2">
        <f t="shared" si="113"/>
        <v>146.57637472469386</v>
      </c>
      <c r="P290" s="2">
        <f t="shared" si="114"/>
        <v>99.915729192020351</v>
      </c>
      <c r="Q290" s="5">
        <f t="shared" si="115"/>
        <v>1.235341533216052</v>
      </c>
      <c r="R290" s="5">
        <f t="shared" si="116"/>
        <v>0.16058264445794346</v>
      </c>
      <c r="S290" s="4">
        <f t="shared" si="133"/>
        <v>0.13464169114671862</v>
      </c>
      <c r="T290" s="5">
        <f t="shared" si="117"/>
        <v>0.10286871794584038</v>
      </c>
      <c r="U290" s="4">
        <f t="shared" si="118"/>
        <v>0</v>
      </c>
      <c r="V290" s="4">
        <f t="shared" si="119"/>
        <v>0</v>
      </c>
      <c r="W290" s="5">
        <f t="shared" si="120"/>
        <v>0</v>
      </c>
      <c r="X290" s="5">
        <f t="shared" si="121"/>
        <v>-19.604327869019119</v>
      </c>
      <c r="Y290" s="5">
        <f t="shared" si="122"/>
        <v>0.15422837672181702</v>
      </c>
      <c r="Z290" s="5">
        <f>1</f>
        <v>1</v>
      </c>
      <c r="AA290" s="5">
        <f>IF(M290=0,0,const*($T290/omega)*O290*(wy*I290-wz*(H290-V290))/Z290)</f>
        <v>0</v>
      </c>
      <c r="AB290" s="5">
        <f>IF(M290=0,0,const*($T290/omega)*O290*(wz*(G290-U290)-wx*I290)/Z290)</f>
        <v>9.8798194772514919E-2</v>
      </c>
      <c r="AC290" s="5">
        <f>IF(M290=0,0,const*($T290/omega)*O290*(wx*(H290-V290)-wy*(G290-U290))/Z290)</f>
        <v>12.558468450207092</v>
      </c>
      <c r="AD290" s="5">
        <f t="shared" si="108"/>
        <v>0</v>
      </c>
      <c r="AE290" s="5">
        <f t="shared" si="108"/>
        <v>-19.505529674246606</v>
      </c>
      <c r="AF290" s="5">
        <f t="shared" si="123"/>
        <v>-19.461303173071091</v>
      </c>
      <c r="AG290">
        <f t="shared" ref="AG290:AG353" si="134">IF($D290*$D291&lt;0,1,0)</f>
        <v>0</v>
      </c>
    </row>
    <row r="291" spans="1:33" x14ac:dyDescent="0.2">
      <c r="A291">
        <f t="shared" si="124"/>
        <v>2.5899999999999888</v>
      </c>
      <c r="B291" s="5">
        <f t="shared" si="125"/>
        <v>0</v>
      </c>
      <c r="C291" s="5">
        <f t="shared" si="126"/>
        <v>470.25099046916091</v>
      </c>
      <c r="D291" s="5">
        <f t="shared" si="127"/>
        <v>59.109319332564112</v>
      </c>
      <c r="E291" s="2">
        <f t="shared" si="109"/>
        <v>156.75033015638698</v>
      </c>
      <c r="F291" s="2">
        <f t="shared" si="128"/>
        <v>0</v>
      </c>
      <c r="G291" s="3">
        <f t="shared" si="129"/>
        <v>0</v>
      </c>
      <c r="H291" s="3">
        <f t="shared" si="130"/>
        <v>146.37678378893258</v>
      </c>
      <c r="I291" s="3">
        <f t="shared" si="131"/>
        <v>-1.3477021336039126</v>
      </c>
      <c r="J291" s="2">
        <f t="shared" si="110"/>
        <v>146.38298785525876</v>
      </c>
      <c r="K291" s="2">
        <f t="shared" si="132"/>
        <v>99.783904468479037</v>
      </c>
      <c r="L291" s="5">
        <f t="shared" si="111"/>
        <v>23.905915315058472</v>
      </c>
      <c r="M291" s="3">
        <f t="shared" si="112"/>
        <v>19.729850131100473</v>
      </c>
      <c r="N291" s="2">
        <v>0</v>
      </c>
      <c r="O291" s="2">
        <f t="shared" si="113"/>
        <v>146.38298785525876</v>
      </c>
      <c r="P291" s="2">
        <f t="shared" si="114"/>
        <v>99.783904468479037</v>
      </c>
      <c r="Q291" s="5">
        <f t="shared" si="115"/>
        <v>1.2337116741597032</v>
      </c>
      <c r="R291" s="5">
        <f t="shared" si="116"/>
        <v>0.16061201303906719</v>
      </c>
      <c r="S291" s="4">
        <f t="shared" si="133"/>
        <v>0.13478239801068306</v>
      </c>
      <c r="T291" s="5">
        <f t="shared" si="117"/>
        <v>0.10291170552034123</v>
      </c>
      <c r="U291" s="4">
        <f t="shared" si="118"/>
        <v>0</v>
      </c>
      <c r="V291" s="4">
        <f t="shared" si="119"/>
        <v>0</v>
      </c>
      <c r="W291" s="5">
        <f t="shared" si="120"/>
        <v>0</v>
      </c>
      <c r="X291" s="5">
        <f t="shared" si="121"/>
        <v>-19.555983931674852</v>
      </c>
      <c r="Y291" s="5">
        <f t="shared" si="122"/>
        <v>0.18005342505301553</v>
      </c>
      <c r="Z291" s="5">
        <f>1</f>
        <v>1</v>
      </c>
      <c r="AA291" s="5">
        <f>IF(M291=0,0,const*($T291/omega)*O291*(wy*I291-wz*(H291-V291))/Z291)</f>
        <v>0</v>
      </c>
      <c r="AB291" s="5">
        <f>IF(M291=0,0,const*($T291/omega)*O291*(wz*(G291-U291)-wx*I291)/Z291)</f>
        <v>0.11536873678606863</v>
      </c>
      <c r="AC291" s="5">
        <f>IF(M291=0,0,const*($T291/omega)*O291*(wx*(H291-V291)-wy*(G291-U291))/Z291)</f>
        <v>12.530442906829879</v>
      </c>
      <c r="AD291" s="5">
        <f t="shared" si="108"/>
        <v>0</v>
      </c>
      <c r="AE291" s="5">
        <f t="shared" si="108"/>
        <v>-19.440615194888785</v>
      </c>
      <c r="AF291" s="5">
        <f t="shared" si="123"/>
        <v>-19.463503668117106</v>
      </c>
      <c r="AG291">
        <f t="shared" si="134"/>
        <v>0</v>
      </c>
    </row>
    <row r="292" spans="1:33" x14ac:dyDescent="0.2">
      <c r="A292">
        <f t="shared" si="124"/>
        <v>2.5999999999999885</v>
      </c>
      <c r="B292" s="5">
        <f t="shared" si="125"/>
        <v>0</v>
      </c>
      <c r="C292" s="5">
        <f t="shared" si="126"/>
        <v>471.71378627629053</v>
      </c>
      <c r="D292" s="5">
        <f t="shared" si="127"/>
        <v>59.094869136044672</v>
      </c>
      <c r="E292" s="2">
        <f t="shared" si="109"/>
        <v>157.2379287587635</v>
      </c>
      <c r="F292" s="2">
        <f t="shared" si="128"/>
        <v>0</v>
      </c>
      <c r="G292" s="3">
        <f t="shared" si="129"/>
        <v>0</v>
      </c>
      <c r="H292" s="3">
        <f t="shared" si="130"/>
        <v>146.18237763698369</v>
      </c>
      <c r="I292" s="3">
        <f t="shared" si="131"/>
        <v>-1.5423371702850837</v>
      </c>
      <c r="J292" s="2">
        <f t="shared" si="110"/>
        <v>146.19051383570874</v>
      </c>
      <c r="K292" s="2">
        <f t="shared" si="132"/>
        <v>99.652702001164783</v>
      </c>
      <c r="L292" s="5">
        <f t="shared" si="111"/>
        <v>23.937389775958735</v>
      </c>
      <c r="M292" s="3">
        <f t="shared" si="112"/>
        <v>19.724419209856816</v>
      </c>
      <c r="N292" s="2">
        <v>0</v>
      </c>
      <c r="O292" s="2">
        <f t="shared" si="113"/>
        <v>146.19051383570874</v>
      </c>
      <c r="P292" s="2">
        <f t="shared" si="114"/>
        <v>99.652702001164783</v>
      </c>
      <c r="Q292" s="5">
        <f t="shared" si="115"/>
        <v>1.2320895085763222</v>
      </c>
      <c r="R292" s="5">
        <f t="shared" si="116"/>
        <v>0.16064129764053742</v>
      </c>
      <c r="S292" s="4">
        <f t="shared" si="133"/>
        <v>0.13492270252243205</v>
      </c>
      <c r="T292" s="5">
        <f t="shared" si="117"/>
        <v>0.10295454336903979</v>
      </c>
      <c r="U292" s="4">
        <f t="shared" si="118"/>
        <v>0</v>
      </c>
      <c r="V292" s="4">
        <f t="shared" si="119"/>
        <v>0</v>
      </c>
      <c r="W292" s="5">
        <f t="shared" si="120"/>
        <v>0</v>
      </c>
      <c r="X292" s="5">
        <f t="shared" si="121"/>
        <v>-19.507888111401588</v>
      </c>
      <c r="Y292" s="5">
        <f t="shared" si="122"/>
        <v>0.20582331081448388</v>
      </c>
      <c r="Z292" s="5">
        <f>1</f>
        <v>1</v>
      </c>
      <c r="AA292" s="5">
        <f>IF(M292=0,0,const*($T292/omega)*O292*(wy*I292-wz*(H292-V292))/Z292)</f>
        <v>0</v>
      </c>
      <c r="AB292" s="5">
        <f>IF(M292=0,0,const*($T292/omega)*O292*(wz*(G292-U292)-wx*I292)/Z292)</f>
        <v>0.1319115650262388</v>
      </c>
      <c r="AC292" s="5">
        <f>IF(M292=0,0,const*($T292/omega)*O292*(wx*(H292-V292)-wy*(G292-U292))/Z292)</f>
        <v>12.502549108498044</v>
      </c>
      <c r="AD292" s="5">
        <f t="shared" si="108"/>
        <v>0</v>
      </c>
      <c r="AE292" s="5">
        <f t="shared" si="108"/>
        <v>-19.375976546375348</v>
      </c>
      <c r="AF292" s="5">
        <f t="shared" si="123"/>
        <v>-19.465627580687471</v>
      </c>
      <c r="AG292">
        <f t="shared" si="134"/>
        <v>0</v>
      </c>
    </row>
    <row r="293" spans="1:33" x14ac:dyDescent="0.2">
      <c r="A293">
        <f t="shared" si="124"/>
        <v>2.6099999999999883</v>
      </c>
      <c r="B293" s="5">
        <f t="shared" si="125"/>
        <v>0</v>
      </c>
      <c r="C293" s="5">
        <f t="shared" si="126"/>
        <v>473.17464125383304</v>
      </c>
      <c r="D293" s="5">
        <f t="shared" si="127"/>
        <v>59.078472482962788</v>
      </c>
      <c r="E293" s="2">
        <f t="shared" si="109"/>
        <v>157.72488041794435</v>
      </c>
      <c r="F293" s="2">
        <f t="shared" si="128"/>
        <v>0</v>
      </c>
      <c r="G293" s="3">
        <f t="shared" si="129"/>
        <v>0</v>
      </c>
      <c r="H293" s="3">
        <f t="shared" si="130"/>
        <v>145.98861787151992</v>
      </c>
      <c r="I293" s="3">
        <f t="shared" si="131"/>
        <v>-1.7369934460919585</v>
      </c>
      <c r="J293" s="2">
        <f t="shared" si="110"/>
        <v>145.99895100400013</v>
      </c>
      <c r="K293" s="2">
        <f t="shared" si="132"/>
        <v>99.522120657123466</v>
      </c>
      <c r="L293" s="5">
        <f t="shared" si="111"/>
        <v>23.968797632917038</v>
      </c>
      <c r="M293" s="3">
        <f t="shared" si="112"/>
        <v>19.71899807411647</v>
      </c>
      <c r="N293" s="2">
        <v>0</v>
      </c>
      <c r="O293" s="2">
        <f t="shared" si="113"/>
        <v>145.99895100400013</v>
      </c>
      <c r="P293" s="2">
        <f t="shared" si="114"/>
        <v>99.522120657123466</v>
      </c>
      <c r="Q293" s="5">
        <f t="shared" si="115"/>
        <v>1.2304750224582517</v>
      </c>
      <c r="R293" s="5">
        <f t="shared" si="116"/>
        <v>0.16067049750563459</v>
      </c>
      <c r="S293" s="4">
        <f t="shared" si="133"/>
        <v>0.13506260105647061</v>
      </c>
      <c r="T293" s="5">
        <f t="shared" si="117"/>
        <v>0.10299723066061246</v>
      </c>
      <c r="U293" s="4">
        <f t="shared" si="118"/>
        <v>0</v>
      </c>
      <c r="V293" s="4">
        <f t="shared" si="119"/>
        <v>0</v>
      </c>
      <c r="W293" s="5">
        <f t="shared" si="120"/>
        <v>0</v>
      </c>
      <c r="X293" s="5">
        <f t="shared" si="121"/>
        <v>-19.460039131715703</v>
      </c>
      <c r="Y293" s="5">
        <f t="shared" si="122"/>
        <v>0.23153832761285054</v>
      </c>
      <c r="Z293" s="5">
        <f>1</f>
        <v>1</v>
      </c>
      <c r="AA293" s="5">
        <f>IF(M293=0,0,const*($T293/omega)*O293*(wy*I293-wz*(H293-V293))/Z293)</f>
        <v>0</v>
      </c>
      <c r="AB293" s="5">
        <f>IF(M293=0,0,const*($T293/omega)*O293*(wz*(G293-U293)-wx*I293)/Z293)</f>
        <v>0.14842679213759763</v>
      </c>
      <c r="AC293" s="5">
        <f>IF(M293=0,0,const*($T293/omega)*O293*(wx*(H293-V293)-wy*(G293-U293))/Z293)</f>
        <v>12.47478641213255</v>
      </c>
      <c r="AD293" s="5">
        <f t="shared" si="108"/>
        <v>0</v>
      </c>
      <c r="AE293" s="5">
        <f t="shared" si="108"/>
        <v>-19.311612339578105</v>
      </c>
      <c r="AF293" s="5">
        <f t="shared" si="123"/>
        <v>-19.467675260254598</v>
      </c>
      <c r="AG293">
        <f t="shared" si="134"/>
        <v>0</v>
      </c>
    </row>
    <row r="294" spans="1:33" x14ac:dyDescent="0.2">
      <c r="A294">
        <f t="shared" si="124"/>
        <v>2.6199999999999881</v>
      </c>
      <c r="B294" s="5">
        <f t="shared" si="125"/>
        <v>0</v>
      </c>
      <c r="C294" s="5">
        <f t="shared" si="126"/>
        <v>474.63356185193123</v>
      </c>
      <c r="D294" s="5">
        <f t="shared" si="127"/>
        <v>59.060129164738861</v>
      </c>
      <c r="E294" s="2">
        <f t="shared" si="109"/>
        <v>158.21118728397707</v>
      </c>
      <c r="F294" s="2">
        <f t="shared" si="128"/>
        <v>0</v>
      </c>
      <c r="G294" s="3">
        <f t="shared" si="129"/>
        <v>0</v>
      </c>
      <c r="H294" s="3">
        <f t="shared" si="130"/>
        <v>145.79550174812414</v>
      </c>
      <c r="I294" s="3">
        <f t="shared" si="131"/>
        <v>-1.9316701986945044</v>
      </c>
      <c r="J294" s="2">
        <f t="shared" si="110"/>
        <v>145.80829770539052</v>
      </c>
      <c r="K294" s="2">
        <f t="shared" si="132"/>
        <v>99.392159308377984</v>
      </c>
      <c r="L294" s="5">
        <f t="shared" si="111"/>
        <v>24.000138306968765</v>
      </c>
      <c r="M294" s="3">
        <f t="shared" si="112"/>
        <v>19.713586587062998</v>
      </c>
      <c r="N294" s="2">
        <v>0</v>
      </c>
      <c r="O294" s="2">
        <f t="shared" si="113"/>
        <v>145.80829770539052</v>
      </c>
      <c r="P294" s="2">
        <f t="shared" si="114"/>
        <v>99.392159308377984</v>
      </c>
      <c r="Q294" s="5">
        <f t="shared" si="115"/>
        <v>1.2288682018593693</v>
      </c>
      <c r="R294" s="5">
        <f t="shared" si="116"/>
        <v>0.16069961187735732</v>
      </c>
      <c r="S294" s="4">
        <f t="shared" si="133"/>
        <v>0.13520208998595415</v>
      </c>
      <c r="T294" s="5">
        <f t="shared" si="117"/>
        <v>0.1030397665645216</v>
      </c>
      <c r="U294" s="4">
        <f t="shared" si="118"/>
        <v>0</v>
      </c>
      <c r="V294" s="4">
        <f t="shared" si="119"/>
        <v>0</v>
      </c>
      <c r="W294" s="5">
        <f t="shared" si="120"/>
        <v>0</v>
      </c>
      <c r="X294" s="5">
        <f t="shared" si="121"/>
        <v>-19.412435724326883</v>
      </c>
      <c r="Y294" s="5">
        <f t="shared" si="122"/>
        <v>0.25719876898216631</v>
      </c>
      <c r="Z294" s="5">
        <f>1</f>
        <v>1</v>
      </c>
      <c r="AA294" s="5">
        <f>IF(M294=0,0,const*($T294/omega)*O294*(wy*I294-wz*(H294-V294))/Z294)</f>
        <v>0</v>
      </c>
      <c r="AB294" s="5">
        <f>IF(M294=0,0,const*($T294/omega)*O294*(wz*(G294-U294)-wx*I294)/Z294)</f>
        <v>0.16491453095002057</v>
      </c>
      <c r="AC294" s="5">
        <f>IF(M294=0,0,const*($T294/omega)*O294*(wx*(H294-V294)-wy*(G294-U294))/Z294)</f>
        <v>12.447154178629717</v>
      </c>
      <c r="AD294" s="5">
        <f t="shared" si="108"/>
        <v>0</v>
      </c>
      <c r="AE294" s="5">
        <f t="shared" si="108"/>
        <v>-19.247521193376862</v>
      </c>
      <c r="AF294" s="5">
        <f t="shared" si="123"/>
        <v>-19.469647052388119</v>
      </c>
      <c r="AG294">
        <f t="shared" si="134"/>
        <v>0</v>
      </c>
    </row>
    <row r="295" spans="1:33" x14ac:dyDescent="0.2">
      <c r="A295">
        <f t="shared" si="124"/>
        <v>2.6299999999999879</v>
      </c>
      <c r="B295" s="5">
        <f t="shared" si="125"/>
        <v>0</v>
      </c>
      <c r="C295" s="5">
        <f t="shared" si="126"/>
        <v>476.09055449335284</v>
      </c>
      <c r="D295" s="5">
        <f t="shared" si="127"/>
        <v>59.039838980399296</v>
      </c>
      <c r="E295" s="2">
        <f t="shared" si="109"/>
        <v>158.69685149778428</v>
      </c>
      <c r="F295" s="2">
        <f t="shared" si="128"/>
        <v>0</v>
      </c>
      <c r="G295" s="3">
        <f t="shared" si="129"/>
        <v>0</v>
      </c>
      <c r="H295" s="3">
        <f t="shared" si="130"/>
        <v>145.60302653619036</v>
      </c>
      <c r="I295" s="3">
        <f t="shared" si="131"/>
        <v>-2.1263666692183856</v>
      </c>
      <c r="J295" s="2">
        <f t="shared" si="110"/>
        <v>145.61855229231787</v>
      </c>
      <c r="K295" s="2">
        <f t="shared" si="132"/>
        <v>99.262816831845853</v>
      </c>
      <c r="L295" s="5">
        <f t="shared" si="111"/>
        <v>24.031411218868858</v>
      </c>
      <c r="M295" s="3">
        <f t="shared" si="112"/>
        <v>19.708184612302702</v>
      </c>
      <c r="N295" s="2">
        <v>0</v>
      </c>
      <c r="O295" s="2">
        <f t="shared" si="113"/>
        <v>145.61855229231787</v>
      </c>
      <c r="P295" s="2">
        <f t="shared" si="114"/>
        <v>99.262816831845853</v>
      </c>
      <c r="Q295" s="5">
        <f t="shared" si="115"/>
        <v>1.2272690328940699</v>
      </c>
      <c r="R295" s="5">
        <f t="shared" si="116"/>
        <v>0.16072863999847262</v>
      </c>
      <c r="S295" s="4">
        <f t="shared" si="133"/>
        <v>0.13534116568292795</v>
      </c>
      <c r="T295" s="5">
        <f t="shared" si="117"/>
        <v>0.10308215025106805</v>
      </c>
      <c r="U295" s="4">
        <f t="shared" si="118"/>
        <v>0</v>
      </c>
      <c r="V295" s="4">
        <f t="shared" si="119"/>
        <v>0</v>
      </c>
      <c r="W295" s="5">
        <f t="shared" si="120"/>
        <v>0</v>
      </c>
      <c r="X295" s="5">
        <f t="shared" si="121"/>
        <v>-19.36507662906951</v>
      </c>
      <c r="Y295" s="5">
        <f t="shared" si="122"/>
        <v>0.28280492837611809</v>
      </c>
      <c r="Z295" s="5">
        <f>1</f>
        <v>1</v>
      </c>
      <c r="AA295" s="5">
        <f>IF(M295=0,0,const*($T295/omega)*O295*(wy*I295-wz*(H295-V295))/Z295)</f>
        <v>0</v>
      </c>
      <c r="AB295" s="5">
        <f>IF(M295=0,0,const*($T295/omega)*O295*(wz*(G295-U295)-wx*I295)/Z295)</f>
        <v>0.18137489447360827</v>
      </c>
      <c r="AC295" s="5">
        <f>IF(M295=0,0,const*($T295/omega)*O295*(wx*(H295-V295)-wy*(G295-U295))/Z295)</f>
        <v>12.419651772827539</v>
      </c>
      <c r="AD295" s="5">
        <f t="shared" si="108"/>
        <v>0</v>
      </c>
      <c r="AE295" s="5">
        <f t="shared" si="108"/>
        <v>-19.1837017345959</v>
      </c>
      <c r="AF295" s="5">
        <f t="shared" si="123"/>
        <v>-19.471543298796341</v>
      </c>
      <c r="AG295">
        <f t="shared" si="134"/>
        <v>0</v>
      </c>
    </row>
    <row r="296" spans="1:33" x14ac:dyDescent="0.2">
      <c r="A296">
        <f t="shared" si="124"/>
        <v>2.6399999999999877</v>
      </c>
      <c r="B296" s="5">
        <f t="shared" si="125"/>
        <v>0</v>
      </c>
      <c r="C296" s="5">
        <f t="shared" si="126"/>
        <v>477.545625573628</v>
      </c>
      <c r="D296" s="5">
        <f t="shared" si="127"/>
        <v>59.017601736542169</v>
      </c>
      <c r="E296" s="2">
        <f t="shared" si="109"/>
        <v>159.18187519120934</v>
      </c>
      <c r="F296" s="2">
        <f t="shared" si="128"/>
        <v>0</v>
      </c>
      <c r="G296" s="3">
        <f t="shared" si="129"/>
        <v>0</v>
      </c>
      <c r="H296" s="3">
        <f t="shared" si="130"/>
        <v>145.4111895188444</v>
      </c>
      <c r="I296" s="3">
        <f t="shared" si="131"/>
        <v>-2.3210821022063488</v>
      </c>
      <c r="J296" s="2">
        <f t="shared" si="110"/>
        <v>145.42971312428028</v>
      </c>
      <c r="K296" s="2">
        <f t="shared" si="132"/>
        <v>99.134092109257168</v>
      </c>
      <c r="L296" s="5">
        <f t="shared" si="111"/>
        <v>24.06261578913066</v>
      </c>
      <c r="M296" s="3">
        <f t="shared" si="112"/>
        <v>19.702792013863409</v>
      </c>
      <c r="N296" s="2">
        <v>0</v>
      </c>
      <c r="O296" s="2">
        <f t="shared" si="113"/>
        <v>145.42971312428028</v>
      </c>
      <c r="P296" s="2">
        <f t="shared" si="114"/>
        <v>99.134092109257168</v>
      </c>
      <c r="Q296" s="5">
        <f t="shared" si="115"/>
        <v>1.2256775017362487</v>
      </c>
      <c r="R296" s="5">
        <f t="shared" si="116"/>
        <v>0.16075758111156641</v>
      </c>
      <c r="S296" s="4">
        <f t="shared" si="133"/>
        <v>0.13547982451856957</v>
      </c>
      <c r="T296" s="5">
        <f t="shared" si="117"/>
        <v>0.10312438089144388</v>
      </c>
      <c r="U296" s="4">
        <f t="shared" si="118"/>
        <v>0</v>
      </c>
      <c r="V296" s="4">
        <f t="shared" si="119"/>
        <v>0</v>
      </c>
      <c r="W296" s="5">
        <f t="shared" si="120"/>
        <v>0</v>
      </c>
      <c r="X296" s="5">
        <f t="shared" si="121"/>
        <v>-19.317960593834705</v>
      </c>
      <c r="Y296" s="5">
        <f t="shared" si="122"/>
        <v>0.30835709916028481</v>
      </c>
      <c r="Z296" s="5">
        <f>1</f>
        <v>1</v>
      </c>
      <c r="AA296" s="5">
        <f>IF(M296=0,0,const*($T296/omega)*O296*(wy*I296-wz*(H296-V296))/Z296)</f>
        <v>0</v>
      </c>
      <c r="AB296" s="5">
        <f>IF(M296=0,0,const*($T296/omega)*O296*(wz*(G296-U296)-wx*I296)/Z296)</f>
        <v>0.19780799589362574</v>
      </c>
      <c r="AC296" s="5">
        <f>IF(M296=0,0,const*($T296/omega)*O296*(wx*(H296-V296)-wy*(G296-U296))/Z296)</f>
        <v>12.392278563472235</v>
      </c>
      <c r="AD296" s="5">
        <f t="shared" si="108"/>
        <v>0</v>
      </c>
      <c r="AE296" s="5">
        <f t="shared" si="108"/>
        <v>-19.120152597941079</v>
      </c>
      <c r="AF296" s="5">
        <f t="shared" si="123"/>
        <v>-19.473364337367478</v>
      </c>
      <c r="AG296">
        <f t="shared" si="134"/>
        <v>0</v>
      </c>
    </row>
    <row r="297" spans="1:33" x14ac:dyDescent="0.2">
      <c r="A297">
        <f t="shared" si="124"/>
        <v>2.6499999999999875</v>
      </c>
      <c r="B297" s="5">
        <f t="shared" si="125"/>
        <v>0</v>
      </c>
      <c r="C297" s="5">
        <f t="shared" si="126"/>
        <v>478.99878146118652</v>
      </c>
      <c r="D297" s="5">
        <f t="shared" si="127"/>
        <v>58.993417247303242</v>
      </c>
      <c r="E297" s="2">
        <f t="shared" si="109"/>
        <v>159.66626048706217</v>
      </c>
      <c r="F297" s="2">
        <f t="shared" si="128"/>
        <v>0</v>
      </c>
      <c r="G297" s="3">
        <f t="shared" si="129"/>
        <v>0</v>
      </c>
      <c r="H297" s="3">
        <f t="shared" si="130"/>
        <v>145.21998799286499</v>
      </c>
      <c r="I297" s="3">
        <f t="shared" si="131"/>
        <v>-2.5158157455800234</v>
      </c>
      <c r="J297" s="2">
        <f t="shared" si="110"/>
        <v>145.24177856771638</v>
      </c>
      <c r="K297" s="2">
        <f t="shared" si="132"/>
        <v>99.005984027073197</v>
      </c>
      <c r="L297" s="5">
        <f t="shared" si="111"/>
        <v>24.093751438065098</v>
      </c>
      <c r="M297" s="3">
        <f t="shared" si="112"/>
        <v>19.69740865619324</v>
      </c>
      <c r="N297" s="2">
        <v>0</v>
      </c>
      <c r="O297" s="2">
        <f t="shared" si="113"/>
        <v>145.24177856771638</v>
      </c>
      <c r="P297" s="2">
        <f t="shared" si="114"/>
        <v>99.005984027073197</v>
      </c>
      <c r="Q297" s="5">
        <f t="shared" si="115"/>
        <v>1.2240935946182976</v>
      </c>
      <c r="R297" s="5">
        <f t="shared" si="116"/>
        <v>0.16078643445909413</v>
      </c>
      <c r="S297" s="4">
        <f t="shared" si="133"/>
        <v>0.13561806286343206</v>
      </c>
      <c r="T297" s="5">
        <f t="shared" si="117"/>
        <v>0.10316645765778527</v>
      </c>
      <c r="U297" s="4">
        <f t="shared" si="118"/>
        <v>0</v>
      </c>
      <c r="V297" s="4">
        <f t="shared" si="119"/>
        <v>0</v>
      </c>
      <c r="W297" s="5">
        <f t="shared" si="120"/>
        <v>0</v>
      </c>
      <c r="X297" s="5">
        <f t="shared" si="121"/>
        <v>-19.271086374502922</v>
      </c>
      <c r="Y297" s="5">
        <f t="shared" si="122"/>
        <v>0.33385557460443505</v>
      </c>
      <c r="Z297" s="5">
        <f>1</f>
        <v>1</v>
      </c>
      <c r="AA297" s="5">
        <f>IF(M297=0,0,const*($T297/omega)*O297*(wy*I297-wz*(H297-V297))/Z297)</f>
        <v>0</v>
      </c>
      <c r="AB297" s="5">
        <f>IF(M297=0,0,const*($T297/omega)*O297*(wz*(G297-U297)-wx*I297)/Z297)</f>
        <v>0.2142139485654595</v>
      </c>
      <c r="AC297" s="5">
        <f>IF(M297=0,0,const*($T297/omega)*O297*(wx*(H297-V297)-wy*(G297-U297))/Z297)</f>
        <v>12.365033923185109</v>
      </c>
      <c r="AD297" s="5">
        <f t="shared" si="108"/>
        <v>0</v>
      </c>
      <c r="AE297" s="5">
        <f t="shared" si="108"/>
        <v>-19.056872425937463</v>
      </c>
      <c r="AF297" s="5">
        <f t="shared" si="123"/>
        <v>-19.475110502210455</v>
      </c>
      <c r="AG297">
        <f t="shared" si="134"/>
        <v>0</v>
      </c>
    </row>
    <row r="298" spans="1:33" x14ac:dyDescent="0.2">
      <c r="A298">
        <f t="shared" si="124"/>
        <v>2.6599999999999873</v>
      </c>
      <c r="B298" s="5">
        <f t="shared" si="125"/>
        <v>0</v>
      </c>
      <c r="C298" s="5">
        <f t="shared" si="126"/>
        <v>480.45002849749386</v>
      </c>
      <c r="D298" s="5">
        <f t="shared" si="127"/>
        <v>58.967285334322334</v>
      </c>
      <c r="E298" s="2">
        <f t="shared" si="109"/>
        <v>160.15000949916461</v>
      </c>
      <c r="F298" s="2">
        <f t="shared" si="128"/>
        <v>0</v>
      </c>
      <c r="G298" s="3">
        <f t="shared" si="129"/>
        <v>0</v>
      </c>
      <c r="H298" s="3">
        <f t="shared" si="130"/>
        <v>145.02941926860561</v>
      </c>
      <c r="I298" s="3">
        <f t="shared" si="131"/>
        <v>-2.7105668506021279</v>
      </c>
      <c r="J298" s="2">
        <f t="shared" si="110"/>
        <v>145.05474699588626</v>
      </c>
      <c r="K298" s="2">
        <f t="shared" si="132"/>
        <v>98.878491476405088</v>
      </c>
      <c r="L298" s="5">
        <f t="shared" si="111"/>
        <v>24.124817585820146</v>
      </c>
      <c r="M298" s="3">
        <f t="shared" si="112"/>
        <v>19.692034404159472</v>
      </c>
      <c r="N298" s="2">
        <v>0</v>
      </c>
      <c r="O298" s="2">
        <f t="shared" si="113"/>
        <v>145.05474699588626</v>
      </c>
      <c r="P298" s="2">
        <f t="shared" si="114"/>
        <v>98.878491476405088</v>
      </c>
      <c r="Q298" s="5">
        <f t="shared" si="115"/>
        <v>1.2225172978300982</v>
      </c>
      <c r="R298" s="5">
        <f t="shared" si="116"/>
        <v>0.16081519928343235</v>
      </c>
      <c r="S298" s="4">
        <f t="shared" si="133"/>
        <v>0.13575587708768977</v>
      </c>
      <c r="T298" s="5">
        <f t="shared" si="117"/>
        <v>0.10320837972322591</v>
      </c>
      <c r="U298" s="4">
        <f t="shared" si="118"/>
        <v>0</v>
      </c>
      <c r="V298" s="4">
        <f t="shared" si="119"/>
        <v>0</v>
      </c>
      <c r="W298" s="5">
        <f t="shared" si="120"/>
        <v>0</v>
      </c>
      <c r="X298" s="5">
        <f t="shared" si="121"/>
        <v>-19.224452734877193</v>
      </c>
      <c r="Y298" s="5">
        <f t="shared" si="122"/>
        <v>0.35930064787486576</v>
      </c>
      <c r="Z298" s="5">
        <f>1</f>
        <v>1</v>
      </c>
      <c r="AA298" s="5">
        <f>IF(M298=0,0,const*($T298/omega)*O298*(wy*I298-wz*(H298-V298))/Z298)</f>
        <v>0</v>
      </c>
      <c r="AB298" s="5">
        <f>IF(M298=0,0,const*($T298/omega)*O298*(wz*(G298-U298)-wx*I298)/Z298)</f>
        <v>0.23059286600959122</v>
      </c>
      <c r="AC298" s="5">
        <f>IF(M298=0,0,const*($T298/omega)*O298*(wx*(H298-V298)-wy*(G298-U298))/Z298)</f>
        <v>12.337917228429692</v>
      </c>
      <c r="AD298" s="5">
        <f t="shared" si="108"/>
        <v>0</v>
      </c>
      <c r="AE298" s="5">
        <f t="shared" si="108"/>
        <v>-18.993859868867602</v>
      </c>
      <c r="AF298" s="5">
        <f t="shared" si="123"/>
        <v>-19.476782123695443</v>
      </c>
      <c r="AG298">
        <f t="shared" si="134"/>
        <v>0</v>
      </c>
    </row>
    <row r="299" spans="1:33" x14ac:dyDescent="0.2">
      <c r="A299">
        <f t="shared" si="124"/>
        <v>2.6699999999999871</v>
      </c>
      <c r="B299" s="5">
        <f t="shared" si="125"/>
        <v>0</v>
      </c>
      <c r="C299" s="5">
        <f t="shared" si="126"/>
        <v>481.89937299718645</v>
      </c>
      <c r="D299" s="5">
        <f t="shared" si="127"/>
        <v>58.939205826710122</v>
      </c>
      <c r="E299" s="2">
        <f t="shared" si="109"/>
        <v>160.63312433239548</v>
      </c>
      <c r="F299" s="2">
        <f t="shared" si="128"/>
        <v>0</v>
      </c>
      <c r="G299" s="3">
        <f t="shared" si="129"/>
        <v>0</v>
      </c>
      <c r="H299" s="3">
        <f t="shared" si="130"/>
        <v>144.83948066991692</v>
      </c>
      <c r="I299" s="3">
        <f t="shared" si="131"/>
        <v>-2.9053346718390824</v>
      </c>
      <c r="J299" s="2">
        <f t="shared" si="110"/>
        <v>144.86861678875323</v>
      </c>
      <c r="K299" s="2">
        <f t="shared" si="132"/>
        <v>98.751613352933347</v>
      </c>
      <c r="L299" s="5">
        <f t="shared" si="111"/>
        <v>24.155813652420569</v>
      </c>
      <c r="M299" s="3">
        <f t="shared" si="112"/>
        <v>19.68666912304742</v>
      </c>
      <c r="N299" s="2">
        <v>0</v>
      </c>
      <c r="O299" s="2">
        <f t="shared" si="113"/>
        <v>144.86861678875323</v>
      </c>
      <c r="P299" s="2">
        <f t="shared" si="114"/>
        <v>98.751613352933347</v>
      </c>
      <c r="Q299" s="5">
        <f t="shared" si="115"/>
        <v>1.2209485977180274</v>
      </c>
      <c r="R299" s="5">
        <f t="shared" si="116"/>
        <v>0.16084387482693008</v>
      </c>
      <c r="S299" s="4">
        <f t="shared" si="133"/>
        <v>0.13589326356138565</v>
      </c>
      <c r="T299" s="5">
        <f t="shared" si="117"/>
        <v>0.10325014626195042</v>
      </c>
      <c r="U299" s="4">
        <f t="shared" si="118"/>
        <v>0</v>
      </c>
      <c r="V299" s="4">
        <f t="shared" si="119"/>
        <v>0</v>
      </c>
      <c r="W299" s="5">
        <f t="shared" si="120"/>
        <v>0</v>
      </c>
      <c r="X299" s="5">
        <f t="shared" si="121"/>
        <v>-19.178058446616976</v>
      </c>
      <c r="Y299" s="5">
        <f t="shared" si="122"/>
        <v>0.38469261202678012</v>
      </c>
      <c r="Z299" s="5">
        <f>1</f>
        <v>1</v>
      </c>
      <c r="AA299" s="5">
        <f>IF(M299=0,0,const*($T299/omega)*O299*(wy*I299-wz*(H299-V299))/Z299)</f>
        <v>0</v>
      </c>
      <c r="AB299" s="5">
        <f>IF(M299=0,0,const*($T299/omega)*O299*(wz*(G299-U299)-wx*I299)/Z299)</f>
        <v>0.24694486190658815</v>
      </c>
      <c r="AC299" s="5">
        <f>IF(M299=0,0,const*($T299/omega)*O299*(wx*(H299-V299)-wy*(G299-U299))/Z299)</f>
        <v>12.310927859479186</v>
      </c>
      <c r="AD299" s="5">
        <f t="shared" si="108"/>
        <v>0</v>
      </c>
      <c r="AE299" s="5">
        <f t="shared" si="108"/>
        <v>-18.931113584710388</v>
      </c>
      <c r="AF299" s="5">
        <f t="shared" si="123"/>
        <v>-19.478379528494031</v>
      </c>
      <c r="AG299">
        <f t="shared" si="134"/>
        <v>0</v>
      </c>
    </row>
    <row r="300" spans="1:33" x14ac:dyDescent="0.2">
      <c r="A300">
        <f t="shared" si="124"/>
        <v>2.6799999999999868</v>
      </c>
      <c r="B300" s="5">
        <f t="shared" si="125"/>
        <v>0</v>
      </c>
      <c r="C300" s="5">
        <f t="shared" si="126"/>
        <v>483.34682124820637</v>
      </c>
      <c r="D300" s="5">
        <f t="shared" si="127"/>
        <v>58.909178561015302</v>
      </c>
      <c r="E300" s="2">
        <f t="shared" si="109"/>
        <v>161.11560708273547</v>
      </c>
      <c r="F300" s="2">
        <f t="shared" si="128"/>
        <v>0</v>
      </c>
      <c r="G300" s="3">
        <f t="shared" si="129"/>
        <v>0</v>
      </c>
      <c r="H300" s="3">
        <f t="shared" si="130"/>
        <v>144.65016953406982</v>
      </c>
      <c r="I300" s="3">
        <f t="shared" si="131"/>
        <v>-3.1001184671240227</v>
      </c>
      <c r="J300" s="2">
        <f t="shared" si="110"/>
        <v>144.68338633286595</v>
      </c>
      <c r="K300" s="2">
        <f t="shared" si="132"/>
        <v>98.625348556827504</v>
      </c>
      <c r="L300" s="5">
        <f t="shared" si="111"/>
        <v>24.186739057807973</v>
      </c>
      <c r="M300" s="3">
        <f t="shared" si="112"/>
        <v>19.681312678559358</v>
      </c>
      <c r="N300" s="2">
        <v>0</v>
      </c>
      <c r="O300" s="2">
        <f t="shared" si="113"/>
        <v>144.68338633286595</v>
      </c>
      <c r="P300" s="2">
        <f t="shared" si="114"/>
        <v>98.625348556827504</v>
      </c>
      <c r="Q300" s="5">
        <f t="shared" si="115"/>
        <v>1.2193874806839635</v>
      </c>
      <c r="R300" s="5">
        <f t="shared" si="116"/>
        <v>0.16087246033196098</v>
      </c>
      <c r="S300" s="4">
        <f t="shared" si="133"/>
        <v>0.13603021865468043</v>
      </c>
      <c r="T300" s="5">
        <f t="shared" si="117"/>
        <v>0.10329175644924825</v>
      </c>
      <c r="U300" s="4">
        <f t="shared" si="118"/>
        <v>0</v>
      </c>
      <c r="V300" s="4">
        <f t="shared" si="119"/>
        <v>0</v>
      </c>
      <c r="W300" s="5">
        <f t="shared" si="120"/>
        <v>0</v>
      </c>
      <c r="X300" s="5">
        <f t="shared" si="121"/>
        <v>-19.131902289172565</v>
      </c>
      <c r="Y300" s="5">
        <f t="shared" si="122"/>
        <v>0.41003175999670383</v>
      </c>
      <c r="Z300" s="5">
        <f>1</f>
        <v>1</v>
      </c>
      <c r="AA300" s="5">
        <f>IF(M300=0,0,const*($T300/omega)*O300*(wy*I300-wz*(H300-V300))/Z300)</f>
        <v>0</v>
      </c>
      <c r="AB300" s="5">
        <f>IF(M300=0,0,const*($T300/omega)*O300*(wz*(G300-U300)-wx*I300)/Z300)</f>
        <v>0.26327005009210874</v>
      </c>
      <c r="AC300" s="5">
        <f>IF(M300=0,0,const*($T300/omega)*O300*(wx*(H300-V300)-wy*(G300-U300))/Z300)</f>
        <v>12.284065200384187</v>
      </c>
      <c r="AD300" s="5">
        <f t="shared" si="108"/>
        <v>0</v>
      </c>
      <c r="AE300" s="5">
        <f t="shared" si="108"/>
        <v>-18.868632239080455</v>
      </c>
      <c r="AF300" s="5">
        <f t="shared" si="123"/>
        <v>-19.47990303961911</v>
      </c>
      <c r="AG300">
        <f t="shared" si="134"/>
        <v>0</v>
      </c>
    </row>
    <row r="301" spans="1:33" x14ac:dyDescent="0.2">
      <c r="A301">
        <f t="shared" si="124"/>
        <v>2.6899999999999866</v>
      </c>
      <c r="B301" s="5">
        <f t="shared" si="125"/>
        <v>0</v>
      </c>
      <c r="C301" s="5">
        <f t="shared" si="126"/>
        <v>484.79237951193511</v>
      </c>
      <c r="D301" s="5">
        <f t="shared" si="127"/>
        <v>58.877203381192082</v>
      </c>
      <c r="E301" s="2">
        <f t="shared" si="109"/>
        <v>161.5974598373117</v>
      </c>
      <c r="F301" s="2">
        <f t="shared" si="128"/>
        <v>0</v>
      </c>
      <c r="G301" s="3">
        <f t="shared" si="129"/>
        <v>0</v>
      </c>
      <c r="H301" s="3">
        <f t="shared" si="130"/>
        <v>144.46148321167902</v>
      </c>
      <c r="I301" s="3">
        <f t="shared" si="131"/>
        <v>-3.2949174975202138</v>
      </c>
      <c r="J301" s="2">
        <f t="shared" si="110"/>
        <v>144.49905402124156</v>
      </c>
      <c r="K301" s="2">
        <f t="shared" si="132"/>
        <v>98.499695992666361</v>
      </c>
      <c r="L301" s="5">
        <f t="shared" si="111"/>
        <v>24.217593221881089</v>
      </c>
      <c r="M301" s="3">
        <f t="shared" si="112"/>
        <v>19.675964936813482</v>
      </c>
      <c r="N301" s="2">
        <v>0</v>
      </c>
      <c r="O301" s="2">
        <f t="shared" si="113"/>
        <v>144.49905402124156</v>
      </c>
      <c r="P301" s="2">
        <f t="shared" si="114"/>
        <v>98.499695992666361</v>
      </c>
      <c r="Q301" s="5">
        <f t="shared" si="115"/>
        <v>1.2178339331842996</v>
      </c>
      <c r="R301" s="5">
        <f t="shared" si="116"/>
        <v>0.1609009550409756</v>
      </c>
      <c r="S301" s="4">
        <f t="shared" si="133"/>
        <v>0.13616673873810334</v>
      </c>
      <c r="T301" s="5">
        <f t="shared" si="117"/>
        <v>0.10333320946156764</v>
      </c>
      <c r="U301" s="4">
        <f t="shared" si="118"/>
        <v>0</v>
      </c>
      <c r="V301" s="4">
        <f t="shared" si="119"/>
        <v>0</v>
      </c>
      <c r="W301" s="5">
        <f t="shared" si="120"/>
        <v>0</v>
      </c>
      <c r="X301" s="5">
        <f t="shared" si="121"/>
        <v>-19.085983049720134</v>
      </c>
      <c r="Y301" s="5">
        <f t="shared" si="122"/>
        <v>0.43531838459493949</v>
      </c>
      <c r="Z301" s="5">
        <f>1</f>
        <v>1</v>
      </c>
      <c r="AA301" s="5">
        <f>IF(M301=0,0,const*($T301/omega)*O301*(wy*I301-wz*(H301-V301))/Z301)</f>
        <v>0</v>
      </c>
      <c r="AB301" s="5">
        <f>IF(M301=0,0,const*($T301/omega)*O301*(wz*(G301-U301)-wx*I301)/Z301)</f>
        <v>0.27956854455192415</v>
      </c>
      <c r="AC301" s="5">
        <f>IF(M301=0,0,const*($T301/omega)*O301*(wx*(H301-V301)-wy*(G301-U301))/Z301)</f>
        <v>12.257328638940697</v>
      </c>
      <c r="AD301" s="5">
        <f t="shared" si="108"/>
        <v>0</v>
      </c>
      <c r="AE301" s="5">
        <f t="shared" si="108"/>
        <v>-18.80641450516821</v>
      </c>
      <c r="AF301" s="5">
        <f t="shared" si="123"/>
        <v>-19.481352976464365</v>
      </c>
      <c r="AG301">
        <f t="shared" si="134"/>
        <v>0</v>
      </c>
    </row>
    <row r="302" spans="1:33" x14ac:dyDescent="0.2">
      <c r="A302">
        <f t="shared" si="124"/>
        <v>2.6999999999999864</v>
      </c>
      <c r="B302" s="5">
        <f t="shared" si="125"/>
        <v>0</v>
      </c>
      <c r="C302" s="5">
        <f t="shared" si="126"/>
        <v>486.23605402332663</v>
      </c>
      <c r="D302" s="5">
        <f t="shared" si="127"/>
        <v>58.843280138568055</v>
      </c>
      <c r="E302" s="2">
        <f t="shared" si="109"/>
        <v>162.0786846744422</v>
      </c>
      <c r="F302" s="2">
        <f t="shared" si="128"/>
        <v>0</v>
      </c>
      <c r="G302" s="3">
        <f t="shared" si="129"/>
        <v>0</v>
      </c>
      <c r="H302" s="3">
        <f t="shared" si="130"/>
        <v>144.27341906662735</v>
      </c>
      <c r="I302" s="3">
        <f t="shared" si="131"/>
        <v>-3.4897310272848574</v>
      </c>
      <c r="J302" s="2">
        <f t="shared" si="110"/>
        <v>144.31561825324889</v>
      </c>
      <c r="K302" s="2">
        <f t="shared" si="132"/>
        <v>98.374654569358469</v>
      </c>
      <c r="L302" s="5">
        <f t="shared" si="111"/>
        <v>24.248375564536438</v>
      </c>
      <c r="M302" s="3">
        <f t="shared" si="112"/>
        <v>19.670625764342933</v>
      </c>
      <c r="N302" s="2">
        <v>0</v>
      </c>
      <c r="O302" s="2">
        <f t="shared" si="113"/>
        <v>144.31561825324889</v>
      </c>
      <c r="P302" s="2">
        <f t="shared" si="114"/>
        <v>98.374654569358469</v>
      </c>
      <c r="Q302" s="5">
        <f t="shared" si="115"/>
        <v>1.2162879417289618</v>
      </c>
      <c r="R302" s="5">
        <f t="shared" si="116"/>
        <v>0.16092935819655421</v>
      </c>
      <c r="S302" s="4">
        <f t="shared" si="133"/>
        <v>0.13630282018280512</v>
      </c>
      <c r="T302" s="5">
        <f t="shared" si="117"/>
        <v>0.10337450447656998</v>
      </c>
      <c r="U302" s="4">
        <f t="shared" si="118"/>
        <v>0</v>
      </c>
      <c r="V302" s="4">
        <f t="shared" si="119"/>
        <v>0</v>
      </c>
      <c r="W302" s="5">
        <f t="shared" si="120"/>
        <v>0</v>
      </c>
      <c r="X302" s="5">
        <f t="shared" si="121"/>
        <v>-19.040299523097307</v>
      </c>
      <c r="Y302" s="5">
        <f t="shared" si="122"/>
        <v>0.46055277849805676</v>
      </c>
      <c r="Z302" s="5">
        <f>1</f>
        <v>1</v>
      </c>
      <c r="AA302" s="5">
        <f>IF(M302=0,0,const*($T302/omega)*O302*(wy*I302-wz*(H302-V302))/Z302)</f>
        <v>0</v>
      </c>
      <c r="AB302" s="5">
        <f>IF(M302=0,0,const*($T302/omega)*O302*(wz*(G302-U302)-wx*I302)/Z302)</f>
        <v>0.2958404594169538</v>
      </c>
      <c r="AC302" s="5">
        <f>IF(M302=0,0,const*($T302/omega)*O302*(wx*(H302-V302)-wy*(G302-U302))/Z302)</f>
        <v>12.23071756665839</v>
      </c>
      <c r="AD302" s="5">
        <f t="shared" si="108"/>
        <v>0</v>
      </c>
      <c r="AE302" s="5">
        <f t="shared" si="108"/>
        <v>-18.744459063680353</v>
      </c>
      <c r="AF302" s="5">
        <f t="shared" si="123"/>
        <v>-19.482729654843553</v>
      </c>
      <c r="AG302">
        <f t="shared" si="134"/>
        <v>0</v>
      </c>
    </row>
    <row r="303" spans="1:33" x14ac:dyDescent="0.2">
      <c r="A303">
        <f t="shared" si="124"/>
        <v>2.7099999999999862</v>
      </c>
      <c r="B303" s="5">
        <f t="shared" si="125"/>
        <v>0</v>
      </c>
      <c r="C303" s="5">
        <f t="shared" si="126"/>
        <v>487.67785099103969</v>
      </c>
      <c r="D303" s="5">
        <f t="shared" si="127"/>
        <v>58.807408691812469</v>
      </c>
      <c r="E303" s="2">
        <f t="shared" si="109"/>
        <v>162.55928366367991</v>
      </c>
      <c r="F303" s="2">
        <f t="shared" si="128"/>
        <v>0</v>
      </c>
      <c r="G303" s="3">
        <f t="shared" si="129"/>
        <v>0</v>
      </c>
      <c r="H303" s="3">
        <f t="shared" si="130"/>
        <v>144.08597447599055</v>
      </c>
      <c r="I303" s="3">
        <f t="shared" si="131"/>
        <v>-3.6845583238332931</v>
      </c>
      <c r="J303" s="2">
        <f t="shared" si="110"/>
        <v>144.13307743449292</v>
      </c>
      <c r="K303" s="2">
        <f t="shared" si="132"/>
        <v>98.250223200063331</v>
      </c>
      <c r="L303" s="5">
        <f t="shared" si="111"/>
        <v>24.27908550570913</v>
      </c>
      <c r="M303" s="3">
        <f t="shared" si="112"/>
        <v>19.665295028094828</v>
      </c>
      <c r="N303" s="2">
        <v>0</v>
      </c>
      <c r="O303" s="2">
        <f t="shared" si="113"/>
        <v>144.13307743449292</v>
      </c>
      <c r="P303" s="2">
        <f t="shared" si="114"/>
        <v>98.250223200063331</v>
      </c>
      <c r="Q303" s="5">
        <f t="shared" si="115"/>
        <v>1.2147494928804345</v>
      </c>
      <c r="R303" s="5">
        <f t="shared" si="116"/>
        <v>0.16095766904145981</v>
      </c>
      <c r="S303" s="4">
        <f t="shared" si="133"/>
        <v>0.13643845936081198</v>
      </c>
      <c r="T303" s="5">
        <f t="shared" si="117"/>
        <v>0.10341564067318441</v>
      </c>
      <c r="U303" s="4">
        <f t="shared" si="118"/>
        <v>0</v>
      </c>
      <c r="V303" s="4">
        <f t="shared" si="119"/>
        <v>0</v>
      </c>
      <c r="W303" s="5">
        <f t="shared" si="120"/>
        <v>0</v>
      </c>
      <c r="X303" s="5">
        <f t="shared" si="121"/>
        <v>-18.994850511739369</v>
      </c>
      <c r="Y303" s="5">
        <f t="shared" si="122"/>
        <v>0.4857352342414189</v>
      </c>
      <c r="Z303" s="5">
        <f>1</f>
        <v>1</v>
      </c>
      <c r="AA303" s="5">
        <f>IF(M303=0,0,const*($T303/omega)*O303*(wy*I303-wz*(H303-V303))/Z303)</f>
        <v>0</v>
      </c>
      <c r="AB303" s="5">
        <f>IF(M303=0,0,const*($T303/omega)*O303*(wz*(G303-U303)-wx*I303)/Z303)</f>
        <v>0.31208590895831517</v>
      </c>
      <c r="AC303" s="5">
        <f>IF(M303=0,0,const*($T303/omega)*O303*(wx*(H303-V303)-wy*(G303-U303))/Z303)</f>
        <v>12.20423137872919</v>
      </c>
      <c r="AD303" s="5">
        <f t="shared" si="108"/>
        <v>0</v>
      </c>
      <c r="AE303" s="5">
        <f t="shared" si="108"/>
        <v>-18.682764602781052</v>
      </c>
      <c r="AF303" s="5">
        <f t="shared" si="123"/>
        <v>-19.484033387029392</v>
      </c>
      <c r="AG303">
        <f t="shared" si="134"/>
        <v>0</v>
      </c>
    </row>
    <row r="304" spans="1:33" x14ac:dyDescent="0.2">
      <c r="A304">
        <f t="shared" si="124"/>
        <v>2.719999999999986</v>
      </c>
      <c r="B304" s="5">
        <f t="shared" si="125"/>
        <v>0</v>
      </c>
      <c r="C304" s="5">
        <f t="shared" si="126"/>
        <v>489.11777659756945</v>
      </c>
      <c r="D304" s="5">
        <f t="shared" si="127"/>
        <v>58.769588906904787</v>
      </c>
      <c r="E304" s="2">
        <f t="shared" si="109"/>
        <v>163.03925886585648</v>
      </c>
      <c r="F304" s="2">
        <f t="shared" si="128"/>
        <v>0</v>
      </c>
      <c r="G304" s="3">
        <f t="shared" si="129"/>
        <v>0</v>
      </c>
      <c r="H304" s="3">
        <f t="shared" si="130"/>
        <v>143.89914682996275</v>
      </c>
      <c r="I304" s="3">
        <f t="shared" si="131"/>
        <v>-3.8793986577035868</v>
      </c>
      <c r="J304" s="2">
        <f t="shared" si="110"/>
        <v>143.95142997669933</v>
      </c>
      <c r="K304" s="2">
        <f t="shared" si="132"/>
        <v>98.126400802112698</v>
      </c>
      <c r="L304" s="5">
        <f t="shared" si="111"/>
        <v>24.309722465414076</v>
      </c>
      <c r="M304" s="3">
        <f t="shared" si="112"/>
        <v>19.659972595429366</v>
      </c>
      <c r="N304" s="2">
        <v>0</v>
      </c>
      <c r="O304" s="2">
        <f t="shared" si="113"/>
        <v>143.95142997669933</v>
      </c>
      <c r="P304" s="2">
        <f t="shared" si="114"/>
        <v>98.126400802112698</v>
      </c>
      <c r="Q304" s="5">
        <f t="shared" si="115"/>
        <v>1.2132185732527867</v>
      </c>
      <c r="R304" s="5">
        <f t="shared" si="116"/>
        <v>0.16098588681869169</v>
      </c>
      <c r="S304" s="4">
        <f t="shared" si="133"/>
        <v>0.13657365264528198</v>
      </c>
      <c r="T304" s="5">
        <f t="shared" si="117"/>
        <v>0.10345661723166256</v>
      </c>
      <c r="U304" s="4">
        <f t="shared" si="118"/>
        <v>0</v>
      </c>
      <c r="V304" s="4">
        <f t="shared" si="119"/>
        <v>0</v>
      </c>
      <c r="W304" s="5">
        <f t="shared" si="120"/>
        <v>0</v>
      </c>
      <c r="X304" s="5">
        <f t="shared" si="121"/>
        <v>-18.94963482561602</v>
      </c>
      <c r="Y304" s="5">
        <f t="shared" si="122"/>
        <v>0.51086604421174353</v>
      </c>
      <c r="Z304" s="5">
        <f>1</f>
        <v>1</v>
      </c>
      <c r="AA304" s="5">
        <f>IF(M304=0,0,const*($T304/omega)*O304*(wy*I304-wz*(H304-V304))/Z304)</f>
        <v>0</v>
      </c>
      <c r="AB304" s="5">
        <f>IF(M304=0,0,const*($T304/omega)*O304*(wz*(G304-U304)-wx*I304)/Z304)</f>
        <v>0.32830500758238756</v>
      </c>
      <c r="AC304" s="5">
        <f>IF(M304=0,0,const*($T304/omega)*O304*(wx*(H304-V304)-wy*(G304-U304))/Z304)</f>
        <v>12.177869473996116</v>
      </c>
      <c r="AD304" s="5">
        <f t="shared" ref="AD304:AE367" si="135">W304+AA304</f>
        <v>0</v>
      </c>
      <c r="AE304" s="5">
        <f t="shared" si="135"/>
        <v>-18.621329818033633</v>
      </c>
      <c r="AF304" s="5">
        <f t="shared" si="123"/>
        <v>-19.485264481792139</v>
      </c>
      <c r="AG304">
        <f t="shared" si="134"/>
        <v>0</v>
      </c>
    </row>
    <row r="305" spans="1:33" x14ac:dyDescent="0.2">
      <c r="A305">
        <f t="shared" si="124"/>
        <v>2.7299999999999858</v>
      </c>
      <c r="B305" s="5">
        <f t="shared" si="125"/>
        <v>0</v>
      </c>
      <c r="C305" s="5">
        <f t="shared" si="126"/>
        <v>490.55583699937813</v>
      </c>
      <c r="D305" s="5">
        <f t="shared" si="127"/>
        <v>58.729820657103666</v>
      </c>
      <c r="E305" s="2">
        <f t="shared" si="109"/>
        <v>163.51861233312604</v>
      </c>
      <c r="F305" s="2">
        <f t="shared" si="128"/>
        <v>0</v>
      </c>
      <c r="G305" s="3">
        <f t="shared" si="129"/>
        <v>0</v>
      </c>
      <c r="H305" s="3">
        <f t="shared" si="130"/>
        <v>143.7129335317824</v>
      </c>
      <c r="I305" s="3">
        <f t="shared" si="131"/>
        <v>-4.0742513025215086</v>
      </c>
      <c r="J305" s="2">
        <f t="shared" si="110"/>
        <v>143.77067429760007</v>
      </c>
      <c r="K305" s="2">
        <f t="shared" si="132"/>
        <v>98.003186296932554</v>
      </c>
      <c r="L305" s="5">
        <f t="shared" si="111"/>
        <v>24.340285863787344</v>
      </c>
      <c r="M305" s="3">
        <f t="shared" si="112"/>
        <v>19.654658334118938</v>
      </c>
      <c r="N305" s="2">
        <v>0</v>
      </c>
      <c r="O305" s="2">
        <f t="shared" si="113"/>
        <v>143.77067429760007</v>
      </c>
      <c r="P305" s="2">
        <f t="shared" si="114"/>
        <v>98.003186296932554</v>
      </c>
      <c r="Q305" s="5">
        <f t="shared" si="115"/>
        <v>1.2116951695107074</v>
      </c>
      <c r="R305" s="5">
        <f t="shared" si="116"/>
        <v>0.16101401077153904</v>
      </c>
      <c r="S305" s="4">
        <f t="shared" si="133"/>
        <v>0.13670839641076254</v>
      </c>
      <c r="T305" s="5">
        <f t="shared" si="117"/>
        <v>0.10349743333363357</v>
      </c>
      <c r="U305" s="4">
        <f t="shared" si="118"/>
        <v>0</v>
      </c>
      <c r="V305" s="4">
        <f t="shared" si="119"/>
        <v>0</v>
      </c>
      <c r="W305" s="5">
        <f t="shared" si="120"/>
        <v>0</v>
      </c>
      <c r="X305" s="5">
        <f t="shared" si="121"/>
        <v>-18.904651282168675</v>
      </c>
      <c r="Y305" s="5">
        <f t="shared" si="122"/>
        <v>0.53594550063969715</v>
      </c>
      <c r="Z305" s="5">
        <f>1</f>
        <v>1</v>
      </c>
      <c r="AA305" s="5">
        <f>IF(M305=0,0,const*($T305/omega)*O305*(wy*I305-wz*(H305-V305))/Z305)</f>
        <v>0</v>
      </c>
      <c r="AB305" s="5">
        <f>IF(M305=0,0,const*($T305/omega)*O305*(wz*(G305-U305)-wx*I305)/Z305)</f>
        <v>0.34449786982588881</v>
      </c>
      <c r="AC305" s="5">
        <f>IF(M305=0,0,const*($T305/omega)*O305*(wx*(H305-V305)-wy*(G305-U305))/Z305)</f>
        <v>12.15163125492238</v>
      </c>
      <c r="AD305" s="5">
        <f t="shared" si="135"/>
        <v>0</v>
      </c>
      <c r="AE305" s="5">
        <f t="shared" si="135"/>
        <v>-18.560153412342785</v>
      </c>
      <c r="AF305" s="5">
        <f t="shared" si="123"/>
        <v>-19.486423244437923</v>
      </c>
      <c r="AG305">
        <f t="shared" si="134"/>
        <v>0</v>
      </c>
    </row>
    <row r="306" spans="1:33" x14ac:dyDescent="0.2">
      <c r="A306">
        <f t="shared" si="124"/>
        <v>2.7399999999999856</v>
      </c>
      <c r="B306" s="5">
        <f t="shared" si="125"/>
        <v>0</v>
      </c>
      <c r="C306" s="5">
        <f t="shared" si="126"/>
        <v>491.99203832702534</v>
      </c>
      <c r="D306" s="5">
        <f t="shared" si="127"/>
        <v>58.688103822916226</v>
      </c>
      <c r="E306" s="2">
        <f t="shared" si="109"/>
        <v>163.99734610900845</v>
      </c>
      <c r="F306" s="2">
        <f t="shared" si="128"/>
        <v>0</v>
      </c>
      <c r="G306" s="3">
        <f t="shared" si="129"/>
        <v>0</v>
      </c>
      <c r="H306" s="3">
        <f t="shared" si="130"/>
        <v>143.52733199765896</v>
      </c>
      <c r="I306" s="3">
        <f t="shared" si="131"/>
        <v>-4.2691155349658878</v>
      </c>
      <c r="J306" s="2">
        <f t="shared" si="110"/>
        <v>143.5908088208194</v>
      </c>
      <c r="K306" s="2">
        <f t="shared" si="132"/>
        <v>97.880578609965511</v>
      </c>
      <c r="L306" s="5">
        <f t="shared" si="111"/>
        <v>24.370775121127839</v>
      </c>
      <c r="M306" s="3">
        <f t="shared" si="112"/>
        <v>19.649352112347316</v>
      </c>
      <c r="N306" s="2">
        <v>0</v>
      </c>
      <c r="O306" s="2">
        <f t="shared" si="113"/>
        <v>143.5908088208194</v>
      </c>
      <c r="P306" s="2">
        <f t="shared" si="114"/>
        <v>97.880578609965511</v>
      </c>
      <c r="Q306" s="5">
        <f t="shared" si="115"/>
        <v>1.2101792683685473</v>
      </c>
      <c r="R306" s="5">
        <f t="shared" si="116"/>
        <v>0.16104204014363524</v>
      </c>
      <c r="S306" s="4">
        <f t="shared" si="133"/>
        <v>0.13684268703344982</v>
      </c>
      <c r="T306" s="5">
        <f t="shared" si="117"/>
        <v>0.1035380881621594</v>
      </c>
      <c r="U306" s="4">
        <f t="shared" si="118"/>
        <v>0</v>
      </c>
      <c r="V306" s="4">
        <f t="shared" si="119"/>
        <v>0</v>
      </c>
      <c r="W306" s="5">
        <f t="shared" si="120"/>
        <v>0</v>
      </c>
      <c r="X306" s="5">
        <f t="shared" si="121"/>
        <v>-18.859898706248401</v>
      </c>
      <c r="Y306" s="5">
        <f t="shared" si="122"/>
        <v>0.56097389559252275</v>
      </c>
      <c r="Z306" s="5">
        <f>1</f>
        <v>1</v>
      </c>
      <c r="AA306" s="5">
        <f>IF(M306=0,0,const*($T306/omega)*O306*(wy*I306-wz*(H306-V306))/Z306)</f>
        <v>0</v>
      </c>
      <c r="AB306" s="5">
        <f>IF(M306=0,0,const*($T306/omega)*O306*(wz*(G306-U306)-wx*I306)/Z306)</f>
        <v>0.3606646103509647</v>
      </c>
      <c r="AC306" s="5">
        <f>IF(M306=0,0,const*($T306/omega)*O306*(wx*(H306-V306)-wy*(G306-U306))/Z306)</f>
        <v>12.125516127560797</v>
      </c>
      <c r="AD306" s="5">
        <f t="shared" si="135"/>
        <v>0</v>
      </c>
      <c r="AE306" s="5">
        <f t="shared" si="135"/>
        <v>-18.499234095897435</v>
      </c>
      <c r="AF306" s="5">
        <f t="shared" si="123"/>
        <v>-19.487509976846681</v>
      </c>
      <c r="AG306">
        <f t="shared" si="134"/>
        <v>0</v>
      </c>
    </row>
    <row r="307" spans="1:33" x14ac:dyDescent="0.2">
      <c r="A307">
        <f t="shared" si="124"/>
        <v>2.7499999999999853</v>
      </c>
      <c r="B307" s="5">
        <f t="shared" si="125"/>
        <v>0</v>
      </c>
      <c r="C307" s="5">
        <f t="shared" si="126"/>
        <v>493.42638668529713</v>
      </c>
      <c r="D307" s="5">
        <f t="shared" si="127"/>
        <v>58.644438292067726</v>
      </c>
      <c r="E307" s="2">
        <f t="shared" si="109"/>
        <v>164.47546222843238</v>
      </c>
      <c r="F307" s="2">
        <f t="shared" si="128"/>
        <v>0</v>
      </c>
      <c r="G307" s="3">
        <f t="shared" si="129"/>
        <v>0</v>
      </c>
      <c r="H307" s="3">
        <f t="shared" si="130"/>
        <v>143.34233965669998</v>
      </c>
      <c r="I307" s="3">
        <f t="shared" si="131"/>
        <v>-4.4639906347343548</v>
      </c>
      <c r="J307" s="2">
        <f t="shared" si="110"/>
        <v>143.41183197576041</v>
      </c>
      <c r="K307" s="2">
        <f t="shared" si="132"/>
        <v>97.758576670593314</v>
      </c>
      <c r="L307" s="5">
        <f t="shared" si="111"/>
        <v>24.40118965793927</v>
      </c>
      <c r="M307" s="3">
        <f t="shared" si="112"/>
        <v>19.64405379870885</v>
      </c>
      <c r="N307" s="2">
        <v>0</v>
      </c>
      <c r="O307" s="2">
        <f t="shared" si="113"/>
        <v>143.41183197576041</v>
      </c>
      <c r="P307" s="2">
        <f t="shared" si="114"/>
        <v>97.758576670593314</v>
      </c>
      <c r="Q307" s="5">
        <f t="shared" si="115"/>
        <v>1.2086708565893596</v>
      </c>
      <c r="R307" s="5">
        <f t="shared" si="116"/>
        <v>0.16106997417901231</v>
      </c>
      <c r="S307" s="4">
        <f t="shared" si="133"/>
        <v>0.1369765208914499</v>
      </c>
      <c r="T307" s="5">
        <f t="shared" si="117"/>
        <v>0.10357858090179027</v>
      </c>
      <c r="U307" s="4">
        <f t="shared" si="118"/>
        <v>0</v>
      </c>
      <c r="V307" s="4">
        <f t="shared" si="119"/>
        <v>0</v>
      </c>
      <c r="W307" s="5">
        <f t="shared" si="120"/>
        <v>0</v>
      </c>
      <c r="X307" s="5">
        <f t="shared" si="121"/>
        <v>-18.81537593005428</v>
      </c>
      <c r="Y307" s="5">
        <f t="shared" si="122"/>
        <v>0.58595152096669889</v>
      </c>
      <c r="Z307" s="5">
        <f>1</f>
        <v>1</v>
      </c>
      <c r="AA307" s="5">
        <f>IF(M307=0,0,const*($T307/omega)*O307*(wy*I307-wz*(H307-V307))/Z307)</f>
        <v>0</v>
      </c>
      <c r="AB307" s="5">
        <f>IF(M307=0,0,const*($T307/omega)*O307*(wz*(G307-U307)-wx*I307)/Z307)</f>
        <v>0.37680534394028942</v>
      </c>
      <c r="AC307" s="5">
        <f>IF(M307=0,0,const*($T307/omega)*O307*(wx*(H307-V307)-wy*(G307-U307))/Z307)</f>
        <v>12.099523501523386</v>
      </c>
      <c r="AD307" s="5">
        <f t="shared" si="135"/>
        <v>0</v>
      </c>
      <c r="AE307" s="5">
        <f t="shared" si="135"/>
        <v>-18.43857058611399</v>
      </c>
      <c r="AF307" s="5">
        <f t="shared" si="123"/>
        <v>-19.488524977509915</v>
      </c>
      <c r="AG307">
        <f t="shared" si="134"/>
        <v>0</v>
      </c>
    </row>
    <row r="308" spans="1:33" x14ac:dyDescent="0.2">
      <c r="A308">
        <f t="shared" si="124"/>
        <v>2.7599999999999851</v>
      </c>
      <c r="B308" s="5">
        <f t="shared" si="125"/>
        <v>0</v>
      </c>
      <c r="C308" s="5">
        <f t="shared" si="126"/>
        <v>494.85888815333482</v>
      </c>
      <c r="D308" s="5">
        <f t="shared" si="127"/>
        <v>58.59882395947151</v>
      </c>
      <c r="E308" s="2">
        <f t="shared" si="109"/>
        <v>164.95296271777826</v>
      </c>
      <c r="F308" s="2">
        <f t="shared" si="128"/>
        <v>0</v>
      </c>
      <c r="G308" s="3">
        <f t="shared" si="129"/>
        <v>0</v>
      </c>
      <c r="H308" s="3">
        <f t="shared" si="130"/>
        <v>143.15795395083885</v>
      </c>
      <c r="I308" s="3">
        <f t="shared" si="131"/>
        <v>-4.6588758845094542</v>
      </c>
      <c r="J308" s="2">
        <f t="shared" si="110"/>
        <v>143.23374219749257</v>
      </c>
      <c r="K308" s="2">
        <f t="shared" si="132"/>
        <v>97.637179412060377</v>
      </c>
      <c r="L308" s="5">
        <f t="shared" si="111"/>
        <v>24.431528894972271</v>
      </c>
      <c r="M308" s="3">
        <f t="shared" si="112"/>
        <v>19.638763262207711</v>
      </c>
      <c r="N308" s="2">
        <v>0</v>
      </c>
      <c r="O308" s="2">
        <f t="shared" si="113"/>
        <v>143.23374219749257</v>
      </c>
      <c r="P308" s="2">
        <f t="shared" si="114"/>
        <v>97.637179412060377</v>
      </c>
      <c r="Q308" s="5">
        <f t="shared" si="115"/>
        <v>1.2071699209839546</v>
      </c>
      <c r="R308" s="5">
        <f t="shared" si="116"/>
        <v>0.1610978121221556</v>
      </c>
      <c r="S308" s="4">
        <f t="shared" si="133"/>
        <v>0.13710989436504092</v>
      </c>
      <c r="T308" s="5">
        <f t="shared" si="117"/>
        <v>0.10361891073862044</v>
      </c>
      <c r="U308" s="4">
        <f t="shared" si="118"/>
        <v>0</v>
      </c>
      <c r="V308" s="4">
        <f t="shared" si="119"/>
        <v>0</v>
      </c>
      <c r="W308" s="5">
        <f t="shared" si="120"/>
        <v>0</v>
      </c>
      <c r="X308" s="5">
        <f t="shared" si="121"/>
        <v>-18.771081793072501</v>
      </c>
      <c r="Y308" s="5">
        <f t="shared" si="122"/>
        <v>0.61087866848063133</v>
      </c>
      <c r="Z308" s="5">
        <f>1</f>
        <v>1</v>
      </c>
      <c r="AA308" s="5">
        <f>IF(M308=0,0,const*($T308/omega)*O308*(wy*I308-wz*(H308-V308))/Z308)</f>
        <v>0</v>
      </c>
      <c r="AB308" s="5">
        <f>IF(M308=0,0,const*($T308/omega)*O308*(wz*(G308-U308)-wx*I308)/Z308)</f>
        <v>0.39292018549218061</v>
      </c>
      <c r="AC308" s="5">
        <f>IF(M308=0,0,const*($T308/omega)*O308*(wx*(H308-V308)-wy*(G308-U308))/Z308)</f>
        <v>12.073652789951353</v>
      </c>
      <c r="AD308" s="5">
        <f t="shared" si="135"/>
        <v>0</v>
      </c>
      <c r="AE308" s="5">
        <f t="shared" si="135"/>
        <v>-18.378161607580321</v>
      </c>
      <c r="AF308" s="5">
        <f t="shared" si="123"/>
        <v>-19.489468541568016</v>
      </c>
      <c r="AG308">
        <f t="shared" si="134"/>
        <v>0</v>
      </c>
    </row>
    <row r="309" spans="1:33" x14ac:dyDescent="0.2">
      <c r="A309">
        <f t="shared" si="124"/>
        <v>2.7699999999999849</v>
      </c>
      <c r="B309" s="5">
        <f t="shared" si="125"/>
        <v>0</v>
      </c>
      <c r="C309" s="5">
        <f t="shared" si="126"/>
        <v>496.28954878476281</v>
      </c>
      <c r="D309" s="5">
        <f t="shared" si="127"/>
        <v>58.551260727199335</v>
      </c>
      <c r="E309" s="2">
        <f t="shared" si="109"/>
        <v>165.42984959492094</v>
      </c>
      <c r="F309" s="2">
        <f t="shared" si="128"/>
        <v>0</v>
      </c>
      <c r="G309" s="3">
        <f t="shared" si="129"/>
        <v>0</v>
      </c>
      <c r="H309" s="3">
        <f t="shared" si="130"/>
        <v>142.97417233476304</v>
      </c>
      <c r="I309" s="3">
        <f t="shared" si="131"/>
        <v>-4.8537705699251346</v>
      </c>
      <c r="J309" s="2">
        <f t="shared" si="110"/>
        <v>143.05653792663932</v>
      </c>
      <c r="K309" s="2">
        <f t="shared" si="132"/>
        <v>97.516385771396941</v>
      </c>
      <c r="L309" s="5">
        <f t="shared" si="111"/>
        <v>24.461792253266903</v>
      </c>
      <c r="M309" s="3">
        <f t="shared" si="112"/>
        <v>19.633480372257178</v>
      </c>
      <c r="N309" s="2">
        <v>0</v>
      </c>
      <c r="O309" s="2">
        <f t="shared" si="113"/>
        <v>143.05653792663932</v>
      </c>
      <c r="P309" s="2">
        <f t="shared" si="114"/>
        <v>97.516385771396941</v>
      </c>
      <c r="Q309" s="5">
        <f t="shared" si="115"/>
        <v>1.2056764484099503</v>
      </c>
      <c r="R309" s="5">
        <f t="shared" si="116"/>
        <v>0.16112555321805902</v>
      </c>
      <c r="S309" s="4">
        <f t="shared" si="133"/>
        <v>0.13724280383693757</v>
      </c>
      <c r="T309" s="5">
        <f t="shared" si="117"/>
        <v>0.10365907686034398</v>
      </c>
      <c r="U309" s="4">
        <f t="shared" si="118"/>
        <v>0</v>
      </c>
      <c r="V309" s="4">
        <f t="shared" si="119"/>
        <v>0</v>
      </c>
      <c r="W309" s="5">
        <f t="shared" si="120"/>
        <v>0</v>
      </c>
      <c r="X309" s="5">
        <f t="shared" si="121"/>
        <v>-18.727015142015812</v>
      </c>
      <c r="Y309" s="5">
        <f t="shared" si="122"/>
        <v>0.63575562966737253</v>
      </c>
      <c r="Z309" s="5">
        <f>1</f>
        <v>1</v>
      </c>
      <c r="AA309" s="5">
        <f>IF(M309=0,0,const*($T309/omega)*O309*(wy*I309-wz*(H309-V309))/Z309)</f>
        <v>0</v>
      </c>
      <c r="AB309" s="5">
        <f>IF(M309=0,0,const*($T309/omega)*O309*(wz*(G309-U309)-wx*I309)/Z309)</f>
        <v>0.40900925001572158</v>
      </c>
      <c r="AC309" s="5">
        <f>IF(M309=0,0,const*($T309/omega)*O309*(wx*(H309-V309)-wy*(G309-U309))/Z309)</f>
        <v>12.047903409485201</v>
      </c>
      <c r="AD309" s="5">
        <f t="shared" si="135"/>
        <v>0</v>
      </c>
      <c r="AE309" s="5">
        <f t="shared" si="135"/>
        <v>-18.318005892000091</v>
      </c>
      <c r="AF309" s="5">
        <f t="shared" si="123"/>
        <v>-19.490340960847426</v>
      </c>
      <c r="AG309">
        <f t="shared" si="134"/>
        <v>0</v>
      </c>
    </row>
    <row r="310" spans="1:33" x14ac:dyDescent="0.2">
      <c r="A310">
        <f t="shared" si="124"/>
        <v>2.7799999999999847</v>
      </c>
      <c r="B310" s="5">
        <f t="shared" si="125"/>
        <v>0</v>
      </c>
      <c r="C310" s="5">
        <f t="shared" si="126"/>
        <v>497.7183746078158</v>
      </c>
      <c r="D310" s="5">
        <f t="shared" si="127"/>
        <v>58.501748504452038</v>
      </c>
      <c r="E310" s="2">
        <f t="shared" si="109"/>
        <v>165.90612486927193</v>
      </c>
      <c r="F310" s="2">
        <f t="shared" si="128"/>
        <v>0</v>
      </c>
      <c r="G310" s="3">
        <f t="shared" si="129"/>
        <v>0</v>
      </c>
      <c r="H310" s="3">
        <f t="shared" si="130"/>
        <v>142.79099227584305</v>
      </c>
      <c r="I310" s="3">
        <f t="shared" si="131"/>
        <v>-5.0486739795336089</v>
      </c>
      <c r="J310" s="2">
        <f t="shared" si="110"/>
        <v>142.88021760926699</v>
      </c>
      <c r="K310" s="2">
        <f t="shared" si="132"/>
        <v>97.396194689343545</v>
      </c>
      <c r="L310" s="5">
        <f t="shared" si="111"/>
        <v>24.491979154195256</v>
      </c>
      <c r="M310" s="3">
        <f t="shared" si="112"/>
        <v>19.628204998678964</v>
      </c>
      <c r="N310" s="2">
        <v>0</v>
      </c>
      <c r="O310" s="2">
        <f t="shared" si="113"/>
        <v>142.88021760926699</v>
      </c>
      <c r="P310" s="2">
        <f t="shared" si="114"/>
        <v>97.396194689343545</v>
      </c>
      <c r="Q310" s="5">
        <f t="shared" si="115"/>
        <v>1.2041904257708382</v>
      </c>
      <c r="R310" s="5">
        <f t="shared" si="116"/>
        <v>0.16115319671228046</v>
      </c>
      <c r="S310" s="4">
        <f t="shared" si="133"/>
        <v>0.1373752456925563</v>
      </c>
      <c r="T310" s="5">
        <f t="shared" si="117"/>
        <v>0.10369907845631103</v>
      </c>
      <c r="U310" s="4">
        <f t="shared" si="118"/>
        <v>0</v>
      </c>
      <c r="V310" s="4">
        <f t="shared" si="119"/>
        <v>0</v>
      </c>
      <c r="W310" s="5">
        <f t="shared" si="120"/>
        <v>0</v>
      </c>
      <c r="X310" s="5">
        <f t="shared" si="121"/>
        <v>-18.683174830763662</v>
      </c>
      <c r="Y310" s="5">
        <f t="shared" si="122"/>
        <v>0.66058269586737361</v>
      </c>
      <c r="Z310" s="5">
        <f>1</f>
        <v>1</v>
      </c>
      <c r="AA310" s="5">
        <f>IF(M310=0,0,const*($T310/omega)*O310*(wy*I310-wz*(H310-V310))/Z310)</f>
        <v>0</v>
      </c>
      <c r="AB310" s="5">
        <f>IF(M310=0,0,const*($T310/omega)*O310*(wz*(G310-U310)-wx*I310)/Z310)</f>
        <v>0.42507265262589811</v>
      </c>
      <c r="AC310" s="5">
        <f>IF(M310=0,0,const*($T310/omega)*O310*(wx*(H310-V310)-wy*(G310-U310))/Z310)</f>
        <v>12.022274780235231</v>
      </c>
      <c r="AD310" s="5">
        <f t="shared" si="135"/>
        <v>0</v>
      </c>
      <c r="AE310" s="5">
        <f t="shared" si="135"/>
        <v>-18.258102178137765</v>
      </c>
      <c r="AF310" s="5">
        <f t="shared" si="123"/>
        <v>-19.491142523897395</v>
      </c>
      <c r="AG310">
        <f t="shared" si="134"/>
        <v>0</v>
      </c>
    </row>
    <row r="311" spans="1:33" x14ac:dyDescent="0.2">
      <c r="A311">
        <f t="shared" si="124"/>
        <v>2.7899999999999845</v>
      </c>
      <c r="B311" s="5">
        <f t="shared" si="125"/>
        <v>0</v>
      </c>
      <c r="C311" s="5">
        <f t="shared" si="126"/>
        <v>499.14537162546532</v>
      </c>
      <c r="D311" s="5">
        <f t="shared" si="127"/>
        <v>58.450287207530508</v>
      </c>
      <c r="E311" s="2">
        <f t="shared" si="109"/>
        <v>166.38179054182177</v>
      </c>
      <c r="F311" s="2">
        <f t="shared" si="128"/>
        <v>0</v>
      </c>
      <c r="G311" s="3">
        <f t="shared" si="129"/>
        <v>0</v>
      </c>
      <c r="H311" s="3">
        <f t="shared" si="130"/>
        <v>142.60841125406168</v>
      </c>
      <c r="I311" s="3">
        <f t="shared" si="131"/>
        <v>-5.2435854047725829</v>
      </c>
      <c r="J311" s="2">
        <f t="shared" si="110"/>
        <v>142.70477969677376</v>
      </c>
      <c r="K311" s="2">
        <f t="shared" si="132"/>
        <v>97.276605110275213</v>
      </c>
      <c r="L311" s="5">
        <f t="shared" si="111"/>
        <v>24.522089019504392</v>
      </c>
      <c r="M311" s="3">
        <f t="shared" si="112"/>
        <v>19.622937011702579</v>
      </c>
      <c r="N311" s="2">
        <v>0</v>
      </c>
      <c r="O311" s="2">
        <f t="shared" si="113"/>
        <v>142.70477969677376</v>
      </c>
      <c r="P311" s="2">
        <f t="shared" si="114"/>
        <v>97.276605110275213</v>
      </c>
      <c r="Q311" s="5">
        <f t="shared" si="115"/>
        <v>1.2027118400150458</v>
      </c>
      <c r="R311" s="5">
        <f t="shared" si="116"/>
        <v>0.16118074185099751</v>
      </c>
      <c r="S311" s="4">
        <f t="shared" si="133"/>
        <v>0.13750721632028287</v>
      </c>
      <c r="T311" s="5">
        <f t="shared" si="117"/>
        <v>0.10373891471758406</v>
      </c>
      <c r="U311" s="4">
        <f t="shared" si="118"/>
        <v>0</v>
      </c>
      <c r="V311" s="4">
        <f t="shared" si="119"/>
        <v>0</v>
      </c>
      <c r="W311" s="5">
        <f t="shared" si="120"/>
        <v>0</v>
      </c>
      <c r="X311" s="5">
        <f t="shared" si="121"/>
        <v>-18.639559720302803</v>
      </c>
      <c r="Y311" s="5">
        <f t="shared" si="122"/>
        <v>0.68536015822126339</v>
      </c>
      <c r="Z311" s="5">
        <f>1</f>
        <v>1</v>
      </c>
      <c r="AA311" s="5">
        <f>IF(M311=0,0,const*($T311/omega)*O311*(wy*I311-wz*(H311-V311))/Z311)</f>
        <v>0</v>
      </c>
      <c r="AB311" s="5">
        <f>IF(M311=0,0,const*($T311/omega)*O311*(wz*(G311-U311)-wx*I311)/Z311)</f>
        <v>0.44111050853874423</v>
      </c>
      <c r="AC311" s="5">
        <f>IF(M311=0,0,const*($T311/omega)*O311*(wx*(H311-V311)-wy*(G311-U311))/Z311)</f>
        <v>11.996766325752217</v>
      </c>
      <c r="AD311" s="5">
        <f t="shared" si="135"/>
        <v>0</v>
      </c>
      <c r="AE311" s="5">
        <f t="shared" si="135"/>
        <v>-18.198449211764057</v>
      </c>
      <c r="AF311" s="5">
        <f t="shared" si="123"/>
        <v>-19.491873516026519</v>
      </c>
      <c r="AG311">
        <f t="shared" si="134"/>
        <v>0</v>
      </c>
    </row>
    <row r="312" spans="1:33" x14ac:dyDescent="0.2">
      <c r="A312">
        <f t="shared" si="124"/>
        <v>2.7999999999999843</v>
      </c>
      <c r="B312" s="5">
        <f t="shared" si="125"/>
        <v>0</v>
      </c>
      <c r="C312" s="5">
        <f t="shared" si="126"/>
        <v>500.5705458155453</v>
      </c>
      <c r="D312" s="5">
        <f t="shared" si="127"/>
        <v>58.396876759806986</v>
      </c>
      <c r="E312" s="2">
        <f t="shared" si="109"/>
        <v>166.85684860518177</v>
      </c>
      <c r="F312" s="2">
        <f t="shared" si="128"/>
        <v>0</v>
      </c>
      <c r="G312" s="3">
        <f t="shared" si="129"/>
        <v>0</v>
      </c>
      <c r="H312" s="3">
        <f t="shared" si="130"/>
        <v>142.42642676194404</v>
      </c>
      <c r="I312" s="3">
        <f t="shared" si="131"/>
        <v>-5.4385041399328484</v>
      </c>
      <c r="J312" s="2">
        <f t="shared" si="110"/>
        <v>142.5302226457795</v>
      </c>
      <c r="K312" s="2">
        <f t="shared" si="132"/>
        <v>97.157615982126444</v>
      </c>
      <c r="L312" s="5">
        <f t="shared" si="111"/>
        <v>24.552121271359507</v>
      </c>
      <c r="M312" s="3">
        <f t="shared" si="112"/>
        <v>19.617676281964716</v>
      </c>
      <c r="N312" s="2">
        <v>0</v>
      </c>
      <c r="O312" s="2">
        <f t="shared" si="113"/>
        <v>142.5302226457795</v>
      </c>
      <c r="P312" s="2">
        <f t="shared" si="114"/>
        <v>97.157615982126444</v>
      </c>
      <c r="Q312" s="5">
        <f t="shared" si="115"/>
        <v>1.2012406781350093</v>
      </c>
      <c r="R312" s="5">
        <f t="shared" si="116"/>
        <v>0.16120818788106345</v>
      </c>
      <c r="S312" s="4">
        <f t="shared" si="133"/>
        <v>0.13763871211174047</v>
      </c>
      <c r="T312" s="5">
        <f t="shared" si="117"/>
        <v>0.10377858483699429</v>
      </c>
      <c r="U312" s="4">
        <f t="shared" si="118"/>
        <v>0</v>
      </c>
      <c r="V312" s="4">
        <f t="shared" si="119"/>
        <v>0</v>
      </c>
      <c r="W312" s="5">
        <f t="shared" si="120"/>
        <v>0</v>
      </c>
      <c r="X312" s="5">
        <f t="shared" si="121"/>
        <v>-18.59616867866843</v>
      </c>
      <c r="Y312" s="5">
        <f t="shared" si="122"/>
        <v>0.71008830766265429</v>
      </c>
      <c r="Z312" s="5">
        <f>1</f>
        <v>1</v>
      </c>
      <c r="AA312" s="5">
        <f>IF(M312=0,0,const*($T312/omega)*O312*(wy*I312-wz*(H312-V312))/Z312)</f>
        <v>0</v>
      </c>
      <c r="AB312" s="5">
        <f>IF(M312=0,0,const*($T312/omega)*O312*(wz*(G312-U312)-wx*I312)/Z312)</f>
        <v>0.45712293306649593</v>
      </c>
      <c r="AC312" s="5">
        <f>IF(M312=0,0,const*($T312/omega)*O312*(wx*(H312-V312)-wy*(G312-U312))/Z312)</f>
        <v>11.971377472998343</v>
      </c>
      <c r="AD312" s="5">
        <f t="shared" si="135"/>
        <v>0</v>
      </c>
      <c r="AE312" s="5">
        <f t="shared" si="135"/>
        <v>-18.139045745601933</v>
      </c>
      <c r="AF312" s="5">
        <f t="shared" si="123"/>
        <v>-19.492534219339003</v>
      </c>
      <c r="AG312">
        <f t="shared" si="134"/>
        <v>0</v>
      </c>
    </row>
    <row r="313" spans="1:33" x14ac:dyDescent="0.2">
      <c r="A313">
        <f t="shared" si="124"/>
        <v>2.8099999999999841</v>
      </c>
      <c r="B313" s="5">
        <f t="shared" si="125"/>
        <v>0</v>
      </c>
      <c r="C313" s="5">
        <f t="shared" si="126"/>
        <v>501.99390313087747</v>
      </c>
      <c r="D313" s="5">
        <f t="shared" si="127"/>
        <v>58.341517091696687</v>
      </c>
      <c r="E313" s="2">
        <f t="shared" si="109"/>
        <v>167.33130104362581</v>
      </c>
      <c r="F313" s="2">
        <f t="shared" si="128"/>
        <v>0</v>
      </c>
      <c r="G313" s="3">
        <f t="shared" si="129"/>
        <v>0</v>
      </c>
      <c r="H313" s="3">
        <f t="shared" si="130"/>
        <v>142.24503630448802</v>
      </c>
      <c r="I313" s="3">
        <f t="shared" si="131"/>
        <v>-5.6334294821262381</v>
      </c>
      <c r="J313" s="2">
        <f t="shared" si="110"/>
        <v>142.35654491801634</v>
      </c>
      <c r="K313" s="2">
        <f t="shared" si="132"/>
        <v>97.039226256316525</v>
      </c>
      <c r="L313" s="5">
        <f t="shared" si="111"/>
        <v>24.582075332387262</v>
      </c>
      <c r="M313" s="3">
        <f t="shared" si="112"/>
        <v>19.612422680508693</v>
      </c>
      <c r="N313" s="2">
        <v>0</v>
      </c>
      <c r="O313" s="2">
        <f t="shared" si="113"/>
        <v>142.35654491801634</v>
      </c>
      <c r="P313" s="2">
        <f t="shared" si="114"/>
        <v>97.039226256316525</v>
      </c>
      <c r="Q313" s="5">
        <f t="shared" si="115"/>
        <v>1.1997769271662506</v>
      </c>
      <c r="R313" s="5">
        <f t="shared" si="116"/>
        <v>0.16123553405006374</v>
      </c>
      <c r="S313" s="4">
        <f t="shared" si="133"/>
        <v>0.13776972946205993</v>
      </c>
      <c r="T313" s="5">
        <f t="shared" si="117"/>
        <v>0.10381808800919848</v>
      </c>
      <c r="U313" s="4">
        <f t="shared" si="118"/>
        <v>0</v>
      </c>
      <c r="V313" s="4">
        <f t="shared" si="119"/>
        <v>0</v>
      </c>
      <c r="W313" s="5">
        <f t="shared" si="120"/>
        <v>0</v>
      </c>
      <c r="X313" s="5">
        <f t="shared" si="121"/>
        <v>-18.553000580885886</v>
      </c>
      <c r="Y313" s="5">
        <f t="shared" si="122"/>
        <v>0.73476743491097907</v>
      </c>
      <c r="Z313" s="5">
        <f>1</f>
        <v>1</v>
      </c>
      <c r="AA313" s="5">
        <f>IF(M313=0,0,const*($T313/omega)*O313*(wy*I313-wz*(H313-V313))/Z313)</f>
        <v>0</v>
      </c>
      <c r="AB313" s="5">
        <f>IF(M313=0,0,const*($T313/omega)*O313*(wz*(G313-U313)-wx*I313)/Z313)</f>
        <v>0.47311004161275871</v>
      </c>
      <c r="AC313" s="5">
        <f>IF(M313=0,0,const*($T313/omega)*O313*(wx*(H313-V313)-wy*(G313-U313))/Z313)</f>
        <v>11.946107652318465</v>
      </c>
      <c r="AD313" s="5">
        <f t="shared" si="135"/>
        <v>0</v>
      </c>
      <c r="AE313" s="5">
        <f t="shared" si="135"/>
        <v>-18.079890539273126</v>
      </c>
      <c r="AF313" s="5">
        <f t="shared" si="123"/>
        <v>-19.493124912770554</v>
      </c>
      <c r="AG313">
        <f t="shared" si="134"/>
        <v>0</v>
      </c>
    </row>
    <row r="314" spans="1:33" x14ac:dyDescent="0.2">
      <c r="A314">
        <f t="shared" si="124"/>
        <v>2.8199999999999839</v>
      </c>
      <c r="B314" s="5">
        <f t="shared" si="125"/>
        <v>0</v>
      </c>
      <c r="C314" s="5">
        <f t="shared" si="126"/>
        <v>503.41544949939544</v>
      </c>
      <c r="D314" s="5">
        <f t="shared" si="127"/>
        <v>58.284208140629786</v>
      </c>
      <c r="E314" s="2">
        <f t="shared" si="109"/>
        <v>167.80514983313182</v>
      </c>
      <c r="F314" s="2">
        <f t="shared" si="128"/>
        <v>0</v>
      </c>
      <c r="G314" s="3">
        <f t="shared" si="129"/>
        <v>0</v>
      </c>
      <c r="H314" s="3">
        <f t="shared" si="130"/>
        <v>142.0642373990953</v>
      </c>
      <c r="I314" s="3">
        <f t="shared" si="131"/>
        <v>-5.8283607312539436</v>
      </c>
      <c r="J314" s="2">
        <f t="shared" si="110"/>
        <v>142.18374498021961</v>
      </c>
      <c r="K314" s="2">
        <f t="shared" si="132"/>
        <v>96.921434887675261</v>
      </c>
      <c r="L314" s="5">
        <f t="shared" si="111"/>
        <v>24.611950625719434</v>
      </c>
      <c r="M314" s="3">
        <f t="shared" si="112"/>
        <v>19.607176078783922</v>
      </c>
      <c r="N314" s="2">
        <v>0</v>
      </c>
      <c r="O314" s="2">
        <f t="shared" si="113"/>
        <v>142.18374498021961</v>
      </c>
      <c r="P314" s="2">
        <f t="shared" si="114"/>
        <v>96.921434887675261</v>
      </c>
      <c r="Q314" s="5">
        <f t="shared" si="115"/>
        <v>1.1983205741864584</v>
      </c>
      <c r="R314" s="5">
        <f t="shared" si="116"/>
        <v>0.16126277960637261</v>
      </c>
      <c r="S314" s="4">
        <f t="shared" si="133"/>
        <v>0.13790026477015108</v>
      </c>
      <c r="T314" s="5">
        <f t="shared" si="117"/>
        <v>0.10385742343073574</v>
      </c>
      <c r="U314" s="4">
        <f t="shared" si="118"/>
        <v>0</v>
      </c>
      <c r="V314" s="4">
        <f t="shared" si="119"/>
        <v>0</v>
      </c>
      <c r="W314" s="5">
        <f t="shared" si="120"/>
        <v>0</v>
      </c>
      <c r="X314" s="5">
        <f t="shared" si="121"/>
        <v>-18.510054308912839</v>
      </c>
      <c r="Y314" s="5">
        <f t="shared" si="122"/>
        <v>0.75939783046435061</v>
      </c>
      <c r="Z314" s="5">
        <f>1</f>
        <v>1</v>
      </c>
      <c r="AA314" s="5">
        <f>IF(M314=0,0,const*($T314/omega)*O314*(wy*I314-wz*(H314-V314))/Z314)</f>
        <v>0</v>
      </c>
      <c r="AB314" s="5">
        <f>IF(M314=0,0,const*($T314/omega)*O314*(wz*(G314-U314)-wx*I314)/Z314)</f>
        <v>0.48907194966768053</v>
      </c>
      <c r="AC314" s="5">
        <f>IF(M314=0,0,const*($T314/omega)*O314*(wx*(H314-V314)-wy*(G314-U314))/Z314)</f>
        <v>11.920956297411527</v>
      </c>
      <c r="AD314" s="5">
        <f t="shared" si="135"/>
        <v>0</v>
      </c>
      <c r="AE314" s="5">
        <f t="shared" si="135"/>
        <v>-18.02098235924516</v>
      </c>
      <c r="AF314" s="5">
        <f t="shared" si="123"/>
        <v>-19.493645872124119</v>
      </c>
      <c r="AG314">
        <f t="shared" si="134"/>
        <v>0</v>
      </c>
    </row>
    <row r="315" spans="1:33" x14ac:dyDescent="0.2">
      <c r="A315">
        <f t="shared" si="124"/>
        <v>2.8299999999999836</v>
      </c>
      <c r="B315" s="5">
        <f t="shared" si="125"/>
        <v>0</v>
      </c>
      <c r="C315" s="5">
        <f t="shared" si="126"/>
        <v>504.83519082426847</v>
      </c>
      <c r="D315" s="5">
        <f t="shared" si="127"/>
        <v>58.224949851023638</v>
      </c>
      <c r="E315" s="2">
        <f t="shared" si="109"/>
        <v>168.27839694142281</v>
      </c>
      <c r="F315" s="2">
        <f t="shared" si="128"/>
        <v>0</v>
      </c>
      <c r="G315" s="3">
        <f t="shared" si="129"/>
        <v>0</v>
      </c>
      <c r="H315" s="3">
        <f t="shared" si="130"/>
        <v>141.88402757550284</v>
      </c>
      <c r="I315" s="3">
        <f t="shared" si="131"/>
        <v>-6.0232971899751853</v>
      </c>
      <c r="J315" s="2">
        <f t="shared" si="110"/>
        <v>142.01182130401966</v>
      </c>
      <c r="K315" s="2">
        <f t="shared" si="132"/>
        <v>96.804240834369224</v>
      </c>
      <c r="L315" s="5">
        <f t="shared" si="111"/>
        <v>24.641746575036692</v>
      </c>
      <c r="M315" s="3">
        <f t="shared" si="112"/>
        <v>19.601936348645417</v>
      </c>
      <c r="N315" s="2">
        <v>0</v>
      </c>
      <c r="O315" s="2">
        <f t="shared" si="113"/>
        <v>142.01182130401966</v>
      </c>
      <c r="P315" s="2">
        <f t="shared" si="114"/>
        <v>96.804240834369224</v>
      </c>
      <c r="Q315" s="5">
        <f t="shared" si="115"/>
        <v>1.1968716063145766</v>
      </c>
      <c r="R315" s="5">
        <f t="shared" si="116"/>
        <v>0.16128992379920992</v>
      </c>
      <c r="S315" s="4">
        <f t="shared" si="133"/>
        <v>0.13803031443897537</v>
      </c>
      <c r="T315" s="5">
        <f t="shared" si="117"/>
        <v>0.10389659030008461</v>
      </c>
      <c r="U315" s="4">
        <f t="shared" si="118"/>
        <v>0</v>
      </c>
      <c r="V315" s="4">
        <f t="shared" si="119"/>
        <v>0</v>
      </c>
      <c r="W315" s="5">
        <f t="shared" si="120"/>
        <v>0</v>
      </c>
      <c r="X315" s="5">
        <f t="shared" si="121"/>
        <v>-18.467328751582006</v>
      </c>
      <c r="Y315" s="5">
        <f t="shared" si="122"/>
        <v>0.78397978459244921</v>
      </c>
      <c r="Z315" s="5">
        <f>1</f>
        <v>1</v>
      </c>
      <c r="AA315" s="5">
        <f>IF(M315=0,0,const*($T315/omega)*O315*(wy*I315-wz*(H315-V315))/Z315)</f>
        <v>0</v>
      </c>
      <c r="AB315" s="5">
        <f>IF(M315=0,0,const*($T315/omega)*O315*(wz*(G315-U315)-wx*I315)/Z315)</f>
        <v>0.50500877280313583</v>
      </c>
      <c r="AC315" s="5">
        <f>IF(M315=0,0,const*($T315/omega)*O315*(wx*(H315-V315)-wy*(G315-U315))/Z315)</f>
        <v>11.895922845302302</v>
      </c>
      <c r="AD315" s="5">
        <f t="shared" si="135"/>
        <v>0</v>
      </c>
      <c r="AE315" s="5">
        <f t="shared" si="135"/>
        <v>-17.962319978778869</v>
      </c>
      <c r="AF315" s="5">
        <f t="shared" si="123"/>
        <v>-19.494097370105248</v>
      </c>
      <c r="AG315">
        <f t="shared" si="134"/>
        <v>0</v>
      </c>
    </row>
    <row r="316" spans="1:33" x14ac:dyDescent="0.2">
      <c r="A316">
        <f t="shared" si="124"/>
        <v>2.8399999999999834</v>
      </c>
      <c r="B316" s="5">
        <f t="shared" si="125"/>
        <v>0</v>
      </c>
      <c r="C316" s="5">
        <f t="shared" si="126"/>
        <v>506.25313298402455</v>
      </c>
      <c r="D316" s="5">
        <f t="shared" si="127"/>
        <v>58.163742174255383</v>
      </c>
      <c r="E316" s="2">
        <f t="shared" si="109"/>
        <v>168.75104432800819</v>
      </c>
      <c r="F316" s="2">
        <f t="shared" si="128"/>
        <v>0</v>
      </c>
      <c r="G316" s="3">
        <f t="shared" si="129"/>
        <v>0</v>
      </c>
      <c r="H316" s="3">
        <f t="shared" si="130"/>
        <v>141.70440437571506</v>
      </c>
      <c r="I316" s="3">
        <f t="shared" si="131"/>
        <v>-6.2182381636762374</v>
      </c>
      <c r="J316" s="2">
        <f t="shared" si="110"/>
        <v>141.84077236583411</v>
      </c>
      <c r="K316" s="2">
        <f t="shared" si="132"/>
        <v>96.687643057828296</v>
      </c>
      <c r="L316" s="5">
        <f t="shared" si="111"/>
        <v>24.671462604612632</v>
      </c>
      <c r="M316" s="3">
        <f t="shared" si="112"/>
        <v>19.596703362353328</v>
      </c>
      <c r="N316" s="2">
        <v>0</v>
      </c>
      <c r="O316" s="2">
        <f t="shared" si="113"/>
        <v>141.84077236583411</v>
      </c>
      <c r="P316" s="2">
        <f t="shared" si="114"/>
        <v>96.687643057828296</v>
      </c>
      <c r="Q316" s="5">
        <f t="shared" si="115"/>
        <v>1.1954300107098963</v>
      </c>
      <c r="R316" s="5">
        <f t="shared" si="116"/>
        <v>0.1613169658786984</v>
      </c>
      <c r="S316" s="4">
        <f t="shared" si="133"/>
        <v>0.13815987487582013</v>
      </c>
      <c r="T316" s="5">
        <f t="shared" si="117"/>
        <v>0.10393558781772018</v>
      </c>
      <c r="U316" s="4">
        <f t="shared" si="118"/>
        <v>0</v>
      </c>
      <c r="V316" s="4">
        <f t="shared" si="119"/>
        <v>0</v>
      </c>
      <c r="W316" s="5">
        <f t="shared" si="120"/>
        <v>0</v>
      </c>
      <c r="X316" s="5">
        <f t="shared" si="121"/>
        <v>-18.424822804544405</v>
      </c>
      <c r="Y316" s="5">
        <f t="shared" si="122"/>
        <v>0.80851358732943501</v>
      </c>
      <c r="Z316" s="5">
        <f>1</f>
        <v>1</v>
      </c>
      <c r="AA316" s="5">
        <f>IF(M316=0,0,const*($T316/omega)*O316*(wy*I316-wz*(H316-V316))/Z316)</f>
        <v>0</v>
      </c>
      <c r="AB316" s="5">
        <f>IF(M316=0,0,const*($T316/omega)*O316*(wz*(G316-U316)-wx*I316)/Z316)</f>
        <v>0.52092062666791639</v>
      </c>
      <c r="AC316" s="5">
        <f>IF(M316=0,0,const*($T316/omega)*O316*(wx*(H316-V316)-wy*(G316-U316))/Z316)</f>
        <v>11.871006736313342</v>
      </c>
      <c r="AD316" s="5">
        <f t="shared" si="135"/>
        <v>0</v>
      </c>
      <c r="AE316" s="5">
        <f t="shared" si="135"/>
        <v>-17.903902177876489</v>
      </c>
      <c r="AF316" s="5">
        <f t="shared" si="123"/>
        <v>-19.494479676357223</v>
      </c>
      <c r="AG316">
        <f t="shared" si="134"/>
        <v>0</v>
      </c>
    </row>
    <row r="317" spans="1:33" x14ac:dyDescent="0.2">
      <c r="A317">
        <f t="shared" si="124"/>
        <v>2.8499999999999832</v>
      </c>
      <c r="B317" s="5">
        <f t="shared" si="125"/>
        <v>0</v>
      </c>
      <c r="C317" s="5">
        <f t="shared" si="126"/>
        <v>507.66928183267277</v>
      </c>
      <c r="D317" s="5">
        <f t="shared" si="127"/>
        <v>58.100585068634807</v>
      </c>
      <c r="E317" s="2">
        <f t="shared" si="109"/>
        <v>169.22309394422425</v>
      </c>
      <c r="F317" s="2">
        <f t="shared" si="128"/>
        <v>0</v>
      </c>
      <c r="G317" s="3">
        <f t="shared" si="129"/>
        <v>0</v>
      </c>
      <c r="H317" s="3">
        <f t="shared" si="130"/>
        <v>141.52536535393628</v>
      </c>
      <c r="I317" s="3">
        <f t="shared" si="131"/>
        <v>-6.4131829604398094</v>
      </c>
      <c r="J317" s="2">
        <f t="shared" si="110"/>
        <v>141.67059664676091</v>
      </c>
      <c r="K317" s="2">
        <f t="shared" si="132"/>
        <v>96.571640522672737</v>
      </c>
      <c r="L317" s="5">
        <f t="shared" si="111"/>
        <v>24.701098139358042</v>
      </c>
      <c r="M317" s="3">
        <f t="shared" si="112"/>
        <v>19.591476992572534</v>
      </c>
      <c r="N317" s="2">
        <v>0</v>
      </c>
      <c r="O317" s="2">
        <f t="shared" si="113"/>
        <v>141.67059664676091</v>
      </c>
      <c r="P317" s="2">
        <f t="shared" si="114"/>
        <v>96.571640522672737</v>
      </c>
      <c r="Q317" s="5">
        <f t="shared" si="115"/>
        <v>1.1939957745711536</v>
      </c>
      <c r="R317" s="5">
        <f t="shared" si="116"/>
        <v>0.1613439050959212</v>
      </c>
      <c r="S317" s="4">
        <f t="shared" si="133"/>
        <v>0.13828894249257379</v>
      </c>
      <c r="T317" s="5">
        <f t="shared" si="117"/>
        <v>0.1039744151861715</v>
      </c>
      <c r="U317" s="4">
        <f t="shared" si="118"/>
        <v>0</v>
      </c>
      <c r="V317" s="4">
        <f t="shared" si="119"/>
        <v>0</v>
      </c>
      <c r="W317" s="5">
        <f t="shared" si="120"/>
        <v>0</v>
      </c>
      <c r="X317" s="5">
        <f t="shared" si="121"/>
        <v>-18.382535370213052</v>
      </c>
      <c r="Y317" s="5">
        <f t="shared" si="122"/>
        <v>0.8329995284668843</v>
      </c>
      <c r="Z317" s="5">
        <f>1</f>
        <v>1</v>
      </c>
      <c r="AA317" s="5">
        <f>IF(M317=0,0,const*($T317/omega)*O317*(wy*I317-wz*(H317-V317))/Z317)</f>
        <v>0</v>
      </c>
      <c r="AB317" s="5">
        <f>IF(M317=0,0,const*($T317/omega)*O317*(wz*(G317-U317)-wx*I317)/Z317)</f>
        <v>0.53680762698293238</v>
      </c>
      <c r="AC317" s="5">
        <f>IF(M317=0,0,const*($T317/omega)*O317*(wx*(H317-V317)-wy*(G317-U317))/Z317)</f>
        <v>11.846207414037192</v>
      </c>
      <c r="AD317" s="5">
        <f t="shared" si="135"/>
        <v>0</v>
      </c>
      <c r="AE317" s="5">
        <f t="shared" si="135"/>
        <v>-17.845727743230121</v>
      </c>
      <c r="AF317" s="5">
        <f t="shared" si="123"/>
        <v>-19.494793057495926</v>
      </c>
      <c r="AG317">
        <f t="shared" si="134"/>
        <v>0</v>
      </c>
    </row>
    <row r="318" spans="1:33" x14ac:dyDescent="0.2">
      <c r="A318">
        <f t="shared" si="124"/>
        <v>2.859999999999983</v>
      </c>
      <c r="B318" s="5">
        <f t="shared" si="125"/>
        <v>0</v>
      </c>
      <c r="C318" s="5">
        <f t="shared" si="126"/>
        <v>509.08364319982496</v>
      </c>
      <c r="D318" s="5">
        <f t="shared" si="127"/>
        <v>58.035478499377533</v>
      </c>
      <c r="E318" s="2">
        <f t="shared" si="109"/>
        <v>169.69454773327499</v>
      </c>
      <c r="F318" s="2">
        <f t="shared" si="128"/>
        <v>0</v>
      </c>
      <c r="G318" s="3">
        <f t="shared" si="129"/>
        <v>0</v>
      </c>
      <c r="H318" s="3">
        <f t="shared" si="130"/>
        <v>141.34690807650398</v>
      </c>
      <c r="I318" s="3">
        <f t="shared" si="131"/>
        <v>-6.6081308910147687</v>
      </c>
      <c r="J318" s="2">
        <f t="shared" si="110"/>
        <v>141.50129263247192</v>
      </c>
      <c r="K318" s="2">
        <f t="shared" si="132"/>
        <v>96.456232196640698</v>
      </c>
      <c r="L318" s="5">
        <f t="shared" si="111"/>
        <v>24.730652604865302</v>
      </c>
      <c r="M318" s="3">
        <f t="shared" si="112"/>
        <v>19.58625711237223</v>
      </c>
      <c r="N318" s="2">
        <v>0</v>
      </c>
      <c r="O318" s="2">
        <f t="shared" si="113"/>
        <v>141.50129263247192</v>
      </c>
      <c r="P318" s="2">
        <f t="shared" si="114"/>
        <v>96.456232196640698</v>
      </c>
      <c r="Q318" s="5">
        <f t="shared" si="115"/>
        <v>1.1925688851356342</v>
      </c>
      <c r="R318" s="5">
        <f t="shared" si="116"/>
        <v>0.16137074070297949</v>
      </c>
      <c r="S318" s="4">
        <f t="shared" si="133"/>
        <v>0.13841751370600236</v>
      </c>
      <c r="T318" s="5">
        <f t="shared" si="117"/>
        <v>0.10401307161007903</v>
      </c>
      <c r="U318" s="4">
        <f t="shared" si="118"/>
        <v>0</v>
      </c>
      <c r="V318" s="4">
        <f t="shared" si="119"/>
        <v>0</v>
      </c>
      <c r="W318" s="5">
        <f t="shared" si="120"/>
        <v>0</v>
      </c>
      <c r="X318" s="5">
        <f t="shared" si="121"/>
        <v>-18.340465357707242</v>
      </c>
      <c r="Y318" s="5">
        <f t="shared" si="122"/>
        <v>0.85743789754675104</v>
      </c>
      <c r="Z318" s="5">
        <f>1</f>
        <v>1</v>
      </c>
      <c r="AA318" s="5">
        <f>IF(M318=0,0,const*($T318/omega)*O318*(wy*I318-wz*(H318-V318))/Z318)</f>
        <v>0</v>
      </c>
      <c r="AB318" s="5">
        <f>IF(M318=0,0,const*($T318/omega)*O318*(wz*(G318-U318)-wx*I318)/Z318)</f>
        <v>0.55266988953641905</v>
      </c>
      <c r="AC318" s="5">
        <f>IF(M318=0,0,const*($T318/omega)*O318*(wx*(H318-V318)-wy*(G318-U318))/Z318)</f>
        <v>11.821524325308834</v>
      </c>
      <c r="AD318" s="5">
        <f t="shared" si="135"/>
        <v>0</v>
      </c>
      <c r="AE318" s="5">
        <f t="shared" si="135"/>
        <v>-17.787795468170824</v>
      </c>
      <c r="AF318" s="5">
        <f t="shared" si="123"/>
        <v>-19.495037777144415</v>
      </c>
      <c r="AG318">
        <f t="shared" si="134"/>
        <v>0</v>
      </c>
    </row>
    <row r="319" spans="1:33" x14ac:dyDescent="0.2">
      <c r="A319">
        <f t="shared" si="124"/>
        <v>2.8699999999999828</v>
      </c>
      <c r="B319" s="5">
        <f t="shared" si="125"/>
        <v>0</v>
      </c>
      <c r="C319" s="5">
        <f t="shared" si="126"/>
        <v>510.49622289081657</v>
      </c>
      <c r="D319" s="5">
        <f t="shared" si="127"/>
        <v>57.968422438578528</v>
      </c>
      <c r="E319" s="2">
        <f t="shared" si="109"/>
        <v>170.1654076302722</v>
      </c>
      <c r="F319" s="2">
        <f t="shared" si="128"/>
        <v>0</v>
      </c>
      <c r="G319" s="3">
        <f t="shared" si="129"/>
        <v>0</v>
      </c>
      <c r="H319" s="3">
        <f t="shared" si="130"/>
        <v>141.16903012182226</v>
      </c>
      <c r="I319" s="3">
        <f t="shared" si="131"/>
        <v>-6.8030812687862126</v>
      </c>
      <c r="J319" s="2">
        <f t="shared" si="110"/>
        <v>141.33285881310712</v>
      </c>
      <c r="K319" s="2">
        <f t="shared" si="132"/>
        <v>96.3414170505161</v>
      </c>
      <c r="L319" s="5">
        <f t="shared" si="111"/>
        <v>24.760125427453072</v>
      </c>
      <c r="M319" s="3">
        <f t="shared" si="112"/>
        <v>19.581043595225616</v>
      </c>
      <c r="N319" s="2">
        <v>0</v>
      </c>
      <c r="O319" s="2">
        <f t="shared" si="113"/>
        <v>141.33285881310712</v>
      </c>
      <c r="P319" s="2">
        <f t="shared" si="114"/>
        <v>96.3414170505161</v>
      </c>
      <c r="Q319" s="5">
        <f t="shared" si="115"/>
        <v>1.1911493296782807</v>
      </c>
      <c r="R319" s="5">
        <f t="shared" si="116"/>
        <v>0.1613974719530506</v>
      </c>
      <c r="S319" s="4">
        <f t="shared" si="133"/>
        <v>0.13854558493802774</v>
      </c>
      <c r="T319" s="5">
        <f t="shared" si="117"/>
        <v>0.10405155629625233</v>
      </c>
      <c r="U319" s="4">
        <f t="shared" si="118"/>
        <v>0</v>
      </c>
      <c r="V319" s="4">
        <f t="shared" si="119"/>
        <v>0</v>
      </c>
      <c r="W319" s="5">
        <f t="shared" si="120"/>
        <v>0</v>
      </c>
      <c r="X319" s="5">
        <f t="shared" si="121"/>
        <v>-18.298611682797254</v>
      </c>
      <c r="Y319" s="5">
        <f t="shared" si="122"/>
        <v>0.88182898385434938</v>
      </c>
      <c r="Z319" s="5">
        <f>1</f>
        <v>1</v>
      </c>
      <c r="AA319" s="5">
        <f>IF(M319=0,0,const*($T319/omega)*O319*(wy*I319-wz*(H319-V319))/Z319)</f>
        <v>0</v>
      </c>
      <c r="AB319" s="5">
        <f>IF(M319=0,0,const*($T319/omega)*O319*(wz*(G319-U319)-wx*I319)/Z319)</f>
        <v>0.56850753017915245</v>
      </c>
      <c r="AC319" s="5">
        <f>IF(M319=0,0,const*($T319/omega)*O319*(wx*(H319-V319)-wy*(G319-U319))/Z319)</f>
        <v>11.796956920178399</v>
      </c>
      <c r="AD319" s="5">
        <f t="shared" si="135"/>
        <v>0</v>
      </c>
      <c r="AE319" s="5">
        <f t="shared" si="135"/>
        <v>-17.730104152618104</v>
      </c>
      <c r="AF319" s="5">
        <f t="shared" si="123"/>
        <v>-19.495214095967249</v>
      </c>
      <c r="AG319">
        <f t="shared" si="134"/>
        <v>0</v>
      </c>
    </row>
    <row r="320" spans="1:33" x14ac:dyDescent="0.2">
      <c r="A320">
        <f t="shared" si="124"/>
        <v>2.8799999999999826</v>
      </c>
      <c r="B320" s="5">
        <f t="shared" si="125"/>
        <v>0</v>
      </c>
      <c r="C320" s="5">
        <f t="shared" si="126"/>
        <v>511.90702668682718</v>
      </c>
      <c r="D320" s="5">
        <f t="shared" si="127"/>
        <v>57.89941686518587</v>
      </c>
      <c r="E320" s="2">
        <f t="shared" si="109"/>
        <v>170.63567556227574</v>
      </c>
      <c r="F320" s="2">
        <f t="shared" si="128"/>
        <v>0</v>
      </c>
      <c r="G320" s="3">
        <f t="shared" si="129"/>
        <v>0</v>
      </c>
      <c r="H320" s="3">
        <f t="shared" si="130"/>
        <v>140.99172908029607</v>
      </c>
      <c r="I320" s="3">
        <f t="shared" si="131"/>
        <v>-6.9980334097458847</v>
      </c>
      <c r="J320" s="2">
        <f t="shared" si="110"/>
        <v>141.16529368316961</v>
      </c>
      <c r="K320" s="2">
        <f t="shared" si="132"/>
        <v>96.22719405805698</v>
      </c>
      <c r="L320" s="5">
        <f t="shared" si="111"/>
        <v>24.789516034211079</v>
      </c>
      <c r="M320" s="3">
        <f t="shared" si="112"/>
        <v>19.575836315009521</v>
      </c>
      <c r="N320" s="2">
        <v>0</v>
      </c>
      <c r="O320" s="2">
        <f t="shared" si="113"/>
        <v>141.16529368316961</v>
      </c>
      <c r="P320" s="2">
        <f t="shared" si="114"/>
        <v>96.22719405805698</v>
      </c>
      <c r="Q320" s="5">
        <f t="shared" si="115"/>
        <v>1.1897370955108073</v>
      </c>
      <c r="R320" s="5">
        <f t="shared" si="116"/>
        <v>0.16142409810044614</v>
      </c>
      <c r="S320" s="4">
        <f t="shared" si="133"/>
        <v>0.13867315261600624</v>
      </c>
      <c r="T320" s="5">
        <f t="shared" si="117"/>
        <v>0.10408986845372781</v>
      </c>
      <c r="U320" s="4">
        <f t="shared" si="118"/>
        <v>0</v>
      </c>
      <c r="V320" s="4">
        <f t="shared" si="119"/>
        <v>0</v>
      </c>
      <c r="W320" s="5">
        <f t="shared" si="120"/>
        <v>0</v>
      </c>
      <c r="X320" s="5">
        <f t="shared" si="121"/>
        <v>-18.256973267849624</v>
      </c>
      <c r="Y320" s="5">
        <f t="shared" si="122"/>
        <v>0.90617307641136202</v>
      </c>
      <c r="Z320" s="5">
        <f>1</f>
        <v>1</v>
      </c>
      <c r="AA320" s="5">
        <f>IF(M320=0,0,const*($T320/omega)*O320*(wy*I320-wz*(H320-V320))/Z320)</f>
        <v>0</v>
      </c>
      <c r="AB320" s="5">
        <f>IF(M320=0,0,const*($T320/omega)*O320*(wz*(G320-U320)-wx*I320)/Z320)</f>
        <v>0.58432066481967126</v>
      </c>
      <c r="AC320" s="5">
        <f>IF(M320=0,0,const*($T320/omega)*O320*(wx*(H320-V320)-wy*(G320-U320))/Z320)</f>
        <v>11.772504651884072</v>
      </c>
      <c r="AD320" s="5">
        <f t="shared" si="135"/>
        <v>0</v>
      </c>
      <c r="AE320" s="5">
        <f t="shared" si="135"/>
        <v>-17.672652603029952</v>
      </c>
      <c r="AF320" s="5">
        <f t="shared" si="123"/>
        <v>-19.495322271704566</v>
      </c>
      <c r="AG320">
        <f t="shared" si="134"/>
        <v>0</v>
      </c>
    </row>
    <row r="321" spans="1:33" x14ac:dyDescent="0.2">
      <c r="A321">
        <f t="shared" si="124"/>
        <v>2.8899999999999824</v>
      </c>
      <c r="B321" s="5">
        <f t="shared" si="125"/>
        <v>0</v>
      </c>
      <c r="C321" s="5">
        <f t="shared" si="126"/>
        <v>513.31606034499998</v>
      </c>
      <c r="D321" s="5">
        <f t="shared" si="127"/>
        <v>57.828461764974826</v>
      </c>
      <c r="E321" s="2">
        <f t="shared" si="109"/>
        <v>171.10535344833332</v>
      </c>
      <c r="F321" s="2">
        <f t="shared" si="128"/>
        <v>0</v>
      </c>
      <c r="G321" s="3">
        <f t="shared" si="129"/>
        <v>0</v>
      </c>
      <c r="H321" s="3">
        <f t="shared" si="130"/>
        <v>140.81500255426576</v>
      </c>
      <c r="I321" s="3">
        <f t="shared" si="131"/>
        <v>-7.1929866324629304</v>
      </c>
      <c r="J321" s="2">
        <f t="shared" si="110"/>
        <v>140.99859574142098</v>
      </c>
      <c r="K321" s="2">
        <f t="shared" si="132"/>
        <v>96.113562195924317</v>
      </c>
      <c r="L321" s="5">
        <f t="shared" si="111"/>
        <v>24.818823853045149</v>
      </c>
      <c r="M321" s="3">
        <f t="shared" si="112"/>
        <v>19.570635146004168</v>
      </c>
      <c r="N321" s="2">
        <v>0</v>
      </c>
      <c r="O321" s="2">
        <f t="shared" si="113"/>
        <v>140.99859574142098</v>
      </c>
      <c r="P321" s="2">
        <f t="shared" si="114"/>
        <v>96.113562195924317</v>
      </c>
      <c r="Q321" s="5">
        <f t="shared" si="115"/>
        <v>1.18833216998082</v>
      </c>
      <c r="R321" s="5">
        <f t="shared" si="116"/>
        <v>0.16145061840067051</v>
      </c>
      <c r="S321" s="4">
        <f t="shared" si="133"/>
        <v>0.13880021317300911</v>
      </c>
      <c r="T321" s="5">
        <f t="shared" si="117"/>
        <v>0.10412800729382664</v>
      </c>
      <c r="U321" s="4">
        <f t="shared" si="118"/>
        <v>0</v>
      </c>
      <c r="V321" s="4">
        <f t="shared" si="119"/>
        <v>0</v>
      </c>
      <c r="W321" s="5">
        <f t="shared" si="120"/>
        <v>0</v>
      </c>
      <c r="X321" s="5">
        <f t="shared" si="121"/>
        <v>-18.215549041772832</v>
      </c>
      <c r="Y321" s="5">
        <f t="shared" si="122"/>
        <v>0.93047046396886746</v>
      </c>
      <c r="Z321" s="5">
        <f>1</f>
        <v>1</v>
      </c>
      <c r="AA321" s="5">
        <f>IF(M321=0,0,const*($T321/omega)*O321*(wy*I321-wz*(H321-V321))/Z321)</f>
        <v>0</v>
      </c>
      <c r="AB321" s="5">
        <f>IF(M321=0,0,const*($T321/omega)*O321*(wz*(G321-U321)-wx*I321)/Z321)</f>
        <v>0.60010940941950663</v>
      </c>
      <c r="AC321" s="5">
        <f>IF(M321=0,0,const*($T321/omega)*O321*(wx*(H321-V321)-wy*(G321-U321))/Z321)</f>
        <v>11.748166976825289</v>
      </c>
      <c r="AD321" s="5">
        <f t="shared" si="135"/>
        <v>0</v>
      </c>
      <c r="AE321" s="5">
        <f t="shared" si="135"/>
        <v>-17.615439632353326</v>
      </c>
      <c r="AF321" s="5">
        <f t="shared" si="123"/>
        <v>-19.495362559205844</v>
      </c>
      <c r="AG321">
        <f t="shared" si="134"/>
        <v>0</v>
      </c>
    </row>
    <row r="322" spans="1:33" x14ac:dyDescent="0.2">
      <c r="A322">
        <f t="shared" si="124"/>
        <v>2.8999999999999821</v>
      </c>
      <c r="B322" s="5">
        <f t="shared" si="125"/>
        <v>0</v>
      </c>
      <c r="C322" s="5">
        <f t="shared" si="126"/>
        <v>514.72332959856101</v>
      </c>
      <c r="D322" s="5">
        <f t="shared" si="127"/>
        <v>57.755557130522234</v>
      </c>
      <c r="E322" s="2">
        <f t="shared" si="109"/>
        <v>171.57444319952035</v>
      </c>
      <c r="F322" s="2">
        <f t="shared" si="128"/>
        <v>0</v>
      </c>
      <c r="G322" s="3">
        <f t="shared" si="129"/>
        <v>0</v>
      </c>
      <c r="H322" s="3">
        <f t="shared" si="130"/>
        <v>140.63884815794222</v>
      </c>
      <c r="I322" s="3">
        <f t="shared" si="131"/>
        <v>-7.3879402580549884</v>
      </c>
      <c r="J322" s="2">
        <f t="shared" si="110"/>
        <v>140.83276349077767</v>
      </c>
      <c r="K322" s="2">
        <f t="shared" si="132"/>
        <v>96.000520443611222</v>
      </c>
      <c r="L322" s="5">
        <f t="shared" si="111"/>
        <v>24.848048312722387</v>
      </c>
      <c r="M322" s="3">
        <f t="shared" si="112"/>
        <v>19.565439962892896</v>
      </c>
      <c r="N322" s="2">
        <v>0</v>
      </c>
      <c r="O322" s="2">
        <f t="shared" si="113"/>
        <v>140.83276349077767</v>
      </c>
      <c r="P322" s="2">
        <f t="shared" si="114"/>
        <v>96.000520443611222</v>
      </c>
      <c r="Q322" s="5">
        <f t="shared" si="115"/>
        <v>1.1869345404709408</v>
      </c>
      <c r="R322" s="5">
        <f t="shared" si="116"/>
        <v>0.16147703211047967</v>
      </c>
      <c r="S322" s="4">
        <f t="shared" si="133"/>
        <v>0.13892676304810367</v>
      </c>
      <c r="T322" s="5">
        <f t="shared" si="117"/>
        <v>0.10416597203021273</v>
      </c>
      <c r="U322" s="4">
        <f t="shared" si="118"/>
        <v>0</v>
      </c>
      <c r="V322" s="4">
        <f t="shared" si="119"/>
        <v>0</v>
      </c>
      <c r="W322" s="5">
        <f t="shared" si="120"/>
        <v>0</v>
      </c>
      <c r="X322" s="5">
        <f t="shared" si="121"/>
        <v>-18.174337939963536</v>
      </c>
      <c r="Y322" s="5">
        <f t="shared" si="122"/>
        <v>0.95472143500039164</v>
      </c>
      <c r="Z322" s="5">
        <f>1</f>
        <v>1</v>
      </c>
      <c r="AA322" s="5">
        <f>IF(M322=0,0,const*($T322/omega)*O322*(wy*I322-wz*(H322-V322))/Z322)</f>
        <v>0</v>
      </c>
      <c r="AB322" s="5">
        <f>IF(M322=0,0,const*($T322/omega)*O322*(wz*(G322-U322)-wx*I322)/Z322)</f>
        <v>0.61587387998841714</v>
      </c>
      <c r="AC322" s="5">
        <f>IF(M322=0,0,const*($T322/omega)*O322*(wx*(H322-V322)-wy*(G322-U322))/Z322)</f>
        <v>11.723943354536132</v>
      </c>
      <c r="AD322" s="5">
        <f t="shared" si="135"/>
        <v>0</v>
      </c>
      <c r="AE322" s="5">
        <f t="shared" si="135"/>
        <v>-17.558464059975119</v>
      </c>
      <c r="AF322" s="5">
        <f t="shared" si="123"/>
        <v>-19.495335210463473</v>
      </c>
      <c r="AG322">
        <f t="shared" si="134"/>
        <v>0</v>
      </c>
    </row>
    <row r="323" spans="1:33" x14ac:dyDescent="0.2">
      <c r="A323">
        <f t="shared" si="124"/>
        <v>2.9099999999999819</v>
      </c>
      <c r="B323" s="5">
        <f t="shared" si="125"/>
        <v>0</v>
      </c>
      <c r="C323" s="5">
        <f t="shared" si="126"/>
        <v>516.12884015693737</v>
      </c>
      <c r="D323" s="5">
        <f t="shared" si="127"/>
        <v>57.680702961181161</v>
      </c>
      <c r="E323" s="2">
        <f t="shared" si="109"/>
        <v>172.04294671897912</v>
      </c>
      <c r="F323" s="2">
        <f t="shared" si="128"/>
        <v>0</v>
      </c>
      <c r="G323" s="3">
        <f t="shared" si="129"/>
        <v>0</v>
      </c>
      <c r="H323" s="3">
        <f t="shared" si="130"/>
        <v>140.46326351734248</v>
      </c>
      <c r="I323" s="3">
        <f t="shared" si="131"/>
        <v>-7.5828936101596236</v>
      </c>
      <c r="J323" s="2">
        <f t="shared" si="110"/>
        <v>140.66779543820752</v>
      </c>
      <c r="K323" s="2">
        <f t="shared" si="132"/>
        <v>95.888067783372534</v>
      </c>
      <c r="L323" s="5">
        <f t="shared" si="111"/>
        <v>24.877188842916585</v>
      </c>
      <c r="M323" s="3">
        <f t="shared" si="112"/>
        <v>19.560250640761936</v>
      </c>
      <c r="N323" s="2">
        <v>0</v>
      </c>
      <c r="O323" s="2">
        <f t="shared" si="113"/>
        <v>140.66779543820752</v>
      </c>
      <c r="P323" s="2">
        <f t="shared" si="114"/>
        <v>95.888067783372534</v>
      </c>
      <c r="Q323" s="5">
        <f t="shared" si="115"/>
        <v>1.1855441943979366</v>
      </c>
      <c r="R323" s="5">
        <f t="shared" si="116"/>
        <v>0.16150333848794005</v>
      </c>
      <c r="S323" s="4">
        <f t="shared" si="133"/>
        <v>0.13905279868663581</v>
      </c>
      <c r="T323" s="5">
        <f t="shared" si="117"/>
        <v>0.10420376187895089</v>
      </c>
      <c r="U323" s="4">
        <f t="shared" si="118"/>
        <v>0</v>
      </c>
      <c r="V323" s="4">
        <f t="shared" si="119"/>
        <v>0</v>
      </c>
      <c r="W323" s="5">
        <f t="shared" si="120"/>
        <v>0</v>
      </c>
      <c r="X323" s="5">
        <f t="shared" si="121"/>
        <v>-18.13333890425325</v>
      </c>
      <c r="Y323" s="5">
        <f t="shared" si="122"/>
        <v>0.97892627769497798</v>
      </c>
      <c r="Z323" s="5">
        <f>1</f>
        <v>1</v>
      </c>
      <c r="AA323" s="5">
        <f>IF(M323=0,0,const*($T323/omega)*O323*(wy*I323-wz*(H323-V323))/Z323)</f>
        <v>0</v>
      </c>
      <c r="AB323" s="5">
        <f>IF(M323=0,0,const*($T323/omega)*O323*(wz*(G323-U323)-wx*I323)/Z323)</f>
        <v>0.63161419257963181</v>
      </c>
      <c r="AC323" s="5">
        <f>IF(M323=0,0,const*($T323/omega)*O323*(wx*(H323-V323)-wy*(G323-U323))/Z323)</f>
        <v>11.699833247658971</v>
      </c>
      <c r="AD323" s="5">
        <f t="shared" si="135"/>
        <v>0</v>
      </c>
      <c r="AE323" s="5">
        <f t="shared" si="135"/>
        <v>-17.501724711673617</v>
      </c>
      <c r="AF323" s="5">
        <f t="shared" si="123"/>
        <v>-19.495240474646053</v>
      </c>
      <c r="AG323">
        <f t="shared" si="134"/>
        <v>0</v>
      </c>
    </row>
    <row r="324" spans="1:33" x14ac:dyDescent="0.2">
      <c r="A324">
        <f t="shared" si="124"/>
        <v>2.9199999999999817</v>
      </c>
      <c r="B324" s="5">
        <f t="shared" si="125"/>
        <v>0</v>
      </c>
      <c r="C324" s="5">
        <f t="shared" si="126"/>
        <v>517.53259770587522</v>
      </c>
      <c r="D324" s="5">
        <f t="shared" si="127"/>
        <v>57.603899263055837</v>
      </c>
      <c r="E324" s="2">
        <f t="shared" si="109"/>
        <v>172.5108659019584</v>
      </c>
      <c r="F324" s="2">
        <f t="shared" si="128"/>
        <v>0</v>
      </c>
      <c r="G324" s="3">
        <f t="shared" si="129"/>
        <v>0</v>
      </c>
      <c r="H324" s="3">
        <f t="shared" si="130"/>
        <v>140.28824627022576</v>
      </c>
      <c r="I324" s="3">
        <f t="shared" si="131"/>
        <v>-7.7778460149060837</v>
      </c>
      <c r="J324" s="2">
        <f t="shared" si="110"/>
        <v>140.50369009462742</v>
      </c>
      <c r="K324" s="2">
        <f t="shared" si="132"/>
        <v>95.77620320015501</v>
      </c>
      <c r="L324" s="5">
        <f t="shared" si="111"/>
        <v>24.90624487425373</v>
      </c>
      <c r="M324" s="3">
        <f t="shared" si="112"/>
        <v>19.555067055100253</v>
      </c>
      <c r="N324" s="2">
        <v>0</v>
      </c>
      <c r="O324" s="2">
        <f t="shared" si="113"/>
        <v>140.50369009462742</v>
      </c>
      <c r="P324" s="2">
        <f t="shared" si="114"/>
        <v>95.77620320015501</v>
      </c>
      <c r="Q324" s="5">
        <f t="shared" si="115"/>
        <v>1.1841611192118568</v>
      </c>
      <c r="R324" s="5">
        <f t="shared" si="116"/>
        <v>0.16152953679248766</v>
      </c>
      <c r="S324" s="4">
        <f t="shared" si="133"/>
        <v>0.13917831654051341</v>
      </c>
      <c r="T324" s="5">
        <f t="shared" si="117"/>
        <v>0.10424137605856514</v>
      </c>
      <c r="U324" s="4">
        <f t="shared" si="118"/>
        <v>0</v>
      </c>
      <c r="V324" s="4">
        <f t="shared" si="119"/>
        <v>0</v>
      </c>
      <c r="W324" s="5">
        <f t="shared" si="120"/>
        <v>0</v>
      </c>
      <c r="X324" s="5">
        <f t="shared" si="121"/>
        <v>-18.092550882855495</v>
      </c>
      <c r="Y324" s="5">
        <f t="shared" si="122"/>
        <v>1.0030852799502794</v>
      </c>
      <c r="Z324" s="5">
        <f>1</f>
        <v>1</v>
      </c>
      <c r="AA324" s="5">
        <f>IF(M324=0,0,const*($T324/omega)*O324*(wy*I324-wz*(H324-V324))/Z324)</f>
        <v>0</v>
      </c>
      <c r="AB324" s="5">
        <f>IF(M324=0,0,const*($T324/omega)*O324*(wz*(G324-U324)-wx*I324)/Z324)</f>
        <v>0.64733046328509714</v>
      </c>
      <c r="AC324" s="5">
        <f>IF(M324=0,0,const*($T324/omega)*O324*(wx*(H324-V324)-wy*(G324-U324))/Z324)</f>
        <v>11.675836121918337</v>
      </c>
      <c r="AD324" s="5">
        <f t="shared" si="135"/>
        <v>0</v>
      </c>
      <c r="AE324" s="5">
        <f t="shared" si="135"/>
        <v>-17.445220419570397</v>
      </c>
      <c r="AF324" s="5">
        <f t="shared" si="123"/>
        <v>-19.495078598131382</v>
      </c>
      <c r="AG324">
        <f t="shared" si="134"/>
        <v>0</v>
      </c>
    </row>
    <row r="325" spans="1:33" x14ac:dyDescent="0.2">
      <c r="A325">
        <f t="shared" si="124"/>
        <v>2.9299999999999815</v>
      </c>
      <c r="B325" s="5">
        <f t="shared" si="125"/>
        <v>0</v>
      </c>
      <c r="C325" s="5">
        <f t="shared" si="126"/>
        <v>518.93460790755648</v>
      </c>
      <c r="D325" s="5">
        <f t="shared" si="127"/>
        <v>57.525146048976865</v>
      </c>
      <c r="E325" s="2">
        <f t="shared" si="109"/>
        <v>172.97820263585217</v>
      </c>
      <c r="F325" s="2">
        <f t="shared" si="128"/>
        <v>0</v>
      </c>
      <c r="G325" s="3">
        <f t="shared" si="129"/>
        <v>0</v>
      </c>
      <c r="H325" s="3">
        <f t="shared" si="130"/>
        <v>140.11379406603004</v>
      </c>
      <c r="I325" s="3">
        <f t="shared" si="131"/>
        <v>-7.9727968008873979</v>
      </c>
      <c r="J325" s="2">
        <f t="shared" si="110"/>
        <v>140.34044597480127</v>
      </c>
      <c r="K325" s="2">
        <f t="shared" si="132"/>
        <v>95.664925681527791</v>
      </c>
      <c r="L325" s="5">
        <f t="shared" si="111"/>
        <v>24.935215838357706</v>
      </c>
      <c r="M325" s="3">
        <f t="shared" si="112"/>
        <v>19.54988908179936</v>
      </c>
      <c r="N325" s="2">
        <v>0</v>
      </c>
      <c r="O325" s="2">
        <f t="shared" si="113"/>
        <v>140.34044597480127</v>
      </c>
      <c r="P325" s="2">
        <f t="shared" si="114"/>
        <v>95.664925681527791</v>
      </c>
      <c r="Q325" s="5">
        <f t="shared" si="115"/>
        <v>1.1827853023951751</v>
      </c>
      <c r="R325" s="5">
        <f t="shared" si="116"/>
        <v>0.1615556262849876</v>
      </c>
      <c r="S325" s="4">
        <f t="shared" si="133"/>
        <v>0.13930331306849081</v>
      </c>
      <c r="T325" s="5">
        <f t="shared" si="117"/>
        <v>0.1042788137900969</v>
      </c>
      <c r="U325" s="4">
        <f t="shared" si="118"/>
        <v>0</v>
      </c>
      <c r="V325" s="4">
        <f t="shared" si="119"/>
        <v>0</v>
      </c>
      <c r="W325" s="5">
        <f t="shared" si="120"/>
        <v>0</v>
      </c>
      <c r="X325" s="5">
        <f t="shared" si="121"/>
        <v>-18.051972830313481</v>
      </c>
      <c r="Y325" s="5">
        <f t="shared" si="122"/>
        <v>1.0271987293656724</v>
      </c>
      <c r="Z325" s="5">
        <f>1</f>
        <v>1</v>
      </c>
      <c r="AA325" s="5">
        <f>IF(M325=0,0,const*($T325/omega)*O325*(wy*I325-wz*(H325-V325))/Z325)</f>
        <v>0</v>
      </c>
      <c r="AB325" s="5">
        <f>IF(M325=0,0,const*($T325/omega)*O325*(wz*(G325-U325)-wx*I325)/Z325)</f>
        <v>0.66302280823073179</v>
      </c>
      <c r="AC325" s="5">
        <f>IF(M325=0,0,const*($T325/omega)*O325*(wx*(H325-V325)-wy*(G325-U325))/Z325)</f>
        <v>11.651951446095023</v>
      </c>
      <c r="AD325" s="5">
        <f t="shared" si="135"/>
        <v>0</v>
      </c>
      <c r="AE325" s="5">
        <f t="shared" si="135"/>
        <v>-17.388950022082749</v>
      </c>
      <c r="AF325" s="5">
        <f t="shared" si="123"/>
        <v>-19.494849824539305</v>
      </c>
      <c r="AG325">
        <f t="shared" si="134"/>
        <v>0</v>
      </c>
    </row>
    <row r="326" spans="1:33" x14ac:dyDescent="0.2">
      <c r="A326">
        <f t="shared" si="124"/>
        <v>2.9399999999999813</v>
      </c>
      <c r="B326" s="5">
        <f t="shared" si="125"/>
        <v>0</v>
      </c>
      <c r="C326" s="5">
        <f t="shared" si="126"/>
        <v>520.33487640071564</v>
      </c>
      <c r="D326" s="5">
        <f t="shared" si="127"/>
        <v>57.444443338476766</v>
      </c>
      <c r="E326" s="2">
        <f t="shared" si="109"/>
        <v>173.44495880023854</v>
      </c>
      <c r="F326" s="2">
        <f t="shared" si="128"/>
        <v>0</v>
      </c>
      <c r="G326" s="3">
        <f t="shared" si="129"/>
        <v>0</v>
      </c>
      <c r="H326" s="3">
        <f t="shared" si="130"/>
        <v>139.9399045658092</v>
      </c>
      <c r="I326" s="3">
        <f t="shared" si="131"/>
        <v>-8.1677452991327915</v>
      </c>
      <c r="J326" s="2">
        <f t="shared" si="110"/>
        <v>140.17806159723887</v>
      </c>
      <c r="K326" s="2">
        <f t="shared" si="132"/>
        <v>95.554234217613399</v>
      </c>
      <c r="L326" s="5">
        <f t="shared" si="111"/>
        <v>24.964101167896146</v>
      </c>
      <c r="M326" s="3">
        <f t="shared" si="112"/>
        <v>19.544716597153212</v>
      </c>
      <c r="N326" s="2">
        <v>0</v>
      </c>
      <c r="O326" s="2">
        <f t="shared" si="113"/>
        <v>140.17806159723887</v>
      </c>
      <c r="P326" s="2">
        <f t="shared" si="114"/>
        <v>95.554234217613399</v>
      </c>
      <c r="Q326" s="5">
        <f t="shared" si="115"/>
        <v>1.1814167314619324</v>
      </c>
      <c r="R326" s="5">
        <f t="shared" si="116"/>
        <v>0.16158160622779344</v>
      </c>
      <c r="S326" s="4">
        <f t="shared" si="133"/>
        <v>0.13942778473645401</v>
      </c>
      <c r="T326" s="5">
        <f t="shared" si="117"/>
        <v>0.10431607429716348</v>
      </c>
      <c r="U326" s="4">
        <f t="shared" si="118"/>
        <v>0</v>
      </c>
      <c r="V326" s="4">
        <f t="shared" si="119"/>
        <v>0</v>
      </c>
      <c r="W326" s="5">
        <f t="shared" si="120"/>
        <v>0</v>
      </c>
      <c r="X326" s="5">
        <f t="shared" si="121"/>
        <v>-18.011603707448181</v>
      </c>
      <c r="Y326" s="5">
        <f t="shared" si="122"/>
        <v>1.0512669132353851</v>
      </c>
      <c r="Z326" s="5">
        <f>1</f>
        <v>1</v>
      </c>
      <c r="AA326" s="5">
        <f>IF(M326=0,0,const*($T326/omega)*O326*(wy*I326-wz*(H326-V326))/Z326)</f>
        <v>0</v>
      </c>
      <c r="AB326" s="5">
        <f>IF(M326=0,0,const*($T326/omega)*O326*(wz*(G326-U326)-wx*I326)/Z326)</f>
        <v>0.67869134357168548</v>
      </c>
      <c r="AC326" s="5">
        <f>IF(M326=0,0,const*($T326/omega)*O326*(wx*(H326-V326)-wy*(G326-U326))/Z326)</f>
        <v>11.628178692000416</v>
      </c>
      <c r="AD326" s="5">
        <f t="shared" si="135"/>
        <v>0</v>
      </c>
      <c r="AE326" s="5">
        <f t="shared" si="135"/>
        <v>-17.332912363876495</v>
      </c>
      <c r="AF326" s="5">
        <f t="shared" si="123"/>
        <v>-19.494554394764197</v>
      </c>
      <c r="AG326">
        <f t="shared" si="134"/>
        <v>0</v>
      </c>
    </row>
    <row r="327" spans="1:33" x14ac:dyDescent="0.2">
      <c r="A327">
        <f t="shared" si="124"/>
        <v>2.9499999999999811</v>
      </c>
      <c r="B327" s="5">
        <f t="shared" si="125"/>
        <v>0</v>
      </c>
      <c r="C327" s="5">
        <f t="shared" si="126"/>
        <v>521.73340880075557</v>
      </c>
      <c r="D327" s="5">
        <f t="shared" si="127"/>
        <v>57.361791157765701</v>
      </c>
      <c r="E327" s="2">
        <f t="shared" si="109"/>
        <v>173.91113626691853</v>
      </c>
      <c r="F327" s="2">
        <f t="shared" si="128"/>
        <v>0</v>
      </c>
      <c r="G327" s="3">
        <f t="shared" si="129"/>
        <v>0</v>
      </c>
      <c r="H327" s="3">
        <f t="shared" si="130"/>
        <v>139.76657544217045</v>
      </c>
      <c r="I327" s="3">
        <f t="shared" si="131"/>
        <v>-8.3626908430804328</v>
      </c>
      <c r="J327" s="2">
        <f t="shared" si="110"/>
        <v>140.0165354840951</v>
      </c>
      <c r="K327" s="2">
        <f t="shared" si="132"/>
        <v>95.44412780101915</v>
      </c>
      <c r="L327" s="5">
        <f t="shared" si="111"/>
        <v>24.992900296626452</v>
      </c>
      <c r="M327" s="3">
        <f t="shared" si="112"/>
        <v>19.53954947785811</v>
      </c>
      <c r="N327" s="2">
        <v>0</v>
      </c>
      <c r="O327" s="2">
        <f t="shared" si="113"/>
        <v>140.0165354840951</v>
      </c>
      <c r="P327" s="2">
        <f t="shared" si="114"/>
        <v>95.44412780101915</v>
      </c>
      <c r="Q327" s="5">
        <f t="shared" si="115"/>
        <v>1.180055393956893</v>
      </c>
      <c r="R327" s="5">
        <f t="shared" si="116"/>
        <v>0.16160747588480712</v>
      </c>
      <c r="S327" s="4">
        <f t="shared" si="133"/>
        <v>0.13955172801770735</v>
      </c>
      <c r="T327" s="5">
        <f t="shared" si="117"/>
        <v>0.10435315680601666</v>
      </c>
      <c r="U327" s="4">
        <f t="shared" si="118"/>
        <v>0</v>
      </c>
      <c r="V327" s="4">
        <f t="shared" si="119"/>
        <v>0</v>
      </c>
      <c r="W327" s="5">
        <f t="shared" si="120"/>
        <v>0</v>
      </c>
      <c r="X327" s="5">
        <f t="shared" si="121"/>
        <v>-17.971442481306902</v>
      </c>
      <c r="Y327" s="5">
        <f t="shared" si="122"/>
        <v>1.0752901185416499</v>
      </c>
      <c r="Z327" s="5">
        <f>1</f>
        <v>1</v>
      </c>
      <c r="AA327" s="5">
        <f>IF(M327=0,0,const*($T327/omega)*O327*(wy*I327-wz*(H327-V327))/Z327)</f>
        <v>0</v>
      </c>
      <c r="AB327" s="5">
        <f>IF(M327=0,0,const*($T327/omega)*O327*(wz*(G327-U327)-wx*I327)/Z327)</f>
        <v>0.69433618548760467</v>
      </c>
      <c r="AC327" s="5">
        <f>IF(M327=0,0,const*($T327/omega)*O327*(wx*(H327-V327)-wy*(G327-U327))/Z327)</f>
        <v>11.604517334451074</v>
      </c>
      <c r="AD327" s="5">
        <f t="shared" si="135"/>
        <v>0</v>
      </c>
      <c r="AE327" s="5">
        <f t="shared" si="135"/>
        <v>-17.277106295819298</v>
      </c>
      <c r="AF327" s="5">
        <f t="shared" si="123"/>
        <v>-19.494192547007273</v>
      </c>
      <c r="AG327">
        <f t="shared" si="134"/>
        <v>0</v>
      </c>
    </row>
    <row r="328" spans="1:33" x14ac:dyDescent="0.2">
      <c r="A328">
        <f t="shared" si="124"/>
        <v>2.9599999999999809</v>
      </c>
      <c r="B328" s="5">
        <f t="shared" si="125"/>
        <v>0</v>
      </c>
      <c r="C328" s="5">
        <f t="shared" si="126"/>
        <v>523.13021069986246</v>
      </c>
      <c r="D328" s="5">
        <f t="shared" si="127"/>
        <v>57.27718953970755</v>
      </c>
      <c r="E328" s="2">
        <f t="shared" si="109"/>
        <v>174.37673689995415</v>
      </c>
      <c r="F328" s="2">
        <f t="shared" si="128"/>
        <v>0</v>
      </c>
      <c r="G328" s="3">
        <f t="shared" si="129"/>
        <v>0</v>
      </c>
      <c r="H328" s="3">
        <f t="shared" si="130"/>
        <v>139.59380437921226</v>
      </c>
      <c r="I328" s="3">
        <f t="shared" si="131"/>
        <v>-8.5576327685505049</v>
      </c>
      <c r="J328" s="2">
        <f t="shared" si="110"/>
        <v>139.85586616107008</v>
      </c>
      <c r="K328" s="2">
        <f t="shared" si="132"/>
        <v>95.334605426768974</v>
      </c>
      <c r="L328" s="5">
        <f t="shared" si="111"/>
        <v>25.021612659441942</v>
      </c>
      <c r="M328" s="3">
        <f t="shared" si="112"/>
        <v>19.534387601012639</v>
      </c>
      <c r="N328" s="2">
        <v>0</v>
      </c>
      <c r="O328" s="2">
        <f t="shared" si="113"/>
        <v>139.85586616107008</v>
      </c>
      <c r="P328" s="2">
        <f t="shared" si="114"/>
        <v>95.334605426768974</v>
      </c>
      <c r="Q328" s="5">
        <f t="shared" si="115"/>
        <v>1.1787012774546988</v>
      </c>
      <c r="R328" s="5">
        <f t="shared" si="116"/>
        <v>0.16163323452153888</v>
      </c>
      <c r="S328" s="4">
        <f t="shared" si="133"/>
        <v>0.13967513939326043</v>
      </c>
      <c r="T328" s="5">
        <f t="shared" si="117"/>
        <v>0.10439006054560108</v>
      </c>
      <c r="U328" s="4">
        <f t="shared" si="118"/>
        <v>0</v>
      </c>
      <c r="V328" s="4">
        <f t="shared" si="119"/>
        <v>0</v>
      </c>
      <c r="W328" s="5">
        <f t="shared" si="120"/>
        <v>0</v>
      </c>
      <c r="X328" s="5">
        <f t="shared" si="121"/>
        <v>-17.931488125112327</v>
      </c>
      <c r="Y328" s="5">
        <f t="shared" si="122"/>
        <v>1.0992686319478719</v>
      </c>
      <c r="Z328" s="5">
        <f>1</f>
        <v>1</v>
      </c>
      <c r="AA328" s="5">
        <f>IF(M328=0,0,const*($T328/omega)*O328*(wy*I328-wz*(H328-V328))/Z328)</f>
        <v>0</v>
      </c>
      <c r="AB328" s="5">
        <f>IF(M328=0,0,const*($T328/omega)*O328*(wz*(G328-U328)-wx*I328)/Z328)</f>
        <v>0.70995745017790091</v>
      </c>
      <c r="AC328" s="5">
        <f>IF(M328=0,0,const*($T328/omega)*O328*(wx*(H328-V328)-wy*(G328-U328))/Z328)</f>
        <v>11.580966851243465</v>
      </c>
      <c r="AD328" s="5">
        <f t="shared" si="135"/>
        <v>0</v>
      </c>
      <c r="AE328" s="5">
        <f t="shared" si="135"/>
        <v>-17.221530674934428</v>
      </c>
      <c r="AF328" s="5">
        <f t="shared" si="123"/>
        <v>-19.49376451680866</v>
      </c>
      <c r="AG328">
        <f t="shared" si="134"/>
        <v>0</v>
      </c>
    </row>
    <row r="329" spans="1:33" x14ac:dyDescent="0.2">
      <c r="A329">
        <f t="shared" si="124"/>
        <v>2.9699999999999807</v>
      </c>
      <c r="B329" s="5">
        <f t="shared" si="125"/>
        <v>0</v>
      </c>
      <c r="C329" s="5">
        <f t="shared" si="126"/>
        <v>524.52528766712089</v>
      </c>
      <c r="D329" s="5">
        <f t="shared" si="127"/>
        <v>57.19063852379621</v>
      </c>
      <c r="E329" s="2">
        <f t="shared" si="109"/>
        <v>174.84176255570696</v>
      </c>
      <c r="F329" s="2">
        <f t="shared" si="128"/>
        <v>0</v>
      </c>
      <c r="G329" s="3">
        <f t="shared" si="129"/>
        <v>0</v>
      </c>
      <c r="H329" s="3">
        <f t="shared" si="130"/>
        <v>139.42158907246292</v>
      </c>
      <c r="I329" s="3">
        <f t="shared" si="131"/>
        <v>-8.7525704137185922</v>
      </c>
      <c r="J329" s="2">
        <f t="shared" si="110"/>
        <v>139.69605215730977</v>
      </c>
      <c r="K329" s="2">
        <f t="shared" si="132"/>
        <v>95.225666092235684</v>
      </c>
      <c r="L329" s="5">
        <f t="shared" si="111"/>
        <v>25.050237692418122</v>
      </c>
      <c r="M329" s="3">
        <f t="shared" si="112"/>
        <v>19.529230844117645</v>
      </c>
      <c r="N329" s="2">
        <v>0</v>
      </c>
      <c r="O329" s="2">
        <f t="shared" si="113"/>
        <v>139.69605215730977</v>
      </c>
      <c r="P329" s="2">
        <f t="shared" si="114"/>
        <v>95.225666092235684</v>
      </c>
      <c r="Q329" s="5">
        <f t="shared" si="115"/>
        <v>1.1773543695590336</v>
      </c>
      <c r="R329" s="5">
        <f t="shared" si="116"/>
        <v>0.16165888140516732</v>
      </c>
      <c r="S329" s="4">
        <f t="shared" si="133"/>
        <v>0.13979801535211642</v>
      </c>
      <c r="T329" s="5">
        <f t="shared" si="117"/>
        <v>0.10442678474761309</v>
      </c>
      <c r="U329" s="4">
        <f t="shared" si="118"/>
        <v>0</v>
      </c>
      <c r="V329" s="4">
        <f t="shared" si="119"/>
        <v>0</v>
      </c>
      <c r="W329" s="5">
        <f t="shared" si="120"/>
        <v>0</v>
      </c>
      <c r="X329" s="5">
        <f t="shared" si="121"/>
        <v>-17.891739618212</v>
      </c>
      <c r="Y329" s="5">
        <f t="shared" si="122"/>
        <v>1.1232027397918165</v>
      </c>
      <c r="Z329" s="5">
        <f>1</f>
        <v>1</v>
      </c>
      <c r="AA329" s="5">
        <f>IF(M329=0,0,const*($T329/omega)*O329*(wy*I329-wz*(H329-V329))/Z329)</f>
        <v>0</v>
      </c>
      <c r="AB329" s="5">
        <f>IF(M329=0,0,const*($T329/omega)*O329*(wz*(G329-U329)-wx*I329)/Z329)</f>
        <v>0.72555525385702757</v>
      </c>
      <c r="AC329" s="5">
        <f>IF(M329=0,0,const*($T329/omega)*O329*(wx*(H329-V329)-wy*(G329-U329))/Z329)</f>
        <v>11.557526723129016</v>
      </c>
      <c r="AD329" s="5">
        <f t="shared" si="135"/>
        <v>0</v>
      </c>
      <c r="AE329" s="5">
        <f t="shared" si="135"/>
        <v>-17.166184364354972</v>
      </c>
      <c r="AF329" s="5">
        <f t="shared" si="123"/>
        <v>-19.493270537079169</v>
      </c>
      <c r="AG329">
        <f t="shared" si="134"/>
        <v>0</v>
      </c>
    </row>
    <row r="330" spans="1:33" x14ac:dyDescent="0.2">
      <c r="A330">
        <f t="shared" si="124"/>
        <v>2.9799999999999804</v>
      </c>
      <c r="B330" s="5">
        <f t="shared" si="125"/>
        <v>0</v>
      </c>
      <c r="C330" s="5">
        <f t="shared" si="126"/>
        <v>525.91864524862729</v>
      </c>
      <c r="D330" s="5">
        <f t="shared" si="127"/>
        <v>57.10213815613217</v>
      </c>
      <c r="E330" s="2">
        <f t="shared" si="109"/>
        <v>175.30621508287575</v>
      </c>
      <c r="F330" s="2">
        <f t="shared" si="128"/>
        <v>0</v>
      </c>
      <c r="G330" s="3">
        <f t="shared" si="129"/>
        <v>0</v>
      </c>
      <c r="H330" s="3">
        <f t="shared" si="130"/>
        <v>139.24992722881936</v>
      </c>
      <c r="I330" s="3">
        <f t="shared" si="131"/>
        <v>-8.9475031190893848</v>
      </c>
      <c r="J330" s="2">
        <f t="shared" si="110"/>
        <v>139.53709200530733</v>
      </c>
      <c r="K330" s="2">
        <f t="shared" si="132"/>
        <v>95.117308797073832</v>
      </c>
      <c r="L330" s="5">
        <f t="shared" si="111"/>
        <v>25.078774832859118</v>
      </c>
      <c r="M330" s="3">
        <f t="shared" si="112"/>
        <v>19.524079085076227</v>
      </c>
      <c r="N330" s="2">
        <v>0</v>
      </c>
      <c r="O330" s="2">
        <f t="shared" si="113"/>
        <v>139.53709200530733</v>
      </c>
      <c r="P330" s="2">
        <f t="shared" si="114"/>
        <v>95.117308797073832</v>
      </c>
      <c r="Q330" s="5">
        <f t="shared" si="115"/>
        <v>1.1760146579017914</v>
      </c>
      <c r="R330" s="5">
        <f t="shared" si="116"/>
        <v>0.16168441580459977</v>
      </c>
      <c r="S330" s="4">
        <f t="shared" si="133"/>
        <v>0.1399203523915607</v>
      </c>
      <c r="T330" s="5">
        <f t="shared" si="117"/>
        <v>0.10446332864655924</v>
      </c>
      <c r="U330" s="4">
        <f t="shared" si="118"/>
        <v>0</v>
      </c>
      <c r="V330" s="4">
        <f t="shared" si="119"/>
        <v>0</v>
      </c>
      <c r="W330" s="5">
        <f t="shared" si="120"/>
        <v>0</v>
      </c>
      <c r="X330" s="5">
        <f t="shared" si="121"/>
        <v>-17.85219594602826</v>
      </c>
      <c r="Y330" s="5">
        <f t="shared" si="122"/>
        <v>1.1470927280788141</v>
      </c>
      <c r="Z330" s="5">
        <f>1</f>
        <v>1</v>
      </c>
      <c r="AA330" s="5">
        <f>IF(M330=0,0,const*($T330/omega)*O330*(wy*I330-wz*(H330-V330))/Z330)</f>
        <v>0</v>
      </c>
      <c r="AB330" s="5">
        <f>IF(M330=0,0,const*($T330/omega)*O330*(wz*(G330-U330)-wx*I330)/Z330)</f>
        <v>0.74112971274975747</v>
      </c>
      <c r="AC330" s="5">
        <f>IF(M330=0,0,const*($T330/omega)*O330*(wx*(H330-V330)-wy*(G330-U330))/Z330)</f>
        <v>11.53419643378931</v>
      </c>
      <c r="AD330" s="5">
        <f t="shared" si="135"/>
        <v>0</v>
      </c>
      <c r="AE330" s="5">
        <f t="shared" si="135"/>
        <v>-17.111066233278503</v>
      </c>
      <c r="AF330" s="5">
        <f t="shared" si="123"/>
        <v>-19.492710838131877</v>
      </c>
      <c r="AG330">
        <f t="shared" si="134"/>
        <v>0</v>
      </c>
    </row>
    <row r="331" spans="1:33" x14ac:dyDescent="0.2">
      <c r="A331">
        <f t="shared" si="124"/>
        <v>2.9899999999999802</v>
      </c>
      <c r="B331" s="5">
        <f t="shared" si="125"/>
        <v>0</v>
      </c>
      <c r="C331" s="5">
        <f t="shared" si="126"/>
        <v>527.31028896760381</v>
      </c>
      <c r="D331" s="5">
        <f t="shared" si="127"/>
        <v>57.011688489399369</v>
      </c>
      <c r="E331" s="2">
        <f t="shared" si="109"/>
        <v>175.77009632253461</v>
      </c>
      <c r="F331" s="2">
        <f t="shared" si="128"/>
        <v>0</v>
      </c>
      <c r="G331" s="3">
        <f t="shared" si="129"/>
        <v>0</v>
      </c>
      <c r="H331" s="3">
        <f t="shared" si="130"/>
        <v>139.07881656648658</v>
      </c>
      <c r="I331" s="3">
        <f t="shared" si="131"/>
        <v>-9.1424302274707028</v>
      </c>
      <c r="J331" s="2">
        <f t="shared" si="110"/>
        <v>139.3789842408051</v>
      </c>
      <c r="K331" s="2">
        <f t="shared" si="132"/>
        <v>95.009532543152758</v>
      </c>
      <c r="L331" s="5">
        <f t="shared" si="111"/>
        <v>25.107223519344217</v>
      </c>
      <c r="M331" s="3">
        <f t="shared" si="112"/>
        <v>19.518932202193774</v>
      </c>
      <c r="N331" s="2">
        <v>0</v>
      </c>
      <c r="O331" s="2">
        <f t="shared" si="113"/>
        <v>139.3789842408051</v>
      </c>
      <c r="P331" s="2">
        <f t="shared" si="114"/>
        <v>95.009532543152758</v>
      </c>
      <c r="Q331" s="5">
        <f t="shared" si="115"/>
        <v>1.1746821301422505</v>
      </c>
      <c r="R331" s="5">
        <f t="shared" si="116"/>
        <v>0.16170983699053276</v>
      </c>
      <c r="S331" s="4">
        <f t="shared" si="133"/>
        <v>0.14004214701745071</v>
      </c>
      <c r="T331" s="5">
        <f t="shared" si="117"/>
        <v>0.10449969147981521</v>
      </c>
      <c r="U331" s="4">
        <f t="shared" si="118"/>
        <v>0</v>
      </c>
      <c r="V331" s="4">
        <f t="shared" si="119"/>
        <v>0</v>
      </c>
      <c r="W331" s="5">
        <f t="shared" si="120"/>
        <v>0</v>
      </c>
      <c r="X331" s="5">
        <f t="shared" si="121"/>
        <v>-17.812856100008641</v>
      </c>
      <c r="Y331" s="5">
        <f t="shared" si="122"/>
        <v>1.1709388824749827</v>
      </c>
      <c r="Z331" s="5">
        <f>1</f>
        <v>1</v>
      </c>
      <c r="AA331" s="5">
        <f>IF(M331=0,0,const*($T331/omega)*O331*(wy*I331-wz*(H331-V331))/Z331)</f>
        <v>0</v>
      </c>
      <c r="AB331" s="5">
        <f>IF(M331=0,0,const*($T331/omega)*O331*(wz*(G331-U331)-wx*I331)/Z331)</f>
        <v>0.75668094308646772</v>
      </c>
      <c r="AC331" s="5">
        <f>IF(M331=0,0,const*($T331/omega)*O331*(wx*(H331-V331)-wy*(G331-U331))/Z331)</f>
        <v>11.510975469811553</v>
      </c>
      <c r="AD331" s="5">
        <f t="shared" si="135"/>
        <v>0</v>
      </c>
      <c r="AE331" s="5">
        <f t="shared" si="135"/>
        <v>-17.056175156922173</v>
      </c>
      <c r="AF331" s="5">
        <f t="shared" si="123"/>
        <v>-19.492085647713463</v>
      </c>
      <c r="AG331">
        <f t="shared" si="134"/>
        <v>0</v>
      </c>
    </row>
    <row r="332" spans="1:33" x14ac:dyDescent="0.2">
      <c r="A332">
        <f t="shared" si="124"/>
        <v>2.99999999999998</v>
      </c>
      <c r="B332" s="5">
        <f t="shared" si="125"/>
        <v>0</v>
      </c>
      <c r="C332" s="5">
        <f t="shared" si="126"/>
        <v>528.70022432451083</v>
      </c>
      <c r="D332" s="5">
        <f t="shared" si="127"/>
        <v>56.919289582842275</v>
      </c>
      <c r="E332" s="2">
        <f t="shared" si="109"/>
        <v>176.23340810817027</v>
      </c>
      <c r="F332" s="2">
        <f t="shared" si="128"/>
        <v>0</v>
      </c>
      <c r="G332" s="3">
        <f t="shared" si="129"/>
        <v>0</v>
      </c>
      <c r="H332" s="3">
        <f t="shared" si="130"/>
        <v>138.90825481491737</v>
      </c>
      <c r="I332" s="3">
        <f t="shared" si="131"/>
        <v>-9.3373510839478371</v>
      </c>
      <c r="J332" s="2">
        <f t="shared" si="110"/>
        <v>139.22172740269716</v>
      </c>
      <c r="K332" s="2">
        <f t="shared" si="132"/>
        <v>94.902336334490215</v>
      </c>
      <c r="L332" s="5">
        <f t="shared" si="111"/>
        <v>25.135583191774522</v>
      </c>
      <c r="M332" s="3">
        <f t="shared" si="112"/>
        <v>19.513790074178011</v>
      </c>
      <c r="N332" s="2">
        <v>0</v>
      </c>
      <c r="O332" s="2">
        <f t="shared" si="113"/>
        <v>139.22172740269716</v>
      </c>
      <c r="P332" s="2">
        <f t="shared" si="114"/>
        <v>94.902336334490215</v>
      </c>
      <c r="Q332" s="5">
        <f t="shared" si="115"/>
        <v>1.1733567739662512</v>
      </c>
      <c r="R332" s="5">
        <f t="shared" si="116"/>
        <v>0.16173514423551252</v>
      </c>
      <c r="S332" s="4">
        <f t="shared" si="133"/>
        <v>0.14016339574450626</v>
      </c>
      <c r="T332" s="5">
        <f t="shared" si="117"/>
        <v>0.10453587248768444</v>
      </c>
      <c r="U332" s="4">
        <f t="shared" si="118"/>
        <v>0</v>
      </c>
      <c r="V332" s="4">
        <f t="shared" si="119"/>
        <v>0</v>
      </c>
      <c r="W332" s="5">
        <f t="shared" si="120"/>
        <v>0</v>
      </c>
      <c r="X332" s="5">
        <f t="shared" si="121"/>
        <v>-17.773719077576679</v>
      </c>
      <c r="Y332" s="5">
        <f t="shared" si="122"/>
        <v>1.1947414883004674</v>
      </c>
      <c r="Z332" s="5">
        <f>1</f>
        <v>1</v>
      </c>
      <c r="AA332" s="5">
        <f>IF(M332=0,0,const*($T332/omega)*O332*(wy*I332-wz*(H332-V332))/Z332)</f>
        <v>0</v>
      </c>
      <c r="AB332" s="5">
        <f>IF(M332=0,0,const*($T332/omega)*O332*(wz*(G332-U332)-wx*I332)/Z332)</f>
        <v>0.77220906109842813</v>
      </c>
      <c r="AC332" s="5">
        <f>IF(M332=0,0,const*($T332/omega)*O332*(wx*(H332-V332)-wy*(G332-U332))/Z332)</f>
        <v>11.487863320664209</v>
      </c>
      <c r="AD332" s="5">
        <f t="shared" si="135"/>
        <v>0</v>
      </c>
      <c r="AE332" s="5">
        <f t="shared" si="135"/>
        <v>-17.00151001647825</v>
      </c>
      <c r="AF332" s="5">
        <f t="shared" si="123"/>
        <v>-19.491395191035323</v>
      </c>
      <c r="AG332">
        <f t="shared" si="134"/>
        <v>0</v>
      </c>
    </row>
    <row r="333" spans="1:33" x14ac:dyDescent="0.2">
      <c r="A333">
        <f t="shared" si="124"/>
        <v>3.0099999999999798</v>
      </c>
      <c r="B333" s="5">
        <f t="shared" si="125"/>
        <v>0</v>
      </c>
      <c r="C333" s="5">
        <f t="shared" si="126"/>
        <v>530.08845679715921</v>
      </c>
      <c r="D333" s="5">
        <f t="shared" si="127"/>
        <v>56.824941502243249</v>
      </c>
      <c r="E333" s="2">
        <f t="shared" si="109"/>
        <v>176.69615226571975</v>
      </c>
      <c r="F333" s="2">
        <f t="shared" si="128"/>
        <v>0</v>
      </c>
      <c r="G333" s="3">
        <f t="shared" si="129"/>
        <v>0</v>
      </c>
      <c r="H333" s="3">
        <f t="shared" si="130"/>
        <v>138.73823971475258</v>
      </c>
      <c r="I333" s="3">
        <f t="shared" si="131"/>
        <v>-9.53226503585819</v>
      </c>
      <c r="J333" s="2">
        <f t="shared" si="110"/>
        <v>139.0653200329327</v>
      </c>
      <c r="K333" s="2">
        <f t="shared" si="132"/>
        <v>94.795719177186569</v>
      </c>
      <c r="L333" s="5">
        <f t="shared" si="111"/>
        <v>25.163853291419713</v>
      </c>
      <c r="M333" s="3">
        <f t="shared" si="112"/>
        <v>19.50865258013912</v>
      </c>
      <c r="N333" s="2">
        <v>0</v>
      </c>
      <c r="O333" s="2">
        <f t="shared" si="113"/>
        <v>139.0653200329327</v>
      </c>
      <c r="P333" s="2">
        <f t="shared" si="114"/>
        <v>94.795719177186569</v>
      </c>
      <c r="Q333" s="5">
        <f t="shared" si="115"/>
        <v>1.1720385770853827</v>
      </c>
      <c r="R333" s="5">
        <f t="shared" si="116"/>
        <v>0.16176033681399582</v>
      </c>
      <c r="S333" s="4">
        <f t="shared" si="133"/>
        <v>0.14028409509660056</v>
      </c>
      <c r="T333" s="5">
        <f t="shared" si="117"/>
        <v>0.10457187091345709</v>
      </c>
      <c r="U333" s="4">
        <f t="shared" si="118"/>
        <v>0</v>
      </c>
      <c r="V333" s="4">
        <f t="shared" si="119"/>
        <v>0</v>
      </c>
      <c r="W333" s="5">
        <f t="shared" si="120"/>
        <v>0</v>
      </c>
      <c r="X333" s="5">
        <f t="shared" si="121"/>
        <v>-17.734783882083192</v>
      </c>
      <c r="Y333" s="5">
        <f t="shared" si="122"/>
        <v>1.2185008305226965</v>
      </c>
      <c r="Z333" s="5">
        <f>1</f>
        <v>1</v>
      </c>
      <c r="AA333" s="5">
        <f>IF(M333=0,0,const*($T333/omega)*O333*(wy*I333-wz*(H333-V333))/Z333)</f>
        <v>0</v>
      </c>
      <c r="AB333" s="5">
        <f>IF(M333=0,0,const*($T333/omega)*O333*(wz*(G333-U333)-wx*I333)/Z333)</f>
        <v>0.78771418301309426</v>
      </c>
      <c r="AC333" s="5">
        <f>IF(M333=0,0,const*($T333/omega)*O333*(wx*(H333-V333)-wy*(G333-U333))/Z333)</f>
        <v>11.464859478672912</v>
      </c>
      <c r="AD333" s="5">
        <f t="shared" si="135"/>
        <v>0</v>
      </c>
      <c r="AE333" s="5">
        <f t="shared" si="135"/>
        <v>-16.947069699070099</v>
      </c>
      <c r="AF333" s="5">
        <f t="shared" si="123"/>
        <v>-19.490639690804393</v>
      </c>
      <c r="AG333">
        <f t="shared" si="134"/>
        <v>0</v>
      </c>
    </row>
    <row r="334" spans="1:33" x14ac:dyDescent="0.2">
      <c r="A334">
        <f t="shared" si="124"/>
        <v>3.0199999999999796</v>
      </c>
      <c r="B334" s="5">
        <f t="shared" si="125"/>
        <v>0</v>
      </c>
      <c r="C334" s="5">
        <f t="shared" si="126"/>
        <v>531.47499184082187</v>
      </c>
      <c r="D334" s="5">
        <f t="shared" si="127"/>
        <v>56.728644319900127</v>
      </c>
      <c r="E334" s="2">
        <f t="shared" si="109"/>
        <v>177.15833061360729</v>
      </c>
      <c r="F334" s="2">
        <f t="shared" si="128"/>
        <v>0</v>
      </c>
      <c r="G334" s="3">
        <f t="shared" si="129"/>
        <v>0</v>
      </c>
      <c r="H334" s="3">
        <f t="shared" si="130"/>
        <v>138.56876901776187</v>
      </c>
      <c r="I334" s="3">
        <f t="shared" si="131"/>
        <v>-9.7271714327662337</v>
      </c>
      <c r="J334" s="2">
        <f t="shared" si="110"/>
        <v>138.90976067641995</v>
      </c>
      <c r="K334" s="2">
        <f t="shared" si="132"/>
        <v>94.689680079359192</v>
      </c>
      <c r="L334" s="5">
        <f t="shared" si="111"/>
        <v>25.192033260964926</v>
      </c>
      <c r="M334" s="3">
        <f t="shared" si="112"/>
        <v>19.503519599589808</v>
      </c>
      <c r="N334" s="2">
        <v>0</v>
      </c>
      <c r="O334" s="2">
        <f t="shared" si="113"/>
        <v>138.90976067641995</v>
      </c>
      <c r="P334" s="2">
        <f t="shared" si="114"/>
        <v>94.689680079359192</v>
      </c>
      <c r="Q334" s="5">
        <f t="shared" si="115"/>
        <v>1.1707275272361726</v>
      </c>
      <c r="R334" s="5">
        <f t="shared" si="116"/>
        <v>0.16178541400241084</v>
      </c>
      <c r="S334" s="4">
        <f t="shared" si="133"/>
        <v>0.14040424160705178</v>
      </c>
      <c r="T334" s="5">
        <f t="shared" si="117"/>
        <v>0.10460768600346869</v>
      </c>
      <c r="U334" s="4">
        <f t="shared" si="118"/>
        <v>0</v>
      </c>
      <c r="V334" s="4">
        <f t="shared" si="119"/>
        <v>0</v>
      </c>
      <c r="W334" s="5">
        <f t="shared" si="120"/>
        <v>0</v>
      </c>
      <c r="X334" s="5">
        <f t="shared" si="121"/>
        <v>-17.69604952275801</v>
      </c>
      <c r="Y334" s="5">
        <f t="shared" si="122"/>
        <v>1.2422171937496547</v>
      </c>
      <c r="Z334" s="5">
        <f>1</f>
        <v>1</v>
      </c>
      <c r="AA334" s="5">
        <f>IF(M334=0,0,const*($T334/omega)*O334*(wy*I334-wz*(H334-V334))/Z334)</f>
        <v>0</v>
      </c>
      <c r="AB334" s="5">
        <f>IF(M334=0,0,const*($T334/omega)*O334*(wz*(G334-U334)-wx*I334)/Z334)</f>
        <v>0.80319642504940236</v>
      </c>
      <c r="AC334" s="5">
        <f>IF(M334=0,0,const*($T334/omega)*O334*(wx*(H334-V334)-wy*(G334-U334))/Z334)</f>
        <v>11.441963438996529</v>
      </c>
      <c r="AD334" s="5">
        <f t="shared" si="135"/>
        <v>0</v>
      </c>
      <c r="AE334" s="5">
        <f t="shared" si="135"/>
        <v>-16.892853097708606</v>
      </c>
      <c r="AF334" s="5">
        <f t="shared" si="123"/>
        <v>-19.489819367253816</v>
      </c>
      <c r="AG334">
        <f t="shared" si="134"/>
        <v>0</v>
      </c>
    </row>
    <row r="335" spans="1:33" x14ac:dyDescent="0.2">
      <c r="A335">
        <f t="shared" si="124"/>
        <v>3.0299999999999794</v>
      </c>
      <c r="B335" s="5">
        <f t="shared" si="125"/>
        <v>0</v>
      </c>
      <c r="C335" s="5">
        <f t="shared" si="126"/>
        <v>532.85983488834461</v>
      </c>
      <c r="D335" s="5">
        <f t="shared" si="127"/>
        <v>56.630398114604105</v>
      </c>
      <c r="E335" s="2">
        <f t="shared" si="109"/>
        <v>177.61994496278155</v>
      </c>
      <c r="F335" s="2">
        <f t="shared" si="128"/>
        <v>0</v>
      </c>
      <c r="G335" s="3">
        <f t="shared" si="129"/>
        <v>0</v>
      </c>
      <c r="H335" s="3">
        <f t="shared" si="130"/>
        <v>138.39984048678477</v>
      </c>
      <c r="I335" s="3">
        <f t="shared" si="131"/>
        <v>-9.9220696264387716</v>
      </c>
      <c r="J335" s="2">
        <f t="shared" si="110"/>
        <v>138.7550478809307</v>
      </c>
      <c r="K335" s="2">
        <f t="shared" si="132"/>
        <v>94.584218051077499</v>
      </c>
      <c r="L335" s="5">
        <f t="shared" si="111"/>
        <v>25.220122544557739</v>
      </c>
      <c r="M335" s="3">
        <f t="shared" si="112"/>
        <v>19.498391012445495</v>
      </c>
      <c r="N335" s="2">
        <v>0</v>
      </c>
      <c r="O335" s="2">
        <f t="shared" si="113"/>
        <v>138.7550478809307</v>
      </c>
      <c r="P335" s="2">
        <f t="shared" si="114"/>
        <v>94.584218051077499</v>
      </c>
      <c r="Q335" s="5">
        <f t="shared" si="115"/>
        <v>1.1694236121792829</v>
      </c>
      <c r="R335" s="5">
        <f t="shared" si="116"/>
        <v>0.16181037507921811</v>
      </c>
      <c r="S335" s="4">
        <f t="shared" si="133"/>
        <v>0.14052383181891565</v>
      </c>
      <c r="T335" s="5">
        <f t="shared" si="117"/>
        <v>0.10464331700715922</v>
      </c>
      <c r="U335" s="4">
        <f t="shared" si="118"/>
        <v>0</v>
      </c>
      <c r="V335" s="4">
        <f t="shared" si="119"/>
        <v>0</v>
      </c>
      <c r="W335" s="5">
        <f t="shared" si="120"/>
        <v>0</v>
      </c>
      <c r="X335" s="5">
        <f t="shared" si="121"/>
        <v>-17.657515014662081</v>
      </c>
      <c r="Y335" s="5">
        <f t="shared" si="122"/>
        <v>1.2658908622231704</v>
      </c>
      <c r="Z335" s="5">
        <f>1</f>
        <v>1</v>
      </c>
      <c r="AA335" s="5">
        <f>IF(M335=0,0,const*($T335/omega)*O335*(wy*I335-wz*(H335-V335))/Z335)</f>
        <v>0</v>
      </c>
      <c r="AB335" s="5">
        <f>IF(M335=0,0,const*($T335/omega)*O335*(wz*(G335-U335)-wx*I335)/Z335)</f>
        <v>0.81865590341307204</v>
      </c>
      <c r="AC335" s="5">
        <f>IF(M335=0,0,const*($T335/omega)*O335*(wx*(H335-V335)-wy*(G335-U335))/Z335)</f>
        <v>11.419174699603486</v>
      </c>
      <c r="AD335" s="5">
        <f t="shared" si="135"/>
        <v>0</v>
      </c>
      <c r="AE335" s="5">
        <f t="shared" si="135"/>
        <v>-16.838859111249008</v>
      </c>
      <c r="AF335" s="5">
        <f t="shared" si="123"/>
        <v>-19.488934438173345</v>
      </c>
      <c r="AG335">
        <f t="shared" si="134"/>
        <v>0</v>
      </c>
    </row>
    <row r="336" spans="1:33" x14ac:dyDescent="0.2">
      <c r="A336">
        <f t="shared" si="124"/>
        <v>3.0399999999999792</v>
      </c>
      <c r="B336" s="5">
        <f t="shared" si="125"/>
        <v>0</v>
      </c>
      <c r="C336" s="5">
        <f t="shared" si="126"/>
        <v>534.24299135025683</v>
      </c>
      <c r="D336" s="5">
        <f t="shared" si="127"/>
        <v>56.530202971617804</v>
      </c>
      <c r="E336" s="2">
        <f t="shared" si="109"/>
        <v>178.08099711675229</v>
      </c>
      <c r="F336" s="2">
        <f t="shared" si="128"/>
        <v>0</v>
      </c>
      <c r="G336" s="3">
        <f t="shared" si="129"/>
        <v>0</v>
      </c>
      <c r="H336" s="3">
        <f t="shared" si="130"/>
        <v>138.23145189567228</v>
      </c>
      <c r="I336" s="3">
        <f t="shared" si="131"/>
        <v>-10.116958970820505</v>
      </c>
      <c r="J336" s="2">
        <f t="shared" si="110"/>
        <v>138.60118019700565</v>
      </c>
      <c r="K336" s="2">
        <f t="shared" si="132"/>
        <v>94.479332104298322</v>
      </c>
      <c r="L336" s="5">
        <f t="shared" si="111"/>
        <v>25.248120587855219</v>
      </c>
      <c r="M336" s="3">
        <f t="shared" si="112"/>
        <v>19.493266699024471</v>
      </c>
      <c r="N336" s="2">
        <v>0</v>
      </c>
      <c r="O336" s="2">
        <f t="shared" si="113"/>
        <v>138.60118019700565</v>
      </c>
      <c r="P336" s="2">
        <f t="shared" si="114"/>
        <v>94.479332104298322</v>
      </c>
      <c r="Q336" s="5">
        <f t="shared" si="115"/>
        <v>1.1681268196987116</v>
      </c>
      <c r="R336" s="5">
        <f t="shared" si="116"/>
        <v>0.1618352193249718</v>
      </c>
      <c r="S336" s="4">
        <f t="shared" si="133"/>
        <v>0.14064286228527803</v>
      </c>
      <c r="T336" s="5">
        <f t="shared" si="117"/>
        <v>0.10467876317713178</v>
      </c>
      <c r="U336" s="4">
        <f t="shared" si="118"/>
        <v>0</v>
      </c>
      <c r="V336" s="4">
        <f t="shared" si="119"/>
        <v>0</v>
      </c>
      <c r="W336" s="5">
        <f t="shared" si="120"/>
        <v>0</v>
      </c>
      <c r="X336" s="5">
        <f t="shared" si="121"/>
        <v>-17.619179378640073</v>
      </c>
      <c r="Y336" s="5">
        <f t="shared" si="122"/>
        <v>1.2895221198122209</v>
      </c>
      <c r="Z336" s="5">
        <f>1</f>
        <v>1</v>
      </c>
      <c r="AA336" s="5">
        <f>IF(M336=0,0,const*($T336/omega)*O336*(wy*I336-wz*(H336-V336))/Z336)</f>
        <v>0</v>
      </c>
      <c r="AB336" s="5">
        <f>IF(M336=0,0,const*($T336/omega)*O336*(wz*(G336-U336)-wx*I336)/Z336)</f>
        <v>0.83409273429190822</v>
      </c>
      <c r="AC336" s="5">
        <f>IF(M336=0,0,const*($T336/omega)*O336*(wx*(H336-V336)-wy*(G336-U336))/Z336)</f>
        <v>11.396492761248274</v>
      </c>
      <c r="AD336" s="5">
        <f t="shared" si="135"/>
        <v>0</v>
      </c>
      <c r="AE336" s="5">
        <f t="shared" si="135"/>
        <v>-16.785086644348166</v>
      </c>
      <c r="AF336" s="5">
        <f t="shared" si="123"/>
        <v>-19.487985118939505</v>
      </c>
      <c r="AG336">
        <f t="shared" si="134"/>
        <v>0</v>
      </c>
    </row>
    <row r="337" spans="1:33" x14ac:dyDescent="0.2">
      <c r="A337">
        <f t="shared" si="124"/>
        <v>3.049999999999979</v>
      </c>
      <c r="B337" s="5">
        <f t="shared" si="125"/>
        <v>0</v>
      </c>
      <c r="C337" s="5">
        <f t="shared" si="126"/>
        <v>535.62446661488138</v>
      </c>
      <c r="D337" s="5">
        <f t="shared" si="127"/>
        <v>56.428058982653653</v>
      </c>
      <c r="E337" s="2">
        <f t="shared" si="109"/>
        <v>178.54148887162714</v>
      </c>
      <c r="F337" s="2">
        <f t="shared" si="128"/>
        <v>0</v>
      </c>
      <c r="G337" s="3">
        <f t="shared" si="129"/>
        <v>0</v>
      </c>
      <c r="H337" s="3">
        <f t="shared" si="130"/>
        <v>138.06360102922881</v>
      </c>
      <c r="I337" s="3">
        <f t="shared" si="131"/>
        <v>-10.3118388220099</v>
      </c>
      <c r="J337" s="2">
        <f t="shared" si="110"/>
        <v>138.44815617786023</v>
      </c>
      <c r="K337" s="2">
        <f t="shared" si="132"/>
        <v>94.375021252801787</v>
      </c>
      <c r="L337" s="5">
        <f t="shared" si="111"/>
        <v>25.276026838071065</v>
      </c>
      <c r="M337" s="3">
        <f t="shared" si="112"/>
        <v>19.488146540048096</v>
      </c>
      <c r="N337" s="2">
        <v>0</v>
      </c>
      <c r="O337" s="2">
        <f t="shared" si="113"/>
        <v>138.44815617786023</v>
      </c>
      <c r="P337" s="2">
        <f t="shared" si="114"/>
        <v>94.375021252801787</v>
      </c>
      <c r="Q337" s="5">
        <f t="shared" si="115"/>
        <v>1.1668371376009996</v>
      </c>
      <c r="R337" s="5">
        <f t="shared" si="116"/>
        <v>0.16185994602238069</v>
      </c>
      <c r="S337" s="4">
        <f t="shared" si="133"/>
        <v>0.14076132956954843</v>
      </c>
      <c r="T337" s="5">
        <f t="shared" si="117"/>
        <v>0.10471402376921154</v>
      </c>
      <c r="U337" s="4">
        <f t="shared" si="118"/>
        <v>0</v>
      </c>
      <c r="V337" s="4">
        <f t="shared" si="119"/>
        <v>0</v>
      </c>
      <c r="W337" s="5">
        <f t="shared" si="120"/>
        <v>0</v>
      </c>
      <c r="X337" s="5">
        <f t="shared" si="121"/>
        <v>-17.58104164127332</v>
      </c>
      <c r="Y337" s="5">
        <f t="shared" si="122"/>
        <v>1.3131112500062505</v>
      </c>
      <c r="Z337" s="5">
        <f>1</f>
        <v>1</v>
      </c>
      <c r="AA337" s="5">
        <f>IF(M337=0,0,const*($T337/omega)*O337*(wy*I337-wz*(H337-V337))/Z337)</f>
        <v>0</v>
      </c>
      <c r="AB337" s="5">
        <f>IF(M337=0,0,const*($T337/omega)*O337*(wz*(G337-U337)-wx*I337)/Z337)</f>
        <v>0.84950703385111115</v>
      </c>
      <c r="AC337" s="5">
        <f>IF(M337=0,0,const*($T337/omega)*O337*(wx*(H337-V337)-wy*(G337-U337))/Z337)</f>
        <v>11.373917127448173</v>
      </c>
      <c r="AD337" s="5">
        <f t="shared" si="135"/>
        <v>0</v>
      </c>
      <c r="AE337" s="5">
        <f t="shared" si="135"/>
        <v>-16.731534607422208</v>
      </c>
      <c r="AF337" s="5">
        <f t="shared" si="123"/>
        <v>-19.486971622545575</v>
      </c>
      <c r="AG337">
        <f t="shared" si="134"/>
        <v>0</v>
      </c>
    </row>
    <row r="338" spans="1:33" x14ac:dyDescent="0.2">
      <c r="A338">
        <f t="shared" si="124"/>
        <v>3.0599999999999787</v>
      </c>
      <c r="B338" s="5">
        <f t="shared" si="125"/>
        <v>0</v>
      </c>
      <c r="C338" s="5">
        <f t="shared" si="126"/>
        <v>537.00426604844324</v>
      </c>
      <c r="D338" s="5">
        <f t="shared" si="127"/>
        <v>56.323966245852432</v>
      </c>
      <c r="E338" s="2">
        <f t="shared" si="109"/>
        <v>179.00142201614776</v>
      </c>
      <c r="F338" s="2">
        <f t="shared" si="128"/>
        <v>0</v>
      </c>
      <c r="G338" s="3">
        <f t="shared" si="129"/>
        <v>0</v>
      </c>
      <c r="H338" s="3">
        <f t="shared" si="130"/>
        <v>137.89628568315459</v>
      </c>
      <c r="I338" s="3">
        <f t="shared" si="131"/>
        <v>-10.506708538235356</v>
      </c>
      <c r="J338" s="2">
        <f t="shared" si="110"/>
        <v>138.29597437929135</v>
      </c>
      <c r="K338" s="2">
        <f t="shared" si="132"/>
        <v>94.271284512127707</v>
      </c>
      <c r="L338" s="5">
        <f t="shared" si="111"/>
        <v>25.303840744022825</v>
      </c>
      <c r="M338" s="3">
        <f t="shared" si="112"/>
        <v>19.483030416641025</v>
      </c>
      <c r="N338" s="2">
        <v>0</v>
      </c>
      <c r="O338" s="2">
        <f t="shared" si="113"/>
        <v>138.29597437929135</v>
      </c>
      <c r="P338" s="2">
        <f t="shared" si="114"/>
        <v>94.271284512127707</v>
      </c>
      <c r="Q338" s="5">
        <f t="shared" si="115"/>
        <v>1.1655545537144436</v>
      </c>
      <c r="R338" s="5">
        <f t="shared" si="116"/>
        <v>0.16188455445636973</v>
      </c>
      <c r="S338" s="4">
        <f t="shared" si="133"/>
        <v>0.14087923024575358</v>
      </c>
      <c r="T338" s="5">
        <f t="shared" si="117"/>
        <v>0.1047490980425046</v>
      </c>
      <c r="U338" s="4">
        <f t="shared" si="118"/>
        <v>0</v>
      </c>
      <c r="V338" s="4">
        <f t="shared" si="119"/>
        <v>0</v>
      </c>
      <c r="W338" s="5">
        <f t="shared" si="120"/>
        <v>0</v>
      </c>
      <c r="X338" s="5">
        <f t="shared" si="121"/>
        <v>-17.543100834833293</v>
      </c>
      <c r="Y338" s="5">
        <f t="shared" si="122"/>
        <v>1.3366585359085079</v>
      </c>
      <c r="Z338" s="5">
        <f>1</f>
        <v>1</v>
      </c>
      <c r="AA338" s="5">
        <f>IF(M338=0,0,const*($T338/omega)*O338*(wy*I338-wz*(H338-V338))/Z338)</f>
        <v>0</v>
      </c>
      <c r="AB338" s="5">
        <f>IF(M338=0,0,const*($T338/omega)*O338*(wz*(G338-U338)-wx*I338)/Z338)</f>
        <v>0.86489891822858711</v>
      </c>
      <c r="AC338" s="5">
        <f>IF(M338=0,0,const*($T338/omega)*O338*(wx*(H338-V338)-wy*(G338-U338))/Z338)</f>
        <v>11.351447304460191</v>
      </c>
      <c r="AD338" s="5">
        <f t="shared" si="135"/>
        <v>0</v>
      </c>
      <c r="AE338" s="5">
        <f t="shared" si="135"/>
        <v>-16.678201916604706</v>
      </c>
      <c r="AF338" s="5">
        <f t="shared" si="123"/>
        <v>-19.4858941596313</v>
      </c>
      <c r="AG338">
        <f t="shared" si="134"/>
        <v>0</v>
      </c>
    </row>
    <row r="339" spans="1:33" x14ac:dyDescent="0.2">
      <c r="A339">
        <f t="shared" si="124"/>
        <v>3.0699999999999785</v>
      </c>
      <c r="B339" s="5">
        <f t="shared" si="125"/>
        <v>0</v>
      </c>
      <c r="C339" s="5">
        <f t="shared" si="126"/>
        <v>538.38239499517897</v>
      </c>
      <c r="D339" s="5">
        <f t="shared" si="127"/>
        <v>56.2179248657621</v>
      </c>
      <c r="E339" s="2">
        <f t="shared" si="109"/>
        <v>179.46079833172632</v>
      </c>
      <c r="F339" s="2">
        <f t="shared" si="128"/>
        <v>0</v>
      </c>
      <c r="G339" s="3">
        <f t="shared" si="129"/>
        <v>0</v>
      </c>
      <c r="H339" s="3">
        <f t="shared" si="130"/>
        <v>137.72950366398854</v>
      </c>
      <c r="I339" s="3">
        <f t="shared" si="131"/>
        <v>-10.70156747983167</v>
      </c>
      <c r="J339" s="2">
        <f t="shared" si="110"/>
        <v>138.14463335958447</v>
      </c>
      <c r="K339" s="2">
        <f t="shared" si="132"/>
        <v>94.168120899512246</v>
      </c>
      <c r="L339" s="5">
        <f t="shared" si="111"/>
        <v>25.331561756179209</v>
      </c>
      <c r="M339" s="3">
        <f t="shared" si="112"/>
        <v>19.477918210331474</v>
      </c>
      <c r="N339" s="2">
        <v>0</v>
      </c>
      <c r="O339" s="2">
        <f t="shared" si="113"/>
        <v>138.14463335958447</v>
      </c>
      <c r="P339" s="2">
        <f t="shared" si="114"/>
        <v>94.168120899512246</v>
      </c>
      <c r="Q339" s="5">
        <f t="shared" si="115"/>
        <v>1.1642790558883149</v>
      </c>
      <c r="R339" s="5">
        <f t="shared" si="116"/>
        <v>0.16190904391414138</v>
      </c>
      <c r="S339" s="4">
        <f t="shared" si="133"/>
        <v>0.14099656089883203</v>
      </c>
      <c r="T339" s="5">
        <f t="shared" si="117"/>
        <v>0.10478398525945674</v>
      </c>
      <c r="U339" s="4">
        <f t="shared" si="118"/>
        <v>0</v>
      </c>
      <c r="V339" s="4">
        <f t="shared" si="119"/>
        <v>0</v>
      </c>
      <c r="W339" s="5">
        <f t="shared" si="120"/>
        <v>0</v>
      </c>
      <c r="X339" s="5">
        <f t="shared" si="121"/>
        <v>-17.505355997235398</v>
      </c>
      <c r="Y339" s="5">
        <f t="shared" si="122"/>
        <v>1.3601642602293944</v>
      </c>
      <c r="Z339" s="5">
        <f>1</f>
        <v>1</v>
      </c>
      <c r="AA339" s="5">
        <f>IF(M339=0,0,const*($T339/omega)*O339*(wy*I339-wz*(H339-V339))/Z339)</f>
        <v>0</v>
      </c>
      <c r="AB339" s="5">
        <f>IF(M339=0,0,const*($T339/omega)*O339*(wz*(G339-U339)-wx*I339)/Z339)</f>
        <v>0.88026850353026231</v>
      </c>
      <c r="AC339" s="5">
        <f>IF(M339=0,0,const*($T339/omega)*O339*(wx*(H339-V339)-wy*(G339-U339))/Z339)</f>
        <v>11.329082801258194</v>
      </c>
      <c r="AD339" s="5">
        <f t="shared" si="135"/>
        <v>0</v>
      </c>
      <c r="AE339" s="5">
        <f t="shared" si="135"/>
        <v>-16.625087493705134</v>
      </c>
      <c r="AF339" s="5">
        <f t="shared" si="123"/>
        <v>-19.484752938512411</v>
      </c>
      <c r="AG339">
        <f t="shared" si="134"/>
        <v>0</v>
      </c>
    </row>
    <row r="340" spans="1:33" x14ac:dyDescent="0.2">
      <c r="A340">
        <f t="shared" si="124"/>
        <v>3.0799999999999783</v>
      </c>
      <c r="B340" s="5">
        <f t="shared" si="125"/>
        <v>0</v>
      </c>
      <c r="C340" s="5">
        <f t="shared" si="126"/>
        <v>539.75885877744417</v>
      </c>
      <c r="D340" s="5">
        <f t="shared" si="127"/>
        <v>56.109934953316852</v>
      </c>
      <c r="E340" s="2">
        <f t="shared" si="109"/>
        <v>179.91961959248138</v>
      </c>
      <c r="F340" s="2">
        <f t="shared" si="128"/>
        <v>0</v>
      </c>
      <c r="G340" s="3">
        <f t="shared" si="129"/>
        <v>0</v>
      </c>
      <c r="H340" s="3">
        <f t="shared" si="130"/>
        <v>137.56325278905149</v>
      </c>
      <c r="I340" s="3">
        <f t="shared" si="131"/>
        <v>-10.896415009216794</v>
      </c>
      <c r="J340" s="2">
        <f t="shared" si="110"/>
        <v>137.99413167942168</v>
      </c>
      <c r="K340" s="2">
        <f t="shared" si="132"/>
        <v>94.065529433825276</v>
      </c>
      <c r="L340" s="5">
        <f t="shared" si="111"/>
        <v>25.359189326707423</v>
      </c>
      <c r="M340" s="3">
        <f t="shared" si="112"/>
        <v>19.472809803051483</v>
      </c>
      <c r="N340" s="2">
        <v>0</v>
      </c>
      <c r="O340" s="2">
        <f t="shared" si="113"/>
        <v>137.99413167942168</v>
      </c>
      <c r="P340" s="2">
        <f t="shared" si="114"/>
        <v>94.065529433825276</v>
      </c>
      <c r="Q340" s="5">
        <f t="shared" si="115"/>
        <v>1.1630106319920828</v>
      </c>
      <c r="R340" s="5">
        <f t="shared" si="116"/>
        <v>0.16193341368523698</v>
      </c>
      <c r="S340" s="4">
        <f t="shared" si="133"/>
        <v>0.14111331812492833</v>
      </c>
      <c r="T340" s="5">
        <f t="shared" si="117"/>
        <v>0.10481868468591232</v>
      </c>
      <c r="U340" s="4">
        <f t="shared" si="118"/>
        <v>0</v>
      </c>
      <c r="V340" s="4">
        <f t="shared" si="119"/>
        <v>0</v>
      </c>
      <c r="W340" s="5">
        <f t="shared" si="120"/>
        <v>0</v>
      </c>
      <c r="X340" s="5">
        <f t="shared" si="121"/>
        <v>-17.467806171993228</v>
      </c>
      <c r="Y340" s="5">
        <f t="shared" si="122"/>
        <v>1.3836287052798262</v>
      </c>
      <c r="Z340" s="5">
        <f>1</f>
        <v>1</v>
      </c>
      <c r="AA340" s="5">
        <f>IF(M340=0,0,const*($T340/omega)*O340*(wy*I340-wz*(H340-V340))/Z340)</f>
        <v>0</v>
      </c>
      <c r="AB340" s="5">
        <f>IF(M340=0,0,const*($T340/omega)*O340*(wz*(G340-U340)-wx*I340)/Z340)</f>
        <v>0.89561590582540274</v>
      </c>
      <c r="AC340" s="5">
        <f>IF(M340=0,0,const*($T340/omega)*O340*(wx*(H340-V340)-wy*(G340-U340))/Z340)</f>
        <v>11.306823129510262</v>
      </c>
      <c r="AD340" s="5">
        <f t="shared" si="135"/>
        <v>0</v>
      </c>
      <c r="AE340" s="5">
        <f t="shared" si="135"/>
        <v>-16.572190266167826</v>
      </c>
      <c r="AF340" s="5">
        <f t="shared" si="123"/>
        <v>-19.483548165209911</v>
      </c>
      <c r="AG340">
        <f t="shared" si="134"/>
        <v>0</v>
      </c>
    </row>
    <row r="341" spans="1:33" x14ac:dyDescent="0.2">
      <c r="A341">
        <f t="shared" si="124"/>
        <v>3.0899999999999781</v>
      </c>
      <c r="B341" s="5">
        <f t="shared" si="125"/>
        <v>0</v>
      </c>
      <c r="C341" s="5">
        <f t="shared" si="126"/>
        <v>541.13366269582139</v>
      </c>
      <c r="D341" s="5">
        <f t="shared" si="127"/>
        <v>55.999996625816422</v>
      </c>
      <c r="E341" s="2">
        <f t="shared" si="109"/>
        <v>180.3778875652738</v>
      </c>
      <c r="F341" s="2">
        <f t="shared" si="128"/>
        <v>0</v>
      </c>
      <c r="G341" s="3">
        <f t="shared" si="129"/>
        <v>0</v>
      </c>
      <c r="H341" s="3">
        <f t="shared" si="130"/>
        <v>137.3975308863898</v>
      </c>
      <c r="I341" s="3">
        <f t="shared" si="131"/>
        <v>-11.091250490868893</v>
      </c>
      <c r="J341" s="2">
        <f t="shared" si="110"/>
        <v>137.8444679017901</v>
      </c>
      <c r="K341" s="2">
        <f t="shared" si="132"/>
        <v>93.963509135507906</v>
      </c>
      <c r="L341" s="5">
        <f t="shared" si="111"/>
        <v>25.386722909520582</v>
      </c>
      <c r="M341" s="3">
        <f t="shared" si="112"/>
        <v>19.467705077137243</v>
      </c>
      <c r="N341" s="2">
        <v>0</v>
      </c>
      <c r="O341" s="2">
        <f t="shared" si="113"/>
        <v>137.8444679017901</v>
      </c>
      <c r="P341" s="2">
        <f t="shared" si="114"/>
        <v>93.963509135507906</v>
      </c>
      <c r="Q341" s="5">
        <f t="shared" si="115"/>
        <v>1.1617492699146432</v>
      </c>
      <c r="R341" s="5">
        <f t="shared" si="116"/>
        <v>0.16195766306159851</v>
      </c>
      <c r="S341" s="4">
        <f t="shared" si="133"/>
        <v>0.14122949853168848</v>
      </c>
      <c r="T341" s="5">
        <f t="shared" si="117"/>
        <v>0.10485319559117297</v>
      </c>
      <c r="U341" s="4">
        <f t="shared" si="118"/>
        <v>0</v>
      </c>
      <c r="V341" s="4">
        <f t="shared" si="119"/>
        <v>0</v>
      </c>
      <c r="W341" s="5">
        <f t="shared" si="120"/>
        <v>0</v>
      </c>
      <c r="X341" s="5">
        <f t="shared" si="121"/>
        <v>-17.430450408173222</v>
      </c>
      <c r="Y341" s="5">
        <f t="shared" si="122"/>
        <v>1.4070521529646163</v>
      </c>
      <c r="Z341" s="5">
        <f>1</f>
        <v>1</v>
      </c>
      <c r="AA341" s="5">
        <f>IF(M341=0,0,const*($T341/omega)*O341*(wy*I341-wz*(H341-V341))/Z341)</f>
        <v>0</v>
      </c>
      <c r="AB341" s="5">
        <f>IF(M341=0,0,const*($T341/omega)*O341*(wz*(G341-U341)-wx*I341)/Z341)</f>
        <v>0.91094124114193542</v>
      </c>
      <c r="AC341" s="5">
        <f>IF(M341=0,0,const*($T341/omega)*O341*(wx*(H341-V341)-wy*(G341-U341))/Z341)</f>
        <v>11.284667803556221</v>
      </c>
      <c r="AD341" s="5">
        <f t="shared" si="135"/>
        <v>0</v>
      </c>
      <c r="AE341" s="5">
        <f t="shared" si="135"/>
        <v>-16.519509167031288</v>
      </c>
      <c r="AF341" s="5">
        <f t="shared" si="123"/>
        <v>-19.482280043479161</v>
      </c>
      <c r="AG341">
        <f t="shared" si="134"/>
        <v>0</v>
      </c>
    </row>
    <row r="342" spans="1:33" x14ac:dyDescent="0.2">
      <c r="A342">
        <f t="shared" si="124"/>
        <v>3.0999999999999779</v>
      </c>
      <c r="B342" s="5">
        <f t="shared" si="125"/>
        <v>0</v>
      </c>
      <c r="C342" s="5">
        <f t="shared" si="126"/>
        <v>542.50681202922692</v>
      </c>
      <c r="D342" s="5">
        <f t="shared" si="127"/>
        <v>55.888110006905556</v>
      </c>
      <c r="E342" s="2">
        <f t="shared" si="109"/>
        <v>180.8356040097423</v>
      </c>
      <c r="F342" s="2">
        <f t="shared" si="128"/>
        <v>0</v>
      </c>
      <c r="G342" s="3">
        <f t="shared" si="129"/>
        <v>0</v>
      </c>
      <c r="H342" s="3">
        <f t="shared" si="130"/>
        <v>137.23233579471949</v>
      </c>
      <c r="I342" s="3">
        <f t="shared" si="131"/>
        <v>-11.286073291303683</v>
      </c>
      <c r="J342" s="2">
        <f t="shared" si="110"/>
        <v>137.69564059189139</v>
      </c>
      <c r="K342" s="2">
        <f t="shared" si="132"/>
        <v>93.862059026510821</v>
      </c>
      <c r="L342" s="5">
        <f t="shared" si="111"/>
        <v>25.414161960325142</v>
      </c>
      <c r="M342" s="3">
        <f t="shared" si="112"/>
        <v>19.462603915329403</v>
      </c>
      <c r="N342" s="2">
        <v>0</v>
      </c>
      <c r="O342" s="2">
        <f t="shared" si="113"/>
        <v>137.69564059189139</v>
      </c>
      <c r="P342" s="2">
        <f t="shared" si="114"/>
        <v>93.862059026510821</v>
      </c>
      <c r="Q342" s="5">
        <f t="shared" si="115"/>
        <v>1.1604949575635566</v>
      </c>
      <c r="R342" s="5">
        <f t="shared" si="116"/>
        <v>0.16198179133763002</v>
      </c>
      <c r="S342" s="4">
        <f t="shared" si="133"/>
        <v>0.1413450987385545</v>
      </c>
      <c r="T342" s="5">
        <f t="shared" si="117"/>
        <v>0.1048875172480563</v>
      </c>
      <c r="U342" s="4">
        <f t="shared" si="118"/>
        <v>0</v>
      </c>
      <c r="V342" s="4">
        <f t="shared" si="119"/>
        <v>0</v>
      </c>
      <c r="W342" s="5">
        <f t="shared" si="120"/>
        <v>0</v>
      </c>
      <c r="X342" s="5">
        <f t="shared" si="121"/>
        <v>-17.393287760349736</v>
      </c>
      <c r="Y342" s="5">
        <f t="shared" si="122"/>
        <v>1.4304348847758652</v>
      </c>
      <c r="Z342" s="5">
        <f>1</f>
        <v>1</v>
      </c>
      <c r="AA342" s="5">
        <f>IF(M342=0,0,const*($T342/omega)*O342*(wy*I342-wz*(H342-V342))/Z342)</f>
        <v>0</v>
      </c>
      <c r="AB342" s="5">
        <f>IF(M342=0,0,const*($T342/omega)*O342*(wz*(G342-U342)-wx*I342)/Z342)</f>
        <v>0.92624462546177189</v>
      </c>
      <c r="AC342" s="5">
        <f>IF(M342=0,0,const*($T342/omega)*O342*(wx*(H342-V342)-wy*(G342-U342))/Z342)</f>
        <v>11.262616340385399</v>
      </c>
      <c r="AD342" s="5">
        <f t="shared" si="135"/>
        <v>0</v>
      </c>
      <c r="AE342" s="5">
        <f t="shared" si="135"/>
        <v>-16.467043134887962</v>
      </c>
      <c r="AF342" s="5">
        <f t="shared" si="123"/>
        <v>-19.480948774838737</v>
      </c>
      <c r="AG342">
        <f t="shared" si="134"/>
        <v>0</v>
      </c>
    </row>
    <row r="343" spans="1:33" x14ac:dyDescent="0.2">
      <c r="A343">
        <f t="shared" si="124"/>
        <v>3.1099999999999777</v>
      </c>
      <c r="B343" s="5">
        <f t="shared" si="125"/>
        <v>0</v>
      </c>
      <c r="C343" s="5">
        <f t="shared" si="126"/>
        <v>543.8783120350173</v>
      </c>
      <c r="D343" s="5">
        <f t="shared" si="127"/>
        <v>55.774275226553783</v>
      </c>
      <c r="E343" s="2">
        <f t="shared" si="109"/>
        <v>181.29277067833911</v>
      </c>
      <c r="F343" s="2">
        <f t="shared" si="128"/>
        <v>0</v>
      </c>
      <c r="G343" s="3">
        <f t="shared" si="129"/>
        <v>0</v>
      </c>
      <c r="H343" s="3">
        <f t="shared" si="130"/>
        <v>137.06766536337062</v>
      </c>
      <c r="I343" s="3">
        <f t="shared" si="131"/>
        <v>-11.48088277905207</v>
      </c>
      <c r="J343" s="2">
        <f t="shared" si="110"/>
        <v>137.54764831705151</v>
      </c>
      <c r="K343" s="2">
        <f t="shared" si="132"/>
        <v>93.761178130232793</v>
      </c>
      <c r="L343" s="5">
        <f t="shared" si="111"/>
        <v>25.441505936668445</v>
      </c>
      <c r="M343" s="3">
        <f t="shared" si="112"/>
        <v>19.457506200773459</v>
      </c>
      <c r="N343" s="2">
        <v>0</v>
      </c>
      <c r="O343" s="2">
        <f t="shared" si="113"/>
        <v>137.54764831705151</v>
      </c>
      <c r="P343" s="2">
        <f t="shared" si="114"/>
        <v>93.761178130232793</v>
      </c>
      <c r="Q343" s="5">
        <f t="shared" si="115"/>
        <v>1.1592476828642866</v>
      </c>
      <c r="R343" s="5">
        <f t="shared" si="116"/>
        <v>0.16200579781025953</v>
      </c>
      <c r="S343" s="4">
        <f t="shared" si="133"/>
        <v>0.14146011537706057</v>
      </c>
      <c r="T343" s="5">
        <f t="shared" si="117"/>
        <v>0.10492164893295464</v>
      </c>
      <c r="U343" s="4">
        <f t="shared" si="118"/>
        <v>0</v>
      </c>
      <c r="V343" s="4">
        <f t="shared" si="119"/>
        <v>0</v>
      </c>
      <c r="W343" s="5">
        <f t="shared" si="120"/>
        <v>0</v>
      </c>
      <c r="X343" s="5">
        <f t="shared" si="121"/>
        <v>-17.356317288560536</v>
      </c>
      <c r="Y343" s="5">
        <f t="shared" si="122"/>
        <v>1.4537771817863714</v>
      </c>
      <c r="Z343" s="5">
        <f>1</f>
        <v>1</v>
      </c>
      <c r="AA343" s="5">
        <f>IF(M343=0,0,const*($T343/omega)*O343*(wy*I343-wz*(H343-V343))/Z343)</f>
        <v>0</v>
      </c>
      <c r="AB343" s="5">
        <f>IF(M343=0,0,const*($T343/omega)*O343*(wz*(G343-U343)-wx*I343)/Z343)</f>
        <v>0.94152617471613864</v>
      </c>
      <c r="AC343" s="5">
        <f>IF(M343=0,0,const*($T343/omega)*O343*(wx*(H343-V343)-wy*(G343-U343))/Z343)</f>
        <v>11.240668259614569</v>
      </c>
      <c r="AD343" s="5">
        <f t="shared" si="135"/>
        <v>0</v>
      </c>
      <c r="AE343" s="5">
        <f t="shared" si="135"/>
        <v>-16.414791113844398</v>
      </c>
      <c r="AF343" s="5">
        <f t="shared" si="123"/>
        <v>-19.479554558599059</v>
      </c>
      <c r="AG343">
        <f t="shared" si="134"/>
        <v>0</v>
      </c>
    </row>
    <row r="344" spans="1:33" x14ac:dyDescent="0.2">
      <c r="A344">
        <f t="shared" si="124"/>
        <v>3.1199999999999775</v>
      </c>
      <c r="B344" s="5">
        <f t="shared" si="125"/>
        <v>0</v>
      </c>
      <c r="C344" s="5">
        <f t="shared" si="126"/>
        <v>545.24816794909532</v>
      </c>
      <c r="D344" s="5">
        <f t="shared" si="127"/>
        <v>55.658492421035334</v>
      </c>
      <c r="E344" s="2">
        <f t="shared" si="109"/>
        <v>181.7493893163651</v>
      </c>
      <c r="F344" s="2">
        <f t="shared" si="128"/>
        <v>0</v>
      </c>
      <c r="G344" s="3">
        <f t="shared" si="129"/>
        <v>0</v>
      </c>
      <c r="H344" s="3">
        <f t="shared" si="130"/>
        <v>136.90351745223217</v>
      </c>
      <c r="I344" s="3">
        <f t="shared" si="131"/>
        <v>-11.67567832463806</v>
      </c>
      <c r="J344" s="2">
        <f t="shared" si="110"/>
        <v>137.4004896466314</v>
      </c>
      <c r="K344" s="2">
        <f t="shared" si="132"/>
        <v>93.660865471459715</v>
      </c>
      <c r="L344" s="5">
        <f t="shared" si="111"/>
        <v>25.46875429798618</v>
      </c>
      <c r="M344" s="3">
        <f t="shared" si="112"/>
        <v>19.452411817020099</v>
      </c>
      <c r="N344" s="2">
        <v>0</v>
      </c>
      <c r="O344" s="2">
        <f t="shared" si="113"/>
        <v>137.4004896466314</v>
      </c>
      <c r="P344" s="2">
        <f t="shared" si="114"/>
        <v>93.660865471459715</v>
      </c>
      <c r="Q344" s="5">
        <f t="shared" si="115"/>
        <v>1.1580074337594479</v>
      </c>
      <c r="R344" s="5">
        <f t="shared" si="116"/>
        <v>0.16202968177900046</v>
      </c>
      <c r="S344" s="4">
        <f t="shared" si="133"/>
        <v>0.14157454509112813</v>
      </c>
      <c r="T344" s="5">
        <f t="shared" si="117"/>
        <v>0.10495558992589359</v>
      </c>
      <c r="U344" s="4">
        <f t="shared" si="118"/>
        <v>0</v>
      </c>
      <c r="V344" s="4">
        <f t="shared" si="119"/>
        <v>0</v>
      </c>
      <c r="W344" s="5">
        <f t="shared" si="120"/>
        <v>0</v>
      </c>
      <c r="X344" s="5">
        <f t="shared" si="121"/>
        <v>-17.319538058262598</v>
      </c>
      <c r="Y344" s="5">
        <f t="shared" si="122"/>
        <v>1.477079324643046</v>
      </c>
      <c r="Z344" s="5">
        <f>1</f>
        <v>1</v>
      </c>
      <c r="AA344" s="5">
        <f>IF(M344=0,0,const*($T344/omega)*O344*(wy*I344-wz*(H344-V344))/Z344)</f>
        <v>0</v>
      </c>
      <c r="AB344" s="5">
        <f>IF(M344=0,0,const*($T344/omega)*O344*(wz*(G344-U344)-wx*I344)/Z344)</f>
        <v>0.95678600478090581</v>
      </c>
      <c r="AC344" s="5">
        <f>IF(M344=0,0,const*($T344/omega)*O344*(wx*(H344-V344)-wy*(G344-U344))/Z344)</f>
        <v>11.218823083466097</v>
      </c>
      <c r="AD344" s="5">
        <f t="shared" si="135"/>
        <v>0</v>
      </c>
      <c r="AE344" s="5">
        <f t="shared" si="135"/>
        <v>-16.362752053481692</v>
      </c>
      <c r="AF344" s="5">
        <f t="shared" si="123"/>
        <v>-19.478097591890858</v>
      </c>
      <c r="AG344">
        <f t="shared" si="134"/>
        <v>0</v>
      </c>
    </row>
    <row r="345" spans="1:33" x14ac:dyDescent="0.2">
      <c r="A345">
        <f t="shared" si="124"/>
        <v>3.1299999999999772</v>
      </c>
      <c r="B345" s="5">
        <f t="shared" si="125"/>
        <v>0</v>
      </c>
      <c r="C345" s="5">
        <f t="shared" si="126"/>
        <v>546.61638498601496</v>
      </c>
      <c r="D345" s="5">
        <f t="shared" si="127"/>
        <v>55.54076173290936</v>
      </c>
      <c r="E345" s="2">
        <f t="shared" si="109"/>
        <v>182.20546166200498</v>
      </c>
      <c r="F345" s="2">
        <f t="shared" si="128"/>
        <v>0</v>
      </c>
      <c r="G345" s="3">
        <f t="shared" si="129"/>
        <v>0</v>
      </c>
      <c r="H345" s="3">
        <f t="shared" si="130"/>
        <v>136.73988993169735</v>
      </c>
      <c r="I345" s="3">
        <f t="shared" si="131"/>
        <v>-11.870459300556968</v>
      </c>
      <c r="J345" s="2">
        <f t="shared" si="110"/>
        <v>137.25416315193826</v>
      </c>
      <c r="K345" s="2">
        <f t="shared" si="132"/>
        <v>93.561120076304192</v>
      </c>
      <c r="L345" s="5">
        <f t="shared" si="111"/>
        <v>25.495906505649998</v>
      </c>
      <c r="M345" s="3">
        <f t="shared" si="112"/>
        <v>19.447320648025638</v>
      </c>
      <c r="N345" s="2">
        <v>0</v>
      </c>
      <c r="O345" s="2">
        <f t="shared" si="113"/>
        <v>137.25416315193826</v>
      </c>
      <c r="P345" s="2">
        <f t="shared" si="114"/>
        <v>93.561120076304192</v>
      </c>
      <c r="Q345" s="5">
        <f t="shared" si="115"/>
        <v>1.1567741982080577</v>
      </c>
      <c r="R345" s="5">
        <f t="shared" si="116"/>
        <v>0.16205344254601353</v>
      </c>
      <c r="S345" s="4">
        <f t="shared" si="133"/>
        <v>0.14168838453736191</v>
      </c>
      <c r="T345" s="5">
        <f t="shared" si="117"/>
        <v>0.1049893395105905</v>
      </c>
      <c r="U345" s="4">
        <f t="shared" si="118"/>
        <v>0</v>
      </c>
      <c r="V345" s="4">
        <f t="shared" si="119"/>
        <v>0</v>
      </c>
      <c r="W345" s="5">
        <f t="shared" si="120"/>
        <v>0</v>
      </c>
      <c r="X345" s="5">
        <f t="shared" si="121"/>
        <v>-17.282949140288448</v>
      </c>
      <c r="Y345" s="5">
        <f t="shared" si="122"/>
        <v>1.5003415935603528</v>
      </c>
      <c r="Z345" s="5">
        <f>1</f>
        <v>1</v>
      </c>
      <c r="AA345" s="5">
        <f>IF(M345=0,0,const*($T345/omega)*O345*(wy*I345-wz*(H345-V345))/Z345)</f>
        <v>0</v>
      </c>
      <c r="AB345" s="5">
        <f>IF(M345=0,0,const*($T345/omega)*O345*(wz*(G345-U345)-wx*I345)/Z345)</f>
        <v>0.97202423147192307</v>
      </c>
      <c r="AC345" s="5">
        <f>IF(M345=0,0,const*($T345/omega)*O345*(wx*(H345-V345)-wy*(G345-U345))/Z345)</f>
        <v>11.197080336746284</v>
      </c>
      <c r="AD345" s="5">
        <f t="shared" si="135"/>
        <v>0</v>
      </c>
      <c r="AE345" s="5">
        <f t="shared" si="135"/>
        <v>-16.310924908816524</v>
      </c>
      <c r="AF345" s="5">
        <f t="shared" si="123"/>
        <v>-19.47657806969336</v>
      </c>
      <c r="AG345">
        <f t="shared" si="134"/>
        <v>0</v>
      </c>
    </row>
    <row r="346" spans="1:33" x14ac:dyDescent="0.2">
      <c r="A346">
        <f t="shared" si="124"/>
        <v>3.139999999999977</v>
      </c>
      <c r="B346" s="5">
        <f t="shared" si="125"/>
        <v>0</v>
      </c>
      <c r="C346" s="5">
        <f t="shared" si="126"/>
        <v>547.98296833908648</v>
      </c>
      <c r="D346" s="5">
        <f t="shared" si="127"/>
        <v>55.421083311000309</v>
      </c>
      <c r="E346" s="2">
        <f t="shared" si="109"/>
        <v>182.66098944636215</v>
      </c>
      <c r="F346" s="2">
        <f t="shared" si="128"/>
        <v>0</v>
      </c>
      <c r="G346" s="3">
        <f t="shared" si="129"/>
        <v>0</v>
      </c>
      <c r="H346" s="3">
        <f t="shared" si="130"/>
        <v>136.57678068260918</v>
      </c>
      <c r="I346" s="3">
        <f t="shared" si="131"/>
        <v>-12.065225081253901</v>
      </c>
      <c r="J346" s="2">
        <f t="shared" si="110"/>
        <v>137.10866740613756</v>
      </c>
      <c r="K346" s="2">
        <f t="shared" si="132"/>
        <v>93.46194097214557</v>
      </c>
      <c r="L346" s="5">
        <f t="shared" si="111"/>
        <v>25.52296202301504</v>
      </c>
      <c r="M346" s="3">
        <f t="shared" si="112"/>
        <v>19.442232578152439</v>
      </c>
      <c r="N346" s="2">
        <v>0</v>
      </c>
      <c r="O346" s="2">
        <f t="shared" si="113"/>
        <v>137.10866740613756</v>
      </c>
      <c r="P346" s="2">
        <f t="shared" si="114"/>
        <v>93.46194097214557</v>
      </c>
      <c r="Q346" s="5">
        <f t="shared" si="115"/>
        <v>1.1555479641847954</v>
      </c>
      <c r="R346" s="5">
        <f t="shared" si="116"/>
        <v>0.16207707941616853</v>
      </c>
      <c r="S346" s="4">
        <f t="shared" si="133"/>
        <v>0.14180163038534588</v>
      </c>
      <c r="T346" s="5">
        <f t="shared" si="117"/>
        <v>0.10502289697451304</v>
      </c>
      <c r="U346" s="4">
        <f t="shared" si="118"/>
        <v>0</v>
      </c>
      <c r="V346" s="4">
        <f t="shared" si="119"/>
        <v>0</v>
      </c>
      <c r="W346" s="5">
        <f t="shared" si="120"/>
        <v>0</v>
      </c>
      <c r="X346" s="5">
        <f t="shared" si="121"/>
        <v>-17.246549610802781</v>
      </c>
      <c r="Y346" s="5">
        <f t="shared" si="122"/>
        <v>1.5235642683137534</v>
      </c>
      <c r="Z346" s="5">
        <f>1</f>
        <v>1</v>
      </c>
      <c r="AA346" s="5">
        <f>IF(M346=0,0,const*($T346/omega)*O346*(wy*I346-wz*(H346-V346))/Z346)</f>
        <v>0</v>
      </c>
      <c r="AB346" s="5">
        <f>IF(M346=0,0,const*($T346/omega)*O346*(wz*(G346-U346)-wx*I346)/Z346)</f>
        <v>0.98724097054035642</v>
      </c>
      <c r="AC346" s="5">
        <f>IF(M346=0,0,const*($T346/omega)*O346*(wx*(H346-V346)-wy*(G346-U346))/Z346)</f>
        <v>11.175439546823904</v>
      </c>
      <c r="AD346" s="5">
        <f t="shared" si="135"/>
        <v>0</v>
      </c>
      <c r="AE346" s="5">
        <f t="shared" si="135"/>
        <v>-16.259308640262425</v>
      </c>
      <c r="AF346" s="5">
        <f t="shared" si="123"/>
        <v>-19.474996184862341</v>
      </c>
      <c r="AG346">
        <f t="shared" si="134"/>
        <v>0</v>
      </c>
    </row>
    <row r="347" spans="1:33" x14ac:dyDescent="0.2">
      <c r="A347">
        <f t="shared" si="124"/>
        <v>3.1499999999999768</v>
      </c>
      <c r="B347" s="5">
        <f t="shared" si="125"/>
        <v>0</v>
      </c>
      <c r="C347" s="5">
        <f t="shared" si="126"/>
        <v>549.34792318048051</v>
      </c>
      <c r="D347" s="5">
        <f t="shared" si="127"/>
        <v>55.299457310378529</v>
      </c>
      <c r="E347" s="2">
        <f t="shared" si="109"/>
        <v>183.1159743934935</v>
      </c>
      <c r="F347" s="2">
        <f t="shared" si="128"/>
        <v>0</v>
      </c>
      <c r="G347" s="3">
        <f t="shared" si="129"/>
        <v>0</v>
      </c>
      <c r="H347" s="3">
        <f t="shared" si="130"/>
        <v>136.41418759620655</v>
      </c>
      <c r="I347" s="3">
        <f t="shared" si="131"/>
        <v>-12.259975043102525</v>
      </c>
      <c r="J347" s="2">
        <f t="shared" si="110"/>
        <v>136.96400098416564</v>
      </c>
      <c r="K347" s="2">
        <f t="shared" si="132"/>
        <v>93.363327187570306</v>
      </c>
      <c r="L347" s="5">
        <f t="shared" si="111"/>
        <v>25.549920315467539</v>
      </c>
      <c r="M347" s="3">
        <f t="shared" si="112"/>
        <v>19.437147492169352</v>
      </c>
      <c r="N347" s="2">
        <v>0</v>
      </c>
      <c r="O347" s="2">
        <f t="shared" si="113"/>
        <v>136.96400098416564</v>
      </c>
      <c r="P347" s="2">
        <f t="shared" si="114"/>
        <v>93.363327187570306</v>
      </c>
      <c r="Q347" s="5">
        <f t="shared" si="115"/>
        <v>1.1543287196792651</v>
      </c>
      <c r="R347" s="5">
        <f t="shared" si="116"/>
        <v>0.162100591697106</v>
      </c>
      <c r="S347" s="4">
        <f t="shared" si="133"/>
        <v>0.14191427931793898</v>
      </c>
      <c r="T347" s="5">
        <f t="shared" si="117"/>
        <v>0.10505626160893745</v>
      </c>
      <c r="U347" s="4">
        <f t="shared" si="118"/>
        <v>0</v>
      </c>
      <c r="V347" s="4">
        <f t="shared" si="119"/>
        <v>0</v>
      </c>
      <c r="W347" s="5">
        <f t="shared" si="120"/>
        <v>0</v>
      </c>
      <c r="X347" s="5">
        <f t="shared" si="121"/>
        <v>-17.210338551259525</v>
      </c>
      <c r="Y347" s="5">
        <f t="shared" si="122"/>
        <v>1.5467476282331691</v>
      </c>
      <c r="Z347" s="5">
        <f>1</f>
        <v>1</v>
      </c>
      <c r="AA347" s="5">
        <f>IF(M347=0,0,const*($T347/omega)*O347*(wy*I347-wz*(H347-V347))/Z347)</f>
        <v>0</v>
      </c>
      <c r="AB347" s="5">
        <f>IF(M347=0,0,const*($T347/omega)*O347*(wz*(G347-U347)-wx*I347)/Z347)</f>
        <v>1.0024363376680283</v>
      </c>
      <c r="AC347" s="5">
        <f>IF(M347=0,0,const*($T347/omega)*O347*(wx*(H347-V347)-wy*(G347-U347))/Z347)</f>
        <v>11.153900243608931</v>
      </c>
      <c r="AD347" s="5">
        <f t="shared" si="135"/>
        <v>0</v>
      </c>
      <c r="AE347" s="5">
        <f t="shared" si="135"/>
        <v>-16.207902213591495</v>
      </c>
      <c r="AF347" s="5">
        <f t="shared" si="123"/>
        <v>-19.473352128157899</v>
      </c>
      <c r="AG347">
        <f t="shared" si="134"/>
        <v>0</v>
      </c>
    </row>
    <row r="348" spans="1:33" x14ac:dyDescent="0.2">
      <c r="A348">
        <f t="shared" si="124"/>
        <v>3.1599999999999766</v>
      </c>
      <c r="B348" s="5">
        <f t="shared" si="125"/>
        <v>0</v>
      </c>
      <c r="C348" s="5">
        <f t="shared" si="126"/>
        <v>550.71125466133196</v>
      </c>
      <c r="D348" s="5">
        <f t="shared" si="127"/>
        <v>55.175883892341091</v>
      </c>
      <c r="E348" s="2">
        <f t="shared" si="109"/>
        <v>183.570418220444</v>
      </c>
      <c r="F348" s="2">
        <f t="shared" si="128"/>
        <v>0</v>
      </c>
      <c r="G348" s="3">
        <f t="shared" si="129"/>
        <v>0</v>
      </c>
      <c r="H348" s="3">
        <f t="shared" si="130"/>
        <v>136.25210857407063</v>
      </c>
      <c r="I348" s="3">
        <f t="shared" si="131"/>
        <v>-12.454708564384104</v>
      </c>
      <c r="J348" s="2">
        <f t="shared" si="110"/>
        <v>136.8201624626432</v>
      </c>
      <c r="K348" s="2">
        <f t="shared" si="132"/>
        <v>93.265277752313011</v>
      </c>
      <c r="L348" s="5">
        <f t="shared" si="111"/>
        <v>25.576780850472357</v>
      </c>
      <c r="M348" s="3">
        <f t="shared" si="112"/>
        <v>19.432065275252214</v>
      </c>
      <c r="N348" s="2">
        <v>0</v>
      </c>
      <c r="O348" s="2">
        <f t="shared" si="113"/>
        <v>136.8201624626432</v>
      </c>
      <c r="P348" s="2">
        <f t="shared" si="114"/>
        <v>93.265277752313011</v>
      </c>
      <c r="Q348" s="5">
        <f t="shared" si="115"/>
        <v>1.1531164526952655</v>
      </c>
      <c r="R348" s="5">
        <f t="shared" si="116"/>
        <v>0.16212397869929907</v>
      </c>
      <c r="S348" s="4">
        <f t="shared" si="133"/>
        <v>0.14202632803157111</v>
      </c>
      <c r="T348" s="5">
        <f t="shared" si="117"/>
        <v>0.10508943270900679</v>
      </c>
      <c r="U348" s="4">
        <f t="shared" si="118"/>
        <v>0</v>
      </c>
      <c r="V348" s="4">
        <f t="shared" si="119"/>
        <v>0</v>
      </c>
      <c r="W348" s="5">
        <f t="shared" si="120"/>
        <v>0</v>
      </c>
      <c r="X348" s="5">
        <f t="shared" si="121"/>
        <v>-17.174315048359297</v>
      </c>
      <c r="Y348" s="5">
        <f t="shared" si="122"/>
        <v>1.5698919521964567</v>
      </c>
      <c r="Z348" s="5">
        <f>1</f>
        <v>1</v>
      </c>
      <c r="AA348" s="5">
        <f>IF(M348=0,0,const*($T348/omega)*O348*(wy*I348-wz*(H348-V348))/Z348)</f>
        <v>0</v>
      </c>
      <c r="AB348" s="5">
        <f>IF(M348=0,0,const*($T348/omega)*O348*(wz*(G348-U348)-wx*I348)/Z348)</f>
        <v>1.0176104484627613</v>
      </c>
      <c r="AC348" s="5">
        <f>IF(M348=0,0,const*($T348/omega)*O348*(wx*(H348-V348)-wy*(G348-U348))/Z348)</f>
        <v>11.13246195953147</v>
      </c>
      <c r="AD348" s="5">
        <f t="shared" si="135"/>
        <v>0</v>
      </c>
      <c r="AE348" s="5">
        <f t="shared" si="135"/>
        <v>-16.156704599896536</v>
      </c>
      <c r="AF348" s="5">
        <f t="shared" si="123"/>
        <v>-19.471646088272074</v>
      </c>
      <c r="AG348">
        <f t="shared" si="134"/>
        <v>0</v>
      </c>
    </row>
    <row r="349" spans="1:33" x14ac:dyDescent="0.2">
      <c r="A349">
        <f t="shared" si="124"/>
        <v>3.1699999999999764</v>
      </c>
      <c r="B349" s="5">
        <f t="shared" si="125"/>
        <v>0</v>
      </c>
      <c r="C349" s="5">
        <f t="shared" si="126"/>
        <v>552.07296791184262</v>
      </c>
      <c r="D349" s="5">
        <f t="shared" si="127"/>
        <v>55.050363224392839</v>
      </c>
      <c r="E349" s="2">
        <f t="shared" si="109"/>
        <v>184.02432263728087</v>
      </c>
      <c r="F349" s="2">
        <f t="shared" si="128"/>
        <v>0</v>
      </c>
      <c r="G349" s="3">
        <f t="shared" si="129"/>
        <v>0</v>
      </c>
      <c r="H349" s="3">
        <f t="shared" si="130"/>
        <v>136.09054152807167</v>
      </c>
      <c r="I349" s="3">
        <f t="shared" si="131"/>
        <v>-12.649425025266824</v>
      </c>
      <c r="J349" s="2">
        <f t="shared" si="110"/>
        <v>136.67715041978906</v>
      </c>
      <c r="K349" s="2">
        <f t="shared" si="132"/>
        <v>93.167791697197714</v>
      </c>
      <c r="L349" s="5">
        <f t="shared" si="111"/>
        <v>25.603543097620648</v>
      </c>
      <c r="M349" s="3">
        <f t="shared" si="112"/>
        <v>19.426985812984324</v>
      </c>
      <c r="N349" s="2">
        <v>0</v>
      </c>
      <c r="O349" s="2">
        <f t="shared" si="113"/>
        <v>136.67715041978906</v>
      </c>
      <c r="P349" s="2">
        <f t="shared" si="114"/>
        <v>93.167791697197714</v>
      </c>
      <c r="Q349" s="5">
        <f t="shared" si="115"/>
        <v>1.1519111512500659</v>
      </c>
      <c r="R349" s="5">
        <f t="shared" si="116"/>
        <v>0.16214723973611517</v>
      </c>
      <c r="S349" s="4">
        <f t="shared" si="133"/>
        <v>0.14213777323653912</v>
      </c>
      <c r="T349" s="5">
        <f t="shared" si="117"/>
        <v>0.10512240957378921</v>
      </c>
      <c r="U349" s="4">
        <f t="shared" si="118"/>
        <v>0</v>
      </c>
      <c r="V349" s="4">
        <f t="shared" si="119"/>
        <v>0</v>
      </c>
      <c r="W349" s="5">
        <f t="shared" si="120"/>
        <v>0</v>
      </c>
      <c r="X349" s="5">
        <f t="shared" si="121"/>
        <v>-17.13847819400717</v>
      </c>
      <c r="Y349" s="5">
        <f t="shared" si="122"/>
        <v>1.592997518622894</v>
      </c>
      <c r="Z349" s="5">
        <f>1</f>
        <v>1</v>
      </c>
      <c r="AA349" s="5">
        <f>IF(M349=0,0,const*($T349/omega)*O349*(wy*I349-wz*(H349-V349))/Z349)</f>
        <v>0</v>
      </c>
      <c r="AB349" s="5">
        <f>IF(M349=0,0,const*($T349/omega)*O349*(wz*(G349-U349)-wx*I349)/Z349)</f>
        <v>1.0327634184537235</v>
      </c>
      <c r="AC349" s="5">
        <f>IF(M349=0,0,const*($T349/omega)*O349*(wx*(H349-V349)-wy*(G349-U349))/Z349)</f>
        <v>11.111124229520859</v>
      </c>
      <c r="AD349" s="5">
        <f t="shared" si="135"/>
        <v>0</v>
      </c>
      <c r="AE349" s="5">
        <f t="shared" si="135"/>
        <v>-16.105714775553448</v>
      </c>
      <c r="AF349" s="5">
        <f t="shared" si="123"/>
        <v>-19.469878251856244</v>
      </c>
      <c r="AG349">
        <f t="shared" si="134"/>
        <v>0</v>
      </c>
    </row>
    <row r="350" spans="1:33" x14ac:dyDescent="0.2">
      <c r="A350">
        <f t="shared" si="124"/>
        <v>3.1799999999999762</v>
      </c>
      <c r="B350" s="5">
        <f t="shared" si="125"/>
        <v>0</v>
      </c>
      <c r="C350" s="5">
        <f t="shared" si="126"/>
        <v>553.43306804138456</v>
      </c>
      <c r="D350" s="5">
        <f t="shared" si="127"/>
        <v>54.922895480227574</v>
      </c>
      <c r="E350" s="2">
        <f t="shared" si="109"/>
        <v>184.47768934712818</v>
      </c>
      <c r="F350" s="2">
        <f t="shared" si="128"/>
        <v>0</v>
      </c>
      <c r="G350" s="3">
        <f t="shared" si="129"/>
        <v>0</v>
      </c>
      <c r="H350" s="3">
        <f t="shared" si="130"/>
        <v>135.92948438031613</v>
      </c>
      <c r="I350" s="3">
        <f t="shared" si="131"/>
        <v>-12.844123807785387</v>
      </c>
      <c r="J350" s="2">
        <f t="shared" si="110"/>
        <v>136.53496343533521</v>
      </c>
      <c r="K350" s="2">
        <f t="shared" si="132"/>
        <v>93.070868054079895</v>
      </c>
      <c r="L350" s="5">
        <f t="shared" si="111"/>
        <v>25.630206528677327</v>
      </c>
      <c r="M350" s="3">
        <f t="shared" si="112"/>
        <v>19.421908991356979</v>
      </c>
      <c r="N350" s="2">
        <v>0</v>
      </c>
      <c r="O350" s="2">
        <f t="shared" si="113"/>
        <v>136.53496343533521</v>
      </c>
      <c r="P350" s="2">
        <f t="shared" si="114"/>
        <v>93.070868054079895</v>
      </c>
      <c r="Q350" s="5">
        <f t="shared" si="115"/>
        <v>1.1507128033736875</v>
      </c>
      <c r="R350" s="5">
        <f t="shared" si="116"/>
        <v>0.16217037412387778</v>
      </c>
      <c r="S350" s="4">
        <f t="shared" si="133"/>
        <v>0.14224861165730238</v>
      </c>
      <c r="T350" s="5">
        <f t="shared" si="117"/>
        <v>0.10515519150633582</v>
      </c>
      <c r="U350" s="4">
        <f t="shared" si="118"/>
        <v>0</v>
      </c>
      <c r="V350" s="4">
        <f t="shared" si="119"/>
        <v>0</v>
      </c>
      <c r="W350" s="5">
        <f t="shared" si="120"/>
        <v>0</v>
      </c>
      <c r="X350" s="5">
        <f t="shared" si="121"/>
        <v>-17.102827085270942</v>
      </c>
      <c r="Y350" s="5">
        <f t="shared" si="122"/>
        <v>1.6160646054666832</v>
      </c>
      <c r="Z350" s="5">
        <f>1</f>
        <v>1</v>
      </c>
      <c r="AA350" s="5">
        <f>IF(M350=0,0,const*($T350/omega)*O350*(wy*I350-wz*(H350-V350))/Z350)</f>
        <v>0</v>
      </c>
      <c r="AB350" s="5">
        <f>IF(M350=0,0,const*($T350/omega)*O350*(wz*(G350-U350)-wx*I350)/Z350)</f>
        <v>1.0478953630867816</v>
      </c>
      <c r="AC350" s="5">
        <f>IF(M350=0,0,const*($T350/omega)*O350*(wx*(H350-V350)-wy*(G350-U350))/Z350)</f>
        <v>11.089886590985</v>
      </c>
      <c r="AD350" s="5">
        <f t="shared" si="135"/>
        <v>0</v>
      </c>
      <c r="AE350" s="5">
        <f t="shared" si="135"/>
        <v>-16.054931722184161</v>
      </c>
      <c r="AF350" s="5">
        <f t="shared" si="123"/>
        <v>-19.468048803548317</v>
      </c>
      <c r="AG350">
        <f t="shared" si="134"/>
        <v>0</v>
      </c>
    </row>
    <row r="351" spans="1:33" x14ac:dyDescent="0.2">
      <c r="A351">
        <f t="shared" si="124"/>
        <v>3.189999999999976</v>
      </c>
      <c r="B351" s="5">
        <f t="shared" si="125"/>
        <v>0</v>
      </c>
      <c r="C351" s="5">
        <f t="shared" si="126"/>
        <v>554.79156013860154</v>
      </c>
      <c r="D351" s="5">
        <f t="shared" si="127"/>
        <v>54.793480839709538</v>
      </c>
      <c r="E351" s="2">
        <f t="shared" si="109"/>
        <v>184.93052004620051</v>
      </c>
      <c r="F351" s="2">
        <f t="shared" si="128"/>
        <v>0</v>
      </c>
      <c r="G351" s="3">
        <f t="shared" si="129"/>
        <v>0</v>
      </c>
      <c r="H351" s="3">
        <f t="shared" si="130"/>
        <v>135.76893506309429</v>
      </c>
      <c r="I351" s="3">
        <f t="shared" si="131"/>
        <v>-13.038804295820871</v>
      </c>
      <c r="J351" s="2">
        <f t="shared" si="110"/>
        <v>136.39360009044205</v>
      </c>
      <c r="K351" s="2">
        <f t="shared" si="132"/>
        <v>92.974505855788706</v>
      </c>
      <c r="L351" s="5">
        <f t="shared" si="111"/>
        <v>25.65677061762867</v>
      </c>
      <c r="M351" s="3">
        <f t="shared" si="112"/>
        <v>19.416834696770017</v>
      </c>
      <c r="N351" s="2">
        <v>0</v>
      </c>
      <c r="O351" s="2">
        <f t="shared" si="113"/>
        <v>136.39360009044205</v>
      </c>
      <c r="P351" s="2">
        <f t="shared" si="114"/>
        <v>92.974505855788706</v>
      </c>
      <c r="Q351" s="5">
        <f t="shared" si="115"/>
        <v>1.1495213971081901</v>
      </c>
      <c r="R351" s="5">
        <f t="shared" si="116"/>
        <v>0.16219338118192811</v>
      </c>
      <c r="S351" s="4">
        <f t="shared" si="133"/>
        <v>0.1423588400327786</v>
      </c>
      <c r="T351" s="5">
        <f t="shared" si="117"/>
        <v>0.1051877778137387</v>
      </c>
      <c r="U351" s="4">
        <f t="shared" si="118"/>
        <v>0</v>
      </c>
      <c r="V351" s="4">
        <f t="shared" si="119"/>
        <v>0</v>
      </c>
      <c r="W351" s="5">
        <f t="shared" si="120"/>
        <v>0</v>
      </c>
      <c r="X351" s="5">
        <f t="shared" si="121"/>
        <v>-17.067360824339676</v>
      </c>
      <c r="Y351" s="5">
        <f t="shared" si="122"/>
        <v>1.6390934902104637</v>
      </c>
      <c r="Z351" s="5">
        <f>1</f>
        <v>1</v>
      </c>
      <c r="AA351" s="5">
        <f>IF(M351=0,0,const*($T351/omega)*O351*(wy*I351-wz*(H351-V351))/Z351)</f>
        <v>0</v>
      </c>
      <c r="AB351" s="5">
        <f>IF(M351=0,0,const*($T351/omega)*O351*(wz*(G351-U351)-wx*I351)/Z351)</f>
        <v>1.0630063977198489</v>
      </c>
      <c r="AC351" s="5">
        <f>IF(M351=0,0,const*($T351/omega)*O351*(wx*(H351-V351)-wy*(G351-U351))/Z351)</f>
        <v>11.068748583789825</v>
      </c>
      <c r="AD351" s="5">
        <f t="shared" si="135"/>
        <v>0</v>
      </c>
      <c r="AE351" s="5">
        <f t="shared" si="135"/>
        <v>-16.004354426619827</v>
      </c>
      <c r="AF351" s="5">
        <f t="shared" si="123"/>
        <v>-19.46615792599971</v>
      </c>
      <c r="AG351">
        <f t="shared" si="134"/>
        <v>0</v>
      </c>
    </row>
    <row r="352" spans="1:33" x14ac:dyDescent="0.2">
      <c r="A352">
        <f t="shared" si="124"/>
        <v>3.1999999999999758</v>
      </c>
      <c r="B352" s="5">
        <f t="shared" si="125"/>
        <v>0</v>
      </c>
      <c r="C352" s="5">
        <f t="shared" si="126"/>
        <v>556.14844927151114</v>
      </c>
      <c r="D352" s="5">
        <f t="shared" si="127"/>
        <v>54.662119488855026</v>
      </c>
      <c r="E352" s="2">
        <f t="shared" ref="E352:E415" si="136">SQRT(B352^2+C352^2)/3</f>
        <v>185.38281642383706</v>
      </c>
      <c r="F352" s="2">
        <f t="shared" si="128"/>
        <v>0</v>
      </c>
      <c r="G352" s="3">
        <f t="shared" si="129"/>
        <v>0</v>
      </c>
      <c r="H352" s="3">
        <f t="shared" si="130"/>
        <v>135.6088915188281</v>
      </c>
      <c r="I352" s="3">
        <f t="shared" si="131"/>
        <v>-13.233465875080867</v>
      </c>
      <c r="J352" s="2">
        <f t="shared" ref="J352:J415" si="137">SQRT(G352^2+H352^2+I352^2)</f>
        <v>136.25305896761444</v>
      </c>
      <c r="K352" s="2">
        <f t="shared" si="132"/>
        <v>92.878704136069828</v>
      </c>
      <c r="L352" s="5">
        <f t="shared" ref="L352:L415" si="138">1/(0.00002*J352/(circ/(2*PI()*12)))</f>
        <v>25.683234840729813</v>
      </c>
      <c r="M352" s="3">
        <f t="shared" ref="M352:M415" si="139">romega*EXP(-A352/L352)</f>
        <v>19.411762816032368</v>
      </c>
      <c r="N352" s="2">
        <v>0</v>
      </c>
      <c r="O352" s="2">
        <f t="shared" ref="O352:O415" si="140">IF(D352&gt;=hwind,SQRT((G352-vxw)^2+(H352-vyw)^2+I352^2),J352)</f>
        <v>136.25305896761444</v>
      </c>
      <c r="P352" s="2">
        <f t="shared" ref="P352:P415" si="141">J352/1.467</f>
        <v>92.878704136069828</v>
      </c>
      <c r="Q352" s="5">
        <f t="shared" ref="Q352:Q415" si="142">(P352/100)*Re_100*0.00001</f>
        <v>1.1483369205069656</v>
      </c>
      <c r="R352" s="5">
        <f t="shared" ref="R352:R415" si="143">IF(Q352&lt;=ReLow,CdL,IF(Q352&lt;ReHigh,CdL+(CdH-CdL)*(Q352-ReLow)/(ReHigh-ReLow),CdH))+CdS*S352</f>
        <v>0.16221626023268684</v>
      </c>
      <c r="S352" s="4">
        <f t="shared" si="133"/>
        <v>0.14246845511663916</v>
      </c>
      <c r="T352" s="5">
        <f t="shared" ref="T352:T415" si="144">ClAmp*S352^0.4</f>
        <v>0.10522016780718862</v>
      </c>
      <c r="U352" s="4">
        <f t="shared" ref="U352:U415" si="145">IF(D352&gt;=hwind,vxw,0)</f>
        <v>0</v>
      </c>
      <c r="V352" s="4">
        <f t="shared" ref="V352:V415" si="146">IF(D352&gt;=hwind,vyw,0)</f>
        <v>0</v>
      </c>
      <c r="W352" s="5">
        <f t="shared" ref="W352:W415" si="147">-const*$R352*$O352*(G352-U352)</f>
        <v>0</v>
      </c>
      <c r="X352" s="5">
        <f t="shared" ref="X352:X415" si="148">-const*$R352*$O352*(H352-V352)</f>
        <v>-17.03207851848266</v>
      </c>
      <c r="Y352" s="5">
        <f t="shared" ref="Y352:Y415" si="149">-const*$R352*$O352*I352</f>
        <v>1.6620844498588376</v>
      </c>
      <c r="Z352" s="5">
        <f>1</f>
        <v>1</v>
      </c>
      <c r="AA352" s="5">
        <f>IF(M352=0,0,const*($T352/omega)*O352*(wy*I352-wz*(H352-V352))/Z352)</f>
        <v>0</v>
      </c>
      <c r="AB352" s="5">
        <f>IF(M352=0,0,const*($T352/omega)*O352*(wz*(G352-U352)-wx*I352)/Z352)</f>
        <v>1.0780966376182437</v>
      </c>
      <c r="AC352" s="5">
        <f>IF(M352=0,0,const*($T352/omega)*O352*(wx*(H352-V352)-wy*(G352-U352))/Z352)</f>
        <v>11.047709750238981</v>
      </c>
      <c r="AD352" s="5">
        <f t="shared" si="135"/>
        <v>0</v>
      </c>
      <c r="AE352" s="5">
        <f t="shared" si="135"/>
        <v>-15.953981880864417</v>
      </c>
      <c r="AF352" s="5">
        <f t="shared" ref="AF352:AF415" si="150">Y352+AC352-32.174</f>
        <v>-19.464205799902182</v>
      </c>
      <c r="AG352">
        <f t="shared" si="134"/>
        <v>0</v>
      </c>
    </row>
    <row r="353" spans="1:33" x14ac:dyDescent="0.2">
      <c r="A353">
        <f t="shared" ref="A353:A416" si="151">A352+dt</f>
        <v>3.2099999999999755</v>
      </c>
      <c r="B353" s="5">
        <f t="shared" ref="B353:B416" si="152">B352+G352*dt+0.5*AD352*dt*dt</f>
        <v>0</v>
      </c>
      <c r="C353" s="5">
        <f t="shared" ref="C353:C416" si="153">C352+H352*dt+0.5*AE352*dt*dt</f>
        <v>557.50374048760534</v>
      </c>
      <c r="D353" s="5">
        <f t="shared" ref="D353:D416" si="154">D352+I352*dt+0.5*AF352*dt*dt</f>
        <v>54.528811619814228</v>
      </c>
      <c r="E353" s="2">
        <f t="shared" si="136"/>
        <v>185.8345801625351</v>
      </c>
      <c r="F353" s="2">
        <f t="shared" ref="F353:F416" si="155">ATAN2(C353,B353)*180/PI()</f>
        <v>0</v>
      </c>
      <c r="G353" s="3">
        <f t="shared" ref="G353:G416" si="156">G352+AD352*dt</f>
        <v>0</v>
      </c>
      <c r="H353" s="3">
        <f t="shared" ref="H353:H416" si="157">H352+AE352*dt</f>
        <v>135.44935170001946</v>
      </c>
      <c r="I353" s="3">
        <f t="shared" ref="I353:I416" si="158">I352+AF352*dt</f>
        <v>-13.42810793307989</v>
      </c>
      <c r="J353" s="2">
        <f t="shared" si="137"/>
        <v>136.11333865061869</v>
      </c>
      <c r="K353" s="2">
        <f t="shared" ref="K353:K416" si="159">J353/1.467</f>
        <v>92.783461929528755</v>
      </c>
      <c r="L353" s="5">
        <f t="shared" si="138"/>
        <v>25.709598676552211</v>
      </c>
      <c r="M353" s="3">
        <f t="shared" si="139"/>
        <v>19.406693236362656</v>
      </c>
      <c r="N353" s="2">
        <v>0</v>
      </c>
      <c r="O353" s="2">
        <f t="shared" si="140"/>
        <v>136.11333865061869</v>
      </c>
      <c r="P353" s="2">
        <f t="shared" si="141"/>
        <v>92.783461929528755</v>
      </c>
      <c r="Q353" s="5">
        <f t="shared" si="142"/>
        <v>1.1471593616340356</v>
      </c>
      <c r="R353" s="5">
        <f t="shared" si="143"/>
        <v>0.16223901060171564</v>
      </c>
      <c r="S353" s="4">
        <f t="shared" ref="S353:S416" si="160">(M353/O353)</f>
        <v>0.14257745367760433</v>
      </c>
      <c r="T353" s="5">
        <f t="shared" si="144"/>
        <v>0.10525236080203274</v>
      </c>
      <c r="U353" s="4">
        <f t="shared" si="145"/>
        <v>0</v>
      </c>
      <c r="V353" s="4">
        <f t="shared" si="146"/>
        <v>0</v>
      </c>
      <c r="W353" s="5">
        <f t="shared" si="147"/>
        <v>0</v>
      </c>
      <c r="X353" s="5">
        <f t="shared" si="148"/>
        <v>-16.996979280008745</v>
      </c>
      <c r="Y353" s="5">
        <f t="shared" si="149"/>
        <v>1.6850377609319127</v>
      </c>
      <c r="Z353" s="5">
        <f>1</f>
        <v>1</v>
      </c>
      <c r="AA353" s="5">
        <f>IF(M353=0,0,const*($T353/omega)*O353*(wy*I353-wz*(H353-V353))/Z353)</f>
        <v>0</v>
      </c>
      <c r="AB353" s="5">
        <f>IF(M353=0,0,const*($T353/omega)*O353*(wz*(G353-U353)-wx*I353)/Z353)</f>
        <v>1.0931661979500482</v>
      </c>
      <c r="AC353" s="5">
        <f>IF(M353=0,0,const*($T353/omega)*O353*(wx*(H353-V353)-wy*(G353-U353))/Z353)</f>
        <v>11.026769635053711</v>
      </c>
      <c r="AD353" s="5">
        <f t="shared" si="135"/>
        <v>0</v>
      </c>
      <c r="AE353" s="5">
        <f t="shared" si="135"/>
        <v>-15.903813082058697</v>
      </c>
      <c r="AF353" s="5">
        <f t="shared" si="150"/>
        <v>-19.462192604014376</v>
      </c>
      <c r="AG353">
        <f t="shared" si="134"/>
        <v>0</v>
      </c>
    </row>
    <row r="354" spans="1:33" x14ac:dyDescent="0.2">
      <c r="A354">
        <f t="shared" si="151"/>
        <v>3.2199999999999753</v>
      </c>
      <c r="B354" s="5">
        <f t="shared" si="152"/>
        <v>0</v>
      </c>
      <c r="C354" s="5">
        <f t="shared" si="153"/>
        <v>558.85743881395138</v>
      </c>
      <c r="D354" s="5">
        <f t="shared" si="154"/>
        <v>54.393557430853228</v>
      </c>
      <c r="E354" s="2">
        <f t="shared" si="136"/>
        <v>186.28581293798379</v>
      </c>
      <c r="F354" s="2">
        <f t="shared" si="155"/>
        <v>0</v>
      </c>
      <c r="G354" s="3">
        <f t="shared" si="156"/>
        <v>0</v>
      </c>
      <c r="H354" s="3">
        <f t="shared" si="157"/>
        <v>135.29031356919887</v>
      </c>
      <c r="I354" s="3">
        <f t="shared" si="158"/>
        <v>-13.622729859120033</v>
      </c>
      <c r="J354" s="2">
        <f t="shared" si="137"/>
        <v>135.97443772439993</v>
      </c>
      <c r="K354" s="2">
        <f t="shared" si="159"/>
        <v>92.688778271574591</v>
      </c>
      <c r="L354" s="5">
        <f t="shared" si="138"/>
        <v>25.735861606031087</v>
      </c>
      <c r="M354" s="3">
        <f t="shared" si="139"/>
        <v>19.401625845389788</v>
      </c>
      <c r="N354" s="2">
        <v>0</v>
      </c>
      <c r="O354" s="2">
        <f t="shared" si="140"/>
        <v>135.97443772439993</v>
      </c>
      <c r="P354" s="2">
        <f t="shared" si="141"/>
        <v>92.688778271574591</v>
      </c>
      <c r="Q354" s="5">
        <f t="shared" si="142"/>
        <v>1.1459887085633582</v>
      </c>
      <c r="R354" s="5">
        <f t="shared" si="143"/>
        <v>0.16226163161777873</v>
      </c>
      <c r="S354" s="4">
        <f t="shared" si="160"/>
        <v>0.14268583249973801</v>
      </c>
      <c r="T354" s="5">
        <f t="shared" si="144"/>
        <v>0.10528435611783188</v>
      </c>
      <c r="U354" s="4">
        <f t="shared" si="145"/>
        <v>0</v>
      </c>
      <c r="V354" s="4">
        <f t="shared" si="146"/>
        <v>0</v>
      </c>
      <c r="W354" s="5">
        <f t="shared" si="147"/>
        <v>0</v>
      </c>
      <c r="X354" s="5">
        <f t="shared" si="148"/>
        <v>-16.962062226226028</v>
      </c>
      <c r="Y354" s="5">
        <f t="shared" si="149"/>
        <v>1.707953699458852</v>
      </c>
      <c r="Z354" s="5">
        <f>1</f>
        <v>1</v>
      </c>
      <c r="AA354" s="5">
        <f>IF(M354=0,0,const*($T354/omega)*O354*(wy*I354-wz*(H354-V354))/Z354)</f>
        <v>0</v>
      </c>
      <c r="AB354" s="5">
        <f>IF(M354=0,0,const*($T354/omega)*O354*(wz*(G354-U354)-wx*I354)/Z354)</f>
        <v>1.1082151937814702</v>
      </c>
      <c r="AC354" s="5">
        <f>IF(M354=0,0,const*($T354/omega)*O354*(wx*(H354-V354)-wy*(G354-U354))/Z354)</f>
        <v>11.005927785352887</v>
      </c>
      <c r="AD354" s="5">
        <f t="shared" si="135"/>
        <v>0</v>
      </c>
      <c r="AE354" s="5">
        <f t="shared" si="135"/>
        <v>-15.853847032444557</v>
      </c>
      <c r="AF354" s="5">
        <f t="shared" si="150"/>
        <v>-19.460118515188263</v>
      </c>
      <c r="AG354">
        <f t="shared" ref="AG354:AG417" si="161">IF($D354*$D355&lt;0,1,0)</f>
        <v>0</v>
      </c>
    </row>
    <row r="355" spans="1:33" x14ac:dyDescent="0.2">
      <c r="A355">
        <f t="shared" si="151"/>
        <v>3.2299999999999751</v>
      </c>
      <c r="B355" s="5">
        <f t="shared" si="152"/>
        <v>0</v>
      </c>
      <c r="C355" s="5">
        <f t="shared" si="153"/>
        <v>560.20954925729177</v>
      </c>
      <c r="D355" s="5">
        <f t="shared" si="154"/>
        <v>54.256357126336269</v>
      </c>
      <c r="E355" s="2">
        <f t="shared" si="136"/>
        <v>186.73651641909726</v>
      </c>
      <c r="F355" s="2">
        <f t="shared" si="155"/>
        <v>0</v>
      </c>
      <c r="G355" s="3">
        <f t="shared" si="156"/>
        <v>0</v>
      </c>
      <c r="H355" s="3">
        <f t="shared" si="157"/>
        <v>135.13177509887441</v>
      </c>
      <c r="I355" s="3">
        <f t="shared" si="158"/>
        <v>-13.817331044271915</v>
      </c>
      <c r="J355" s="2">
        <f t="shared" si="137"/>
        <v>135.83635477500042</v>
      </c>
      <c r="K355" s="2">
        <f t="shared" si="159"/>
        <v>92.594652198364287</v>
      </c>
      <c r="L355" s="5">
        <f t="shared" si="138"/>
        <v>25.7620231125128</v>
      </c>
      <c r="M355" s="3">
        <f t="shared" si="139"/>
        <v>19.39656053115359</v>
      </c>
      <c r="N355" s="2">
        <v>0</v>
      </c>
      <c r="O355" s="2">
        <f t="shared" si="140"/>
        <v>135.83635477500042</v>
      </c>
      <c r="P355" s="2">
        <f t="shared" si="141"/>
        <v>92.594652198364287</v>
      </c>
      <c r="Q355" s="5">
        <f t="shared" si="142"/>
        <v>1.1448249493781377</v>
      </c>
      <c r="R355" s="5">
        <f t="shared" si="143"/>
        <v>0.16228412261290445</v>
      </c>
      <c r="S355" s="4">
        <f t="shared" si="160"/>
        <v>0.1427935883827425</v>
      </c>
      <c r="T355" s="5">
        <f t="shared" si="144"/>
        <v>0.1053161530784181</v>
      </c>
      <c r="U355" s="4">
        <f t="shared" si="145"/>
        <v>0</v>
      </c>
      <c r="V355" s="4">
        <f t="shared" si="146"/>
        <v>0</v>
      </c>
      <c r="W355" s="5">
        <f t="shared" si="147"/>
        <v>0</v>
      </c>
      <c r="X355" s="5">
        <f t="shared" si="148"/>
        <v>-16.927326479401923</v>
      </c>
      <c r="Y355" s="5">
        <f t="shared" si="149"/>
        <v>1.7308325409714418</v>
      </c>
      <c r="Z355" s="5">
        <f>1</f>
        <v>1</v>
      </c>
      <c r="AA355" s="5">
        <f>IF(M355=0,0,const*($T355/omega)*O355*(wy*I355-wz*(H355-V355))/Z355)</f>
        <v>0</v>
      </c>
      <c r="AB355" s="5">
        <f>IF(M355=0,0,const*($T355/omega)*O355*(wz*(G355-U355)-wx*I355)/Z355)</f>
        <v>1.1232437400722088</v>
      </c>
      <c r="AC355" s="5">
        <f>IF(M355=0,0,const*($T355/omega)*O355*(wx*(H355-V355)-wy*(G355-U355))/Z355)</f>
        <v>10.985183750633256</v>
      </c>
      <c r="AD355" s="5">
        <f t="shared" si="135"/>
        <v>0</v>
      </c>
      <c r="AE355" s="5">
        <f t="shared" si="135"/>
        <v>-15.804082739329715</v>
      </c>
      <c r="AF355" s="5">
        <f t="shared" si="150"/>
        <v>-19.457983708395304</v>
      </c>
      <c r="AG355">
        <f t="shared" si="161"/>
        <v>0</v>
      </c>
    </row>
    <row r="356" spans="1:33" x14ac:dyDescent="0.2">
      <c r="A356">
        <f t="shared" si="151"/>
        <v>3.2399999999999749</v>
      </c>
      <c r="B356" s="5">
        <f t="shared" si="152"/>
        <v>0</v>
      </c>
      <c r="C356" s="5">
        <f t="shared" si="153"/>
        <v>561.56007680414359</v>
      </c>
      <c r="D356" s="5">
        <f t="shared" si="154"/>
        <v>54.117210916708132</v>
      </c>
      <c r="E356" s="2">
        <f t="shared" si="136"/>
        <v>187.18669226804786</v>
      </c>
      <c r="F356" s="2">
        <f t="shared" si="155"/>
        <v>0</v>
      </c>
      <c r="G356" s="3">
        <f t="shared" si="156"/>
        <v>0</v>
      </c>
      <c r="H356" s="3">
        <f t="shared" si="157"/>
        <v>134.97373427148111</v>
      </c>
      <c r="I356" s="3">
        <f t="shared" si="158"/>
        <v>-14.011910881355869</v>
      </c>
      <c r="J356" s="2">
        <f t="shared" si="137"/>
        <v>135.69908838947833</v>
      </c>
      <c r="K356" s="2">
        <f t="shared" si="159"/>
        <v>92.501082746747329</v>
      </c>
      <c r="L356" s="5">
        <f t="shared" si="138"/>
        <v>25.788082681802177</v>
      </c>
      <c r="M356" s="3">
        <f t="shared" si="139"/>
        <v>19.391497182105446</v>
      </c>
      <c r="N356" s="2">
        <v>0</v>
      </c>
      <c r="O356" s="2">
        <f t="shared" si="140"/>
        <v>135.69908838947833</v>
      </c>
      <c r="P356" s="2">
        <f t="shared" si="141"/>
        <v>92.501082746747329</v>
      </c>
      <c r="Q356" s="5">
        <f t="shared" si="142"/>
        <v>1.1436680721701404</v>
      </c>
      <c r="R356" s="5">
        <f t="shared" si="143"/>
        <v>0.16230648292244651</v>
      </c>
      <c r="S356" s="4">
        <f t="shared" si="160"/>
        <v>0.14290071814225247</v>
      </c>
      <c r="T356" s="5">
        <f t="shared" si="144"/>
        <v>0.10534775101195157</v>
      </c>
      <c r="U356" s="4">
        <f t="shared" si="145"/>
        <v>0</v>
      </c>
      <c r="V356" s="4">
        <f t="shared" si="146"/>
        <v>0</v>
      </c>
      <c r="W356" s="5">
        <f t="shared" si="147"/>
        <v>0</v>
      </c>
      <c r="X356" s="5">
        <f t="shared" si="148"/>
        <v>-16.892771166723556</v>
      </c>
      <c r="Y356" s="5">
        <f t="shared" si="149"/>
        <v>1.7536745604976667</v>
      </c>
      <c r="Z356" s="5">
        <f>1</f>
        <v>1</v>
      </c>
      <c r="AA356" s="5">
        <f>IF(M356=0,0,const*($T356/omega)*O356*(wy*I356-wz*(H356-V356))/Z356)</f>
        <v>0</v>
      </c>
      <c r="AB356" s="5">
        <f>IF(M356=0,0,const*($T356/omega)*O356*(wz*(G356-U356)-wx*I356)/Z356)</f>
        <v>1.1382519516708227</v>
      </c>
      <c r="AC356" s="5">
        <f>IF(M356=0,0,const*($T356/omega)*O356*(wx*(H356-V356)-wy*(G356-U356))/Z356)</f>
        <v>10.964537082749837</v>
      </c>
      <c r="AD356" s="5">
        <f t="shared" si="135"/>
        <v>0</v>
      </c>
      <c r="AE356" s="5">
        <f t="shared" si="135"/>
        <v>-15.754519215052733</v>
      </c>
      <c r="AF356" s="5">
        <f t="shared" si="150"/>
        <v>-19.455788356752496</v>
      </c>
      <c r="AG356">
        <f t="shared" si="161"/>
        <v>0</v>
      </c>
    </row>
    <row r="357" spans="1:33" x14ac:dyDescent="0.2">
      <c r="A357">
        <f t="shared" si="151"/>
        <v>3.2499999999999747</v>
      </c>
      <c r="B357" s="5">
        <f t="shared" si="152"/>
        <v>0</v>
      </c>
      <c r="C357" s="5">
        <f t="shared" si="153"/>
        <v>562.90902642089759</v>
      </c>
      <c r="D357" s="5">
        <f t="shared" si="154"/>
        <v>53.976119018476737</v>
      </c>
      <c r="E357" s="2">
        <f t="shared" si="136"/>
        <v>187.63634214029921</v>
      </c>
      <c r="F357" s="2">
        <f t="shared" si="155"/>
        <v>0</v>
      </c>
      <c r="G357" s="3">
        <f t="shared" si="156"/>
        <v>0</v>
      </c>
      <c r="H357" s="3">
        <f t="shared" si="157"/>
        <v>134.81618907933057</v>
      </c>
      <c r="I357" s="3">
        <f t="shared" si="158"/>
        <v>-14.206468764923393</v>
      </c>
      <c r="J357" s="2">
        <f t="shared" si="137"/>
        <v>135.56263715582753</v>
      </c>
      <c r="K357" s="2">
        <f t="shared" si="159"/>
        <v>92.408068954210989</v>
      </c>
      <c r="L357" s="5">
        <f t="shared" si="138"/>
        <v>25.814039802209738</v>
      </c>
      <c r="M357" s="3">
        <f t="shared" si="139"/>
        <v>19.386435687108971</v>
      </c>
      <c r="N357" s="2">
        <v>0</v>
      </c>
      <c r="O357" s="2">
        <f t="shared" si="140"/>
        <v>135.56263715582753</v>
      </c>
      <c r="P357" s="2">
        <f t="shared" si="141"/>
        <v>92.408068954210989</v>
      </c>
      <c r="Q357" s="5">
        <f t="shared" si="142"/>
        <v>1.1425180650390183</v>
      </c>
      <c r="R357" s="5">
        <f t="shared" si="143"/>
        <v>0.16232871188514533</v>
      </c>
      <c r="S357" s="4">
        <f t="shared" si="160"/>
        <v>0.14300721861012861</v>
      </c>
      <c r="T357" s="5">
        <f t="shared" si="144"/>
        <v>0.10537914925097765</v>
      </c>
      <c r="U357" s="4">
        <f t="shared" si="145"/>
        <v>0</v>
      </c>
      <c r="V357" s="4">
        <f t="shared" si="146"/>
        <v>0</v>
      </c>
      <c r="W357" s="5">
        <f t="shared" si="147"/>
        <v>0</v>
      </c>
      <c r="X357" s="5">
        <f t="shared" si="148"/>
        <v>-16.858395420258589</v>
      </c>
      <c r="Y357" s="5">
        <f t="shared" si="149"/>
        <v>1.7764800325553041</v>
      </c>
      <c r="Z357" s="5">
        <f>1</f>
        <v>1</v>
      </c>
      <c r="AA357" s="5">
        <f>IF(M357=0,0,const*($T357/omega)*O357*(wy*I357-wz*(H357-V357))/Z357)</f>
        <v>0</v>
      </c>
      <c r="AB357" s="5">
        <f>IF(M357=0,0,const*($T357/omega)*O357*(wz*(G357-U357)-wx*I357)/Z357)</f>
        <v>1.153239943310103</v>
      </c>
      <c r="AC357" s="5">
        <f>IF(M357=0,0,const*($T357/omega)*O357*(wx*(H357-V357)-wy*(G357-U357))/Z357)</f>
        <v>10.943987335896537</v>
      </c>
      <c r="AD357" s="5">
        <f t="shared" si="135"/>
        <v>0</v>
      </c>
      <c r="AE357" s="5">
        <f t="shared" si="135"/>
        <v>-15.705155476948486</v>
      </c>
      <c r="AF357" s="5">
        <f t="shared" si="150"/>
        <v>-19.453532631548157</v>
      </c>
      <c r="AG357">
        <f t="shared" si="161"/>
        <v>0</v>
      </c>
    </row>
    <row r="358" spans="1:33" x14ac:dyDescent="0.2">
      <c r="A358">
        <f t="shared" si="151"/>
        <v>3.2599999999999745</v>
      </c>
      <c r="B358" s="5">
        <f t="shared" si="152"/>
        <v>0</v>
      </c>
      <c r="C358" s="5">
        <f t="shared" si="153"/>
        <v>564.2564030539171</v>
      </c>
      <c r="D358" s="5">
        <f t="shared" si="154"/>
        <v>53.833081654195929</v>
      </c>
      <c r="E358" s="2">
        <f t="shared" si="136"/>
        <v>188.08546768463904</v>
      </c>
      <c r="F358" s="2">
        <f t="shared" si="155"/>
        <v>0</v>
      </c>
      <c r="G358" s="3">
        <f t="shared" si="156"/>
        <v>0</v>
      </c>
      <c r="H358" s="3">
        <f t="shared" si="157"/>
        <v>134.65913752456109</v>
      </c>
      <c r="I358" s="3">
        <f t="shared" si="158"/>
        <v>-14.401004091238875</v>
      </c>
      <c r="J358" s="2">
        <f t="shared" si="137"/>
        <v>135.42699966289783</v>
      </c>
      <c r="K358" s="2">
        <f t="shared" si="159"/>
        <v>92.315609858826051</v>
      </c>
      <c r="L358" s="5">
        <f t="shared" si="138"/>
        <v>25.83989396459889</v>
      </c>
      <c r="M358" s="3">
        <f t="shared" si="139"/>
        <v>19.381375935440694</v>
      </c>
      <c r="N358" s="2">
        <v>0</v>
      </c>
      <c r="O358" s="2">
        <f t="shared" si="140"/>
        <v>135.42699966289783</v>
      </c>
      <c r="P358" s="2">
        <f t="shared" si="141"/>
        <v>92.315609858826051</v>
      </c>
      <c r="Q358" s="5">
        <f t="shared" si="142"/>
        <v>1.141374916091638</v>
      </c>
      <c r="R358" s="5">
        <f t="shared" si="143"/>
        <v>0.16235080884318942</v>
      </c>
      <c r="S358" s="4">
        <f t="shared" si="160"/>
        <v>0.14311308663475103</v>
      </c>
      <c r="T358" s="5">
        <f t="shared" si="144"/>
        <v>0.10541034713248366</v>
      </c>
      <c r="U358" s="4">
        <f t="shared" si="145"/>
        <v>0</v>
      </c>
      <c r="V358" s="4">
        <f t="shared" si="146"/>
        <v>0</v>
      </c>
      <c r="W358" s="5">
        <f t="shared" si="147"/>
        <v>0</v>
      </c>
      <c r="X358" s="5">
        <f t="shared" si="148"/>
        <v>-16.824198376916335</v>
      </c>
      <c r="Y358" s="5">
        <f t="shared" si="149"/>
        <v>1.7992492311455288</v>
      </c>
      <c r="Z358" s="5">
        <f>1</f>
        <v>1</v>
      </c>
      <c r="AA358" s="5">
        <f>IF(M358=0,0,const*($T358/omega)*O358*(wy*I358-wz*(H358-V358))/Z358)</f>
        <v>0</v>
      </c>
      <c r="AB358" s="5">
        <f>IF(M358=0,0,const*($T358/omega)*O358*(wz*(G358-U358)-wx*I358)/Z358)</f>
        <v>1.1682078296024498</v>
      </c>
      <c r="AC358" s="5">
        <f>IF(M358=0,0,const*($T358/omega)*O358*(wx*(H358-V358)-wy*(G358-U358))/Z358)</f>
        <v>10.923534066586912</v>
      </c>
      <c r="AD358" s="5">
        <f t="shared" si="135"/>
        <v>0</v>
      </c>
      <c r="AE358" s="5">
        <f t="shared" si="135"/>
        <v>-15.655990547313886</v>
      </c>
      <c r="AF358" s="5">
        <f t="shared" si="150"/>
        <v>-19.451216702267558</v>
      </c>
      <c r="AG358">
        <f t="shared" si="161"/>
        <v>0</v>
      </c>
    </row>
    <row r="359" spans="1:33" x14ac:dyDescent="0.2">
      <c r="A359">
        <f t="shared" si="151"/>
        <v>3.2699999999999743</v>
      </c>
      <c r="B359" s="5">
        <f t="shared" si="152"/>
        <v>0</v>
      </c>
      <c r="C359" s="5">
        <f t="shared" si="153"/>
        <v>565.60221162963535</v>
      </c>
      <c r="D359" s="5">
        <f t="shared" si="154"/>
        <v>53.688099052448422</v>
      </c>
      <c r="E359" s="2">
        <f t="shared" si="136"/>
        <v>188.53407054321178</v>
      </c>
      <c r="F359" s="2">
        <f t="shared" si="155"/>
        <v>0</v>
      </c>
      <c r="G359" s="3">
        <f t="shared" si="156"/>
        <v>0</v>
      </c>
      <c r="H359" s="3">
        <f t="shared" si="157"/>
        <v>134.50257761908796</v>
      </c>
      <c r="I359" s="3">
        <f t="shared" si="158"/>
        <v>-14.595516258261551</v>
      </c>
      <c r="J359" s="2">
        <f t="shared" si="137"/>
        <v>135.29217450031601</v>
      </c>
      <c r="K359" s="2">
        <f t="shared" si="159"/>
        <v>92.223704499192905</v>
      </c>
      <c r="L359" s="5">
        <f t="shared" si="138"/>
        <v>25.86564466243297</v>
      </c>
      <c r="M359" s="3">
        <f t="shared" si="139"/>
        <v>19.376317816790742</v>
      </c>
      <c r="N359" s="2">
        <v>0</v>
      </c>
      <c r="O359" s="2">
        <f t="shared" si="140"/>
        <v>135.29217450031601</v>
      </c>
      <c r="P359" s="2">
        <f t="shared" si="141"/>
        <v>92.223704499192905</v>
      </c>
      <c r="Q359" s="5">
        <f t="shared" si="142"/>
        <v>1.1402386134414138</v>
      </c>
      <c r="R359" s="5">
        <f t="shared" si="143"/>
        <v>0.16237277314227608</v>
      </c>
      <c r="S359" s="4">
        <f t="shared" si="160"/>
        <v>0.14321831908131155</v>
      </c>
      <c r="T359" s="5">
        <f t="shared" si="144"/>
        <v>0.10544134399795535</v>
      </c>
      <c r="U359" s="4">
        <f t="shared" si="145"/>
        <v>0</v>
      </c>
      <c r="V359" s="4">
        <f t="shared" si="146"/>
        <v>0</v>
      </c>
      <c r="W359" s="5">
        <f t="shared" si="147"/>
        <v>0</v>
      </c>
      <c r="X359" s="5">
        <f t="shared" si="148"/>
        <v>-16.790179178409222</v>
      </c>
      <c r="Y359" s="5">
        <f t="shared" si="149"/>
        <v>1.8219824297465246</v>
      </c>
      <c r="Z359" s="5">
        <f>1</f>
        <v>1</v>
      </c>
      <c r="AA359" s="5">
        <f>IF(M359=0,0,const*($T359/omega)*O359*(wy*I359-wz*(H359-V359))/Z359)</f>
        <v>0</v>
      </c>
      <c r="AB359" s="5">
        <f>IF(M359=0,0,const*($T359/omega)*O359*(wz*(G359-U359)-wx*I359)/Z359)</f>
        <v>1.18315572503525</v>
      </c>
      <c r="AC359" s="5">
        <f>IF(M359=0,0,const*($T359/omega)*O359*(wx*(H359-V359)-wy*(G359-U359))/Z359)</f>
        <v>10.903176833635115</v>
      </c>
      <c r="AD359" s="5">
        <f t="shared" si="135"/>
        <v>0</v>
      </c>
      <c r="AE359" s="5">
        <f t="shared" si="135"/>
        <v>-15.607023453373971</v>
      </c>
      <c r="AF359" s="5">
        <f t="shared" si="150"/>
        <v>-19.448840736618358</v>
      </c>
      <c r="AG359">
        <f t="shared" si="161"/>
        <v>0</v>
      </c>
    </row>
    <row r="360" spans="1:33" x14ac:dyDescent="0.2">
      <c r="A360">
        <f t="shared" si="151"/>
        <v>3.279999999999974</v>
      </c>
      <c r="B360" s="5">
        <f t="shared" si="152"/>
        <v>0</v>
      </c>
      <c r="C360" s="5">
        <f t="shared" si="153"/>
        <v>566.94645705465348</v>
      </c>
      <c r="D360" s="5">
        <f t="shared" si="154"/>
        <v>53.541171447828972</v>
      </c>
      <c r="E360" s="2">
        <f t="shared" si="136"/>
        <v>188.98215235155115</v>
      </c>
      <c r="F360" s="2">
        <f t="shared" si="155"/>
        <v>0</v>
      </c>
      <c r="G360" s="3">
        <f t="shared" si="156"/>
        <v>0</v>
      </c>
      <c r="H360" s="3">
        <f t="shared" si="157"/>
        <v>134.34650738455423</v>
      </c>
      <c r="I360" s="3">
        <f t="shared" si="158"/>
        <v>-14.790004665627734</v>
      </c>
      <c r="J360" s="2">
        <f t="shared" si="137"/>
        <v>135.15816025840752</v>
      </c>
      <c r="K360" s="2">
        <f t="shared" si="159"/>
        <v>92.132351914388209</v>
      </c>
      <c r="L360" s="5">
        <f t="shared" si="138"/>
        <v>25.891291391822325</v>
      </c>
      <c r="M360" s="3">
        <f t="shared" si="139"/>
        <v>19.371261221263591</v>
      </c>
      <c r="N360" s="2">
        <v>0</v>
      </c>
      <c r="O360" s="2">
        <f t="shared" si="140"/>
        <v>135.15816025840752</v>
      </c>
      <c r="P360" s="2">
        <f t="shared" si="141"/>
        <v>92.132351914388209</v>
      </c>
      <c r="Q360" s="5">
        <f t="shared" si="142"/>
        <v>1.1391091452076485</v>
      </c>
      <c r="R360" s="5">
        <f t="shared" si="143"/>
        <v>0.16239460413167278</v>
      </c>
      <c r="S360" s="4">
        <f t="shared" si="160"/>
        <v>0.14332291283210627</v>
      </c>
      <c r="T360" s="5">
        <f t="shared" si="144"/>
        <v>0.10547213919343332</v>
      </c>
      <c r="U360" s="4">
        <f t="shared" si="145"/>
        <v>0</v>
      </c>
      <c r="V360" s="4">
        <f t="shared" si="146"/>
        <v>0</v>
      </c>
      <c r="W360" s="5">
        <f t="shared" si="147"/>
        <v>0</v>
      </c>
      <c r="X360" s="5">
        <f t="shared" si="148"/>
        <v>-16.756336971214694</v>
      </c>
      <c r="Y360" s="5">
        <f t="shared" si="149"/>
        <v>1.8446799013071202</v>
      </c>
      <c r="Z360" s="5">
        <f>1</f>
        <v>1</v>
      </c>
      <c r="AA360" s="5">
        <f>IF(M360=0,0,const*($T360/omega)*O360*(wy*I360-wz*(H360-V360))/Z360)</f>
        <v>0</v>
      </c>
      <c r="AB360" s="5">
        <f>IF(M360=0,0,const*($T360/omega)*O360*(wz*(G360-U360)-wx*I360)/Z360)</f>
        <v>1.1980837439662617</v>
      </c>
      <c r="AC360" s="5">
        <f>IF(M360=0,0,const*($T360/omega)*O360*(wx*(H360-V360)-wy*(G360-U360))/Z360)</f>
        <v>10.882915198137036</v>
      </c>
      <c r="AD360" s="5">
        <f t="shared" si="135"/>
        <v>0</v>
      </c>
      <c r="AE360" s="5">
        <f t="shared" si="135"/>
        <v>-15.558253227248432</v>
      </c>
      <c r="AF360" s="5">
        <f t="shared" si="150"/>
        <v>-19.446404900555841</v>
      </c>
      <c r="AG360">
        <f t="shared" si="161"/>
        <v>0</v>
      </c>
    </row>
    <row r="361" spans="1:33" x14ac:dyDescent="0.2">
      <c r="A361">
        <f t="shared" si="151"/>
        <v>3.2899999999999738</v>
      </c>
      <c r="B361" s="5">
        <f t="shared" si="152"/>
        <v>0</v>
      </c>
      <c r="C361" s="5">
        <f t="shared" si="153"/>
        <v>568.28914421583772</v>
      </c>
      <c r="D361" s="5">
        <f t="shared" si="154"/>
        <v>53.392299080927671</v>
      </c>
      <c r="E361" s="2">
        <f t="shared" si="136"/>
        <v>189.42971473861257</v>
      </c>
      <c r="F361" s="2">
        <f t="shared" si="155"/>
        <v>0</v>
      </c>
      <c r="G361" s="3">
        <f t="shared" si="156"/>
        <v>0</v>
      </c>
      <c r="H361" s="3">
        <f t="shared" si="157"/>
        <v>134.19092485228174</v>
      </c>
      <c r="I361" s="3">
        <f t="shared" si="158"/>
        <v>-14.984468714633293</v>
      </c>
      <c r="J361" s="2">
        <f t="shared" si="137"/>
        <v>135.02495552811914</v>
      </c>
      <c r="K361" s="2">
        <f t="shared" si="159"/>
        <v>92.041551143912159</v>
      </c>
      <c r="L361" s="5">
        <f t="shared" si="138"/>
        <v>25.916833651571096</v>
      </c>
      <c r="M361" s="3">
        <f t="shared" si="139"/>
        <v>19.366206039378774</v>
      </c>
      <c r="N361" s="2">
        <v>0</v>
      </c>
      <c r="O361" s="2">
        <f t="shared" si="140"/>
        <v>135.02495552811914</v>
      </c>
      <c r="P361" s="2">
        <f t="shared" si="141"/>
        <v>92.041551143912159</v>
      </c>
      <c r="Q361" s="5">
        <f t="shared" si="142"/>
        <v>1.1379864995148816</v>
      </c>
      <c r="R361" s="5">
        <f t="shared" si="143"/>
        <v>0.16241630116427766</v>
      </c>
      <c r="S361" s="4">
        <f t="shared" si="160"/>
        <v>0.14342686478682629</v>
      </c>
      <c r="T361" s="5">
        <f t="shared" si="144"/>
        <v>0.10550273206956903</v>
      </c>
      <c r="U361" s="4">
        <f t="shared" si="145"/>
        <v>0</v>
      </c>
      <c r="V361" s="4">
        <f t="shared" si="146"/>
        <v>0</v>
      </c>
      <c r="W361" s="5">
        <f t="shared" si="147"/>
        <v>0</v>
      </c>
      <c r="X361" s="5">
        <f t="shared" si="148"/>
        <v>-16.722670906537335</v>
      </c>
      <c r="Y361" s="5">
        <f t="shared" si="149"/>
        <v>1.8673419182404289</v>
      </c>
      <c r="Z361" s="5">
        <f>1</f>
        <v>1</v>
      </c>
      <c r="AA361" s="5">
        <f>IF(M361=0,0,const*($T361/omega)*O361*(wy*I361-wz*(H361-V361))/Z361)</f>
        <v>0</v>
      </c>
      <c r="AB361" s="5">
        <f>IF(M361=0,0,const*($T361/omega)*O361*(wz*(G361-U361)-wx*I361)/Z361)</f>
        <v>1.2129920006189991</v>
      </c>
      <c r="AC361" s="5">
        <f>IF(M361=0,0,const*($T361/omega)*O361*(wx*(H361-V361)-wy*(G361-U361))/Z361)</f>
        <v>10.862748723451585</v>
      </c>
      <c r="AD361" s="5">
        <f t="shared" si="135"/>
        <v>0</v>
      </c>
      <c r="AE361" s="5">
        <f t="shared" si="135"/>
        <v>-15.509678905918335</v>
      </c>
      <c r="AF361" s="5">
        <f t="shared" si="150"/>
        <v>-19.443909358307984</v>
      </c>
      <c r="AG361">
        <f t="shared" si="161"/>
        <v>0</v>
      </c>
    </row>
    <row r="362" spans="1:33" x14ac:dyDescent="0.2">
      <c r="A362">
        <f t="shared" si="151"/>
        <v>3.2999999999999736</v>
      </c>
      <c r="B362" s="5">
        <f t="shared" si="152"/>
        <v>0</v>
      </c>
      <c r="C362" s="5">
        <f t="shared" si="153"/>
        <v>569.63027798041526</v>
      </c>
      <c r="D362" s="5">
        <f t="shared" si="154"/>
        <v>53.24148219831342</v>
      </c>
      <c r="E362" s="2">
        <f t="shared" si="136"/>
        <v>189.87675932680509</v>
      </c>
      <c r="F362" s="2">
        <f t="shared" si="155"/>
        <v>0</v>
      </c>
      <c r="G362" s="3">
        <f t="shared" si="156"/>
        <v>0</v>
      </c>
      <c r="H362" s="3">
        <f t="shared" si="157"/>
        <v>134.03582806322257</v>
      </c>
      <c r="I362" s="3">
        <f t="shared" si="158"/>
        <v>-15.178907808216373</v>
      </c>
      <c r="J362" s="2">
        <f t="shared" si="137"/>
        <v>134.89255890094196</v>
      </c>
      <c r="K362" s="2">
        <f t="shared" si="159"/>
        <v>91.951301227635966</v>
      </c>
      <c r="L362" s="5">
        <f t="shared" si="138"/>
        <v>25.942270943224077</v>
      </c>
      <c r="M362" s="3">
        <f t="shared" si="139"/>
        <v>19.361152162071658</v>
      </c>
      <c r="N362" s="2">
        <v>0</v>
      </c>
      <c r="O362" s="2">
        <f t="shared" si="140"/>
        <v>134.89255890094196</v>
      </c>
      <c r="P362" s="2">
        <f t="shared" si="141"/>
        <v>91.951301227635966</v>
      </c>
      <c r="Q362" s="5">
        <f t="shared" si="142"/>
        <v>1.1368706644922397</v>
      </c>
      <c r="R362" s="5">
        <f t="shared" si="143"/>
        <v>0.16243786359668033</v>
      </c>
      <c r="S362" s="4">
        <f t="shared" si="160"/>
        <v>0.14353017186284883</v>
      </c>
      <c r="T362" s="5">
        <f t="shared" si="144"/>
        <v>0.10553312198168086</v>
      </c>
      <c r="U362" s="4">
        <f t="shared" si="145"/>
        <v>0</v>
      </c>
      <c r="V362" s="4">
        <f t="shared" si="146"/>
        <v>0</v>
      </c>
      <c r="W362" s="5">
        <f t="shared" si="147"/>
        <v>0</v>
      </c>
      <c r="X362" s="5">
        <f t="shared" si="148"/>
        <v>-16.689180140271457</v>
      </c>
      <c r="Y362" s="5">
        <f t="shared" si="149"/>
        <v>1.8899687524175055</v>
      </c>
      <c r="Z362" s="5">
        <f>1</f>
        <v>1</v>
      </c>
      <c r="AA362" s="5">
        <f>IF(M362=0,0,const*($T362/omega)*O362*(wy*I362-wz*(H362-V362))/Z362)</f>
        <v>0</v>
      </c>
      <c r="AB362" s="5">
        <f>IF(M362=0,0,const*($T362/omega)*O362*(wz*(G362-U362)-wx*I362)/Z362)</f>
        <v>1.2278806090781285</v>
      </c>
      <c r="AC362" s="5">
        <f>IF(M362=0,0,const*($T362/omega)*O362*(wx*(H362-V362)-wy*(G362-U362))/Z362)</f>
        <v>10.842676975182203</v>
      </c>
      <c r="AD362" s="5">
        <f t="shared" si="135"/>
        <v>0</v>
      </c>
      <c r="AE362" s="5">
        <f t="shared" si="135"/>
        <v>-15.461299531193328</v>
      </c>
      <c r="AF362" s="5">
        <f t="shared" si="150"/>
        <v>-19.441354272400289</v>
      </c>
      <c r="AG362">
        <f t="shared" si="161"/>
        <v>0</v>
      </c>
    </row>
    <row r="363" spans="1:33" x14ac:dyDescent="0.2">
      <c r="A363">
        <f t="shared" si="151"/>
        <v>3.3099999999999734</v>
      </c>
      <c r="B363" s="5">
        <f t="shared" si="152"/>
        <v>0</v>
      </c>
      <c r="C363" s="5">
        <f t="shared" si="153"/>
        <v>570.96986319607095</v>
      </c>
      <c r="D363" s="5">
        <f t="shared" si="154"/>
        <v>53.088721052517641</v>
      </c>
      <c r="E363" s="2">
        <f t="shared" si="136"/>
        <v>190.32328773202366</v>
      </c>
      <c r="F363" s="2">
        <f t="shared" si="155"/>
        <v>0</v>
      </c>
      <c r="G363" s="3">
        <f t="shared" si="156"/>
        <v>0</v>
      </c>
      <c r="H363" s="3">
        <f t="shared" si="157"/>
        <v>133.88121506791063</v>
      </c>
      <c r="I363" s="3">
        <f t="shared" si="158"/>
        <v>-15.373321350940376</v>
      </c>
      <c r="J363" s="2">
        <f t="shared" si="137"/>
        <v>134.76096896883541</v>
      </c>
      <c r="K363" s="2">
        <f t="shared" si="159"/>
        <v>91.861601205750105</v>
      </c>
      <c r="L363" s="5">
        <f t="shared" si="138"/>
        <v>25.967602771113334</v>
      </c>
      <c r="M363" s="3">
        <f t="shared" si="139"/>
        <v>19.356099480694201</v>
      </c>
      <c r="N363" s="2">
        <v>0</v>
      </c>
      <c r="O363" s="2">
        <f t="shared" si="140"/>
        <v>134.76096896883541</v>
      </c>
      <c r="P363" s="2">
        <f t="shared" si="141"/>
        <v>91.861601205750105</v>
      </c>
      <c r="Q363" s="5">
        <f t="shared" si="142"/>
        <v>1.1357616282727971</v>
      </c>
      <c r="R363" s="5">
        <f t="shared" si="143"/>
        <v>0.16245929078922236</v>
      </c>
      <c r="S363" s="4">
        <f t="shared" si="160"/>
        <v>0.14363283099552704</v>
      </c>
      <c r="T363" s="5">
        <f t="shared" si="144"/>
        <v>0.10556330828980957</v>
      </c>
      <c r="U363" s="4">
        <f t="shared" si="145"/>
        <v>0</v>
      </c>
      <c r="V363" s="4">
        <f t="shared" si="146"/>
        <v>0</v>
      </c>
      <c r="W363" s="5">
        <f t="shared" si="147"/>
        <v>0</v>
      </c>
      <c r="X363" s="5">
        <f t="shared" si="148"/>
        <v>-16.655863832963934</v>
      </c>
      <c r="Y363" s="5">
        <f t="shared" si="149"/>
        <v>1.912560675161014</v>
      </c>
      <c r="Z363" s="5">
        <f>1</f>
        <v>1</v>
      </c>
      <c r="AA363" s="5">
        <f>IF(M363=0,0,const*($T363/omega)*O363*(wy*I363-wz*(H363-V363))/Z363)</f>
        <v>0</v>
      </c>
      <c r="AB363" s="5">
        <f>IF(M363=0,0,const*($T363/omega)*O363*(wz*(G363-U363)-wx*I363)/Z363)</f>
        <v>1.2427496832848564</v>
      </c>
      <c r="AC363" s="5">
        <f>IF(M363=0,0,const*($T363/omega)*O363*(wx*(H363-V363)-wy*(G363-U363))/Z363)</f>
        <v>10.822699521158469</v>
      </c>
      <c r="AD363" s="5">
        <f t="shared" si="135"/>
        <v>0</v>
      </c>
      <c r="AE363" s="5">
        <f t="shared" si="135"/>
        <v>-15.413114149679078</v>
      </c>
      <c r="AF363" s="5">
        <f t="shared" si="150"/>
        <v>-19.438739803680516</v>
      </c>
      <c r="AG363">
        <f t="shared" si="161"/>
        <v>0</v>
      </c>
    </row>
    <row r="364" spans="1:33" x14ac:dyDescent="0.2">
      <c r="A364">
        <f t="shared" si="151"/>
        <v>3.3199999999999732</v>
      </c>
      <c r="B364" s="5">
        <f t="shared" si="152"/>
        <v>0</v>
      </c>
      <c r="C364" s="5">
        <f t="shared" si="153"/>
        <v>572.30790469104261</v>
      </c>
      <c r="D364" s="5">
        <f t="shared" si="154"/>
        <v>52.934015902018054</v>
      </c>
      <c r="E364" s="2">
        <f t="shared" si="136"/>
        <v>190.76930156368087</v>
      </c>
      <c r="F364" s="2">
        <f t="shared" si="155"/>
        <v>0</v>
      </c>
      <c r="G364" s="3">
        <f t="shared" si="156"/>
        <v>0</v>
      </c>
      <c r="H364" s="3">
        <f t="shared" si="157"/>
        <v>133.72708392641383</v>
      </c>
      <c r="I364" s="3">
        <f t="shared" si="158"/>
        <v>-15.567708748977182</v>
      </c>
      <c r="J364" s="2">
        <f t="shared" si="137"/>
        <v>134.63018432415188</v>
      </c>
      <c r="K364" s="2">
        <f t="shared" si="159"/>
        <v>91.772450118712939</v>
      </c>
      <c r="L364" s="5">
        <f t="shared" si="138"/>
        <v>25.992828642404767</v>
      </c>
      <c r="M364" s="3">
        <f t="shared" si="139"/>
        <v>19.351047887015749</v>
      </c>
      <c r="N364" s="2">
        <v>0</v>
      </c>
      <c r="O364" s="2">
        <f t="shared" si="140"/>
        <v>134.63018432415188</v>
      </c>
      <c r="P364" s="2">
        <f t="shared" si="141"/>
        <v>91.772450118712939</v>
      </c>
      <c r="Q364" s="5">
        <f t="shared" si="142"/>
        <v>1.1346593789929391</v>
      </c>
      <c r="R364" s="5">
        <f t="shared" si="143"/>
        <v>0.16248058210605765</v>
      </c>
      <c r="S364" s="4">
        <f t="shared" si="160"/>
        <v>0.14373483913847901</v>
      </c>
      <c r="T364" s="5">
        <f t="shared" si="144"/>
        <v>0.10559329035877385</v>
      </c>
      <c r="U364" s="4">
        <f t="shared" si="145"/>
        <v>0</v>
      </c>
      <c r="V364" s="4">
        <f t="shared" si="146"/>
        <v>0</v>
      </c>
      <c r="W364" s="5">
        <f t="shared" si="147"/>
        <v>0</v>
      </c>
      <c r="X364" s="5">
        <f t="shared" si="148"/>
        <v>-16.622721149777469</v>
      </c>
      <c r="Y364" s="5">
        <f t="shared" si="149"/>
        <v>1.9351179572389141</v>
      </c>
      <c r="Z364" s="5">
        <f>1</f>
        <v>1</v>
      </c>
      <c r="AA364" s="5">
        <f>IF(M364=0,0,const*($T364/omega)*O364*(wy*I364-wz*(H364-V364))/Z364)</f>
        <v>0</v>
      </c>
      <c r="AB364" s="5">
        <f>IF(M364=0,0,const*($T364/omega)*O364*(wz*(G364-U364)-wx*I364)/Z364)</f>
        <v>1.2575993370323353</v>
      </c>
      <c r="AC364" s="5">
        <f>IF(M364=0,0,const*($T364/omega)*O364*(wx*(H364-V364)-wy*(G364-U364))/Z364)</f>
        <v>10.80281593141796</v>
      </c>
      <c r="AD364" s="5">
        <f t="shared" si="135"/>
        <v>0</v>
      </c>
      <c r="AE364" s="5">
        <f t="shared" si="135"/>
        <v>-15.365121812745134</v>
      </c>
      <c r="AF364" s="5">
        <f t="shared" si="150"/>
        <v>-19.436066111343123</v>
      </c>
      <c r="AG364">
        <f t="shared" si="161"/>
        <v>0</v>
      </c>
    </row>
    <row r="365" spans="1:33" x14ac:dyDescent="0.2">
      <c r="A365">
        <f t="shared" si="151"/>
        <v>3.329999999999973</v>
      </c>
      <c r="B365" s="5">
        <f t="shared" si="152"/>
        <v>0</v>
      </c>
      <c r="C365" s="5">
        <f t="shared" si="153"/>
        <v>573.64440727421618</v>
      </c>
      <c r="D365" s="5">
        <f t="shared" si="154"/>
        <v>52.777367011222715</v>
      </c>
      <c r="E365" s="2">
        <f t="shared" si="136"/>
        <v>191.21480242473874</v>
      </c>
      <c r="F365" s="2">
        <f t="shared" si="155"/>
        <v>0</v>
      </c>
      <c r="G365" s="3">
        <f t="shared" si="156"/>
        <v>0</v>
      </c>
      <c r="H365" s="3">
        <f t="shared" si="157"/>
        <v>133.57343270828636</v>
      </c>
      <c r="I365" s="3">
        <f t="shared" si="158"/>
        <v>-15.762069410090614</v>
      </c>
      <c r="J365" s="2">
        <f t="shared" si="137"/>
        <v>134.50020355956201</v>
      </c>
      <c r="K365" s="2">
        <f t="shared" si="159"/>
        <v>91.683847007199731</v>
      </c>
      <c r="L365" s="5">
        <f t="shared" si="138"/>
        <v>26.017948067144506</v>
      </c>
      <c r="M365" s="3">
        <f t="shared" si="139"/>
        <v>19.345997273223848</v>
      </c>
      <c r="N365" s="2">
        <v>0</v>
      </c>
      <c r="O365" s="2">
        <f t="shared" si="140"/>
        <v>134.50020355956201</v>
      </c>
      <c r="P365" s="2">
        <f t="shared" si="141"/>
        <v>91.683847007199731</v>
      </c>
      <c r="Q365" s="5">
        <f t="shared" si="142"/>
        <v>1.1335639047917341</v>
      </c>
      <c r="R365" s="5">
        <f t="shared" si="143"/>
        <v>0.16250173691521255</v>
      </c>
      <c r="S365" s="4">
        <f t="shared" si="160"/>
        <v>0.14383619326387617</v>
      </c>
      <c r="T365" s="5">
        <f t="shared" si="144"/>
        <v>0.10562306755822543</v>
      </c>
      <c r="U365" s="4">
        <f t="shared" si="145"/>
        <v>0</v>
      </c>
      <c r="V365" s="4">
        <f t="shared" si="146"/>
        <v>0</v>
      </c>
      <c r="W365" s="5">
        <f t="shared" si="147"/>
        <v>0</v>
      </c>
      <c r="X365" s="5">
        <f t="shared" si="148"/>
        <v>-16.589751260454083</v>
      </c>
      <c r="Y365" s="5">
        <f t="shared" si="149"/>
        <v>1.9576408688581513</v>
      </c>
      <c r="Z365" s="5">
        <f>1</f>
        <v>1</v>
      </c>
      <c r="AA365" s="5">
        <f>IF(M365=0,0,const*($T365/omega)*O365*(wy*I365-wz*(H365-V365))/Z365)</f>
        <v>0</v>
      </c>
      <c r="AB365" s="5">
        <f>IF(M365=0,0,const*($T365/omega)*O365*(wz*(G365-U365)-wx*I365)/Z365)</f>
        <v>1.2724296839610623</v>
      </c>
      <c r="AC365" s="5">
        <f>IF(M365=0,0,const*($T365/omega)*O365*(wx*(H365-V365)-wy*(G365-U365))/Z365)</f>
        <v>10.783025778188218</v>
      </c>
      <c r="AD365" s="5">
        <f t="shared" si="135"/>
        <v>0</v>
      </c>
      <c r="AE365" s="5">
        <f t="shared" si="135"/>
        <v>-15.31732157649302</v>
      </c>
      <c r="AF365" s="5">
        <f t="shared" si="150"/>
        <v>-19.433333352953632</v>
      </c>
      <c r="AG365">
        <f t="shared" si="161"/>
        <v>0</v>
      </c>
    </row>
    <row r="366" spans="1:33" x14ac:dyDescent="0.2">
      <c r="A366">
        <f t="shared" si="151"/>
        <v>3.3399999999999728</v>
      </c>
      <c r="B366" s="5">
        <f t="shared" si="152"/>
        <v>0</v>
      </c>
      <c r="C366" s="5">
        <f t="shared" si="153"/>
        <v>574.97937573522017</v>
      </c>
      <c r="D366" s="5">
        <f t="shared" si="154"/>
        <v>52.618774650454164</v>
      </c>
      <c r="E366" s="2">
        <f t="shared" si="136"/>
        <v>191.65979191174006</v>
      </c>
      <c r="F366" s="2">
        <f t="shared" si="155"/>
        <v>0</v>
      </c>
      <c r="G366" s="3">
        <f t="shared" si="156"/>
        <v>0</v>
      </c>
      <c r="H366" s="3">
        <f t="shared" si="157"/>
        <v>133.42025949252144</v>
      </c>
      <c r="I366" s="3">
        <f t="shared" si="158"/>
        <v>-15.956402743620151</v>
      </c>
      <c r="J366" s="2">
        <f t="shared" si="137"/>
        <v>134.37102526798091</v>
      </c>
      <c r="K366" s="2">
        <f t="shared" si="159"/>
        <v>91.595790912052422</v>
      </c>
      <c r="L366" s="5">
        <f t="shared" si="138"/>
        <v>26.042960558305129</v>
      </c>
      <c r="M366" s="3">
        <f t="shared" si="139"/>
        <v>19.340947531925046</v>
      </c>
      <c r="N366" s="2">
        <v>0</v>
      </c>
      <c r="O366" s="2">
        <f t="shared" si="140"/>
        <v>134.37102526798091</v>
      </c>
      <c r="P366" s="2">
        <f t="shared" si="141"/>
        <v>91.595790912052422</v>
      </c>
      <c r="Q366" s="5">
        <f t="shared" si="142"/>
        <v>1.1324751938103106</v>
      </c>
      <c r="R366" s="5">
        <f t="shared" si="143"/>
        <v>0.16252275458864585</v>
      </c>
      <c r="S366" s="4">
        <f t="shared" si="160"/>
        <v>0.14393689036273041</v>
      </c>
      <c r="T366" s="5">
        <f t="shared" si="144"/>
        <v>0.10565263926270385</v>
      </c>
      <c r="U366" s="4">
        <f t="shared" si="145"/>
        <v>0</v>
      </c>
      <c r="V366" s="4">
        <f t="shared" si="146"/>
        <v>0</v>
      </c>
      <c r="W366" s="5">
        <f t="shared" si="147"/>
        <v>0</v>
      </c>
      <c r="X366" s="5">
        <f t="shared" si="148"/>
        <v>-16.556953339279062</v>
      </c>
      <c r="Y366" s="5">
        <f t="shared" si="149"/>
        <v>1.9801296796583712</v>
      </c>
      <c r="Z366" s="5">
        <f>1</f>
        <v>1</v>
      </c>
      <c r="AA366" s="5">
        <f>IF(M366=0,0,const*($T366/omega)*O366*(wy*I366-wz*(H366-V366))/Z366)</f>
        <v>0</v>
      </c>
      <c r="AB366" s="5">
        <f>IF(M366=0,0,const*($T366/omega)*O366*(wz*(G366-U366)-wx*I366)/Z366)</f>
        <v>1.2872408375542925</v>
      </c>
      <c r="AC366" s="5">
        <f>IF(M366=0,0,const*($T366/omega)*O366*(wx*(H366-V366)-wy*(G366-U366))/Z366)</f>
        <v>10.763328635868932</v>
      </c>
      <c r="AD366" s="5">
        <f t="shared" si="135"/>
        <v>0</v>
      </c>
      <c r="AE366" s="5">
        <f t="shared" si="135"/>
        <v>-15.269712501724769</v>
      </c>
      <c r="AF366" s="5">
        <f t="shared" si="150"/>
        <v>-19.430541684472697</v>
      </c>
      <c r="AG366">
        <f t="shared" si="161"/>
        <v>0</v>
      </c>
    </row>
    <row r="367" spans="1:33" x14ac:dyDescent="0.2">
      <c r="A367">
        <f t="shared" si="151"/>
        <v>3.3499999999999726</v>
      </c>
      <c r="B367" s="5">
        <f t="shared" si="152"/>
        <v>0</v>
      </c>
      <c r="C367" s="5">
        <f t="shared" si="153"/>
        <v>576.31281484452029</v>
      </c>
      <c r="D367" s="5">
        <f t="shared" si="154"/>
        <v>52.458239095933735</v>
      </c>
      <c r="E367" s="2">
        <f t="shared" si="136"/>
        <v>192.10427161484009</v>
      </c>
      <c r="F367" s="2">
        <f t="shared" si="155"/>
        <v>0</v>
      </c>
      <c r="G367" s="3">
        <f t="shared" si="156"/>
        <v>0</v>
      </c>
      <c r="H367" s="3">
        <f t="shared" si="157"/>
        <v>133.26756236750418</v>
      </c>
      <c r="I367" s="3">
        <f t="shared" si="158"/>
        <v>-16.150708160464877</v>
      </c>
      <c r="J367" s="2">
        <f t="shared" si="137"/>
        <v>134.24264804249475</v>
      </c>
      <c r="K367" s="2">
        <f t="shared" si="159"/>
        <v>91.508280874229541</v>
      </c>
      <c r="L367" s="5">
        <f t="shared" si="138"/>
        <v>26.067865631831857</v>
      </c>
      <c r="M367" s="3">
        <f t="shared" si="139"/>
        <v>19.335898556145736</v>
      </c>
      <c r="N367" s="2">
        <v>0</v>
      </c>
      <c r="O367" s="2">
        <f t="shared" si="140"/>
        <v>134.24264804249475</v>
      </c>
      <c r="P367" s="2">
        <f t="shared" si="141"/>
        <v>91.508280874229541</v>
      </c>
      <c r="Q367" s="5">
        <f t="shared" si="142"/>
        <v>1.1313932341912385</v>
      </c>
      <c r="R367" s="5">
        <f t="shared" si="143"/>
        <v>0.16254363450230849</v>
      </c>
      <c r="S367" s="4">
        <f t="shared" si="160"/>
        <v>0.14403692744518062</v>
      </c>
      <c r="T367" s="5">
        <f t="shared" si="144"/>
        <v>0.10568200485169124</v>
      </c>
      <c r="U367" s="4">
        <f t="shared" si="145"/>
        <v>0</v>
      </c>
      <c r="V367" s="4">
        <f t="shared" si="146"/>
        <v>0</v>
      </c>
      <c r="W367" s="5">
        <f t="shared" si="147"/>
        <v>0</v>
      </c>
      <c r="X367" s="5">
        <f t="shared" si="148"/>
        <v>-16.524326565045108</v>
      </c>
      <c r="Y367" s="5">
        <f t="shared" si="149"/>
        <v>2.0025846587056373</v>
      </c>
      <c r="Z367" s="5">
        <f>1</f>
        <v>1</v>
      </c>
      <c r="AA367" s="5">
        <f>IF(M367=0,0,const*($T367/omega)*O367*(wy*I367-wz*(H367-V367))/Z367)</f>
        <v>0</v>
      </c>
      <c r="AB367" s="5">
        <f>IF(M367=0,0,const*($T367/omega)*O367*(wz*(G367-U367)-wx*I367)/Z367)</f>
        <v>1.3020329111334461</v>
      </c>
      <c r="AC367" s="5">
        <f>IF(M367=0,0,const*($T367/omega)*O367*(wx*(H367-V367)-wy*(G367-U367))/Z367)</f>
        <v>10.743724081014232</v>
      </c>
      <c r="AD367" s="5">
        <f t="shared" si="135"/>
        <v>0</v>
      </c>
      <c r="AE367" s="5">
        <f t="shared" si="135"/>
        <v>-15.222293653911661</v>
      </c>
      <c r="AF367" s="5">
        <f t="shared" si="150"/>
        <v>-19.427691260280131</v>
      </c>
      <c r="AG367">
        <f t="shared" si="161"/>
        <v>0</v>
      </c>
    </row>
    <row r="368" spans="1:33" x14ac:dyDescent="0.2">
      <c r="A368">
        <f t="shared" si="151"/>
        <v>3.3599999999999723</v>
      </c>
      <c r="B368" s="5">
        <f t="shared" si="152"/>
        <v>0</v>
      </c>
      <c r="C368" s="5">
        <f t="shared" si="153"/>
        <v>577.64472935351262</v>
      </c>
      <c r="D368" s="5">
        <f t="shared" si="154"/>
        <v>52.295760629766072</v>
      </c>
      <c r="E368" s="2">
        <f t="shared" si="136"/>
        <v>192.54824311783753</v>
      </c>
      <c r="F368" s="2">
        <f t="shared" si="155"/>
        <v>0</v>
      </c>
      <c r="G368" s="3">
        <f t="shared" si="156"/>
        <v>0</v>
      </c>
      <c r="H368" s="3">
        <f t="shared" si="157"/>
        <v>133.11533943096507</v>
      </c>
      <c r="I368" s="3">
        <f t="shared" si="158"/>
        <v>-16.344985073067679</v>
      </c>
      <c r="J368" s="2">
        <f t="shared" si="137"/>
        <v>134.11507047628857</v>
      </c>
      <c r="K368" s="2">
        <f t="shared" si="159"/>
        <v>91.421315934757033</v>
      </c>
      <c r="L368" s="5">
        <f t="shared" si="138"/>
        <v>26.092662806688406</v>
      </c>
      <c r="M368" s="3">
        <f t="shared" si="139"/>
        <v>19.33085023933301</v>
      </c>
      <c r="N368" s="2">
        <v>0</v>
      </c>
      <c r="O368" s="2">
        <f t="shared" si="140"/>
        <v>134.11507047628857</v>
      </c>
      <c r="P368" s="2">
        <f t="shared" si="141"/>
        <v>91.421315934757033</v>
      </c>
      <c r="Q368" s="5">
        <f t="shared" si="142"/>
        <v>1.1303180140779214</v>
      </c>
      <c r="R368" s="5">
        <f t="shared" si="143"/>
        <v>0.16256437603620327</v>
      </c>
      <c r="S368" s="4">
        <f t="shared" si="160"/>
        <v>0.14413630154077792</v>
      </c>
      <c r="T368" s="5">
        <f t="shared" si="144"/>
        <v>0.10571116370966652</v>
      </c>
      <c r="U368" s="4">
        <f t="shared" si="145"/>
        <v>0</v>
      </c>
      <c r="V368" s="4">
        <f t="shared" si="146"/>
        <v>0</v>
      </c>
      <c r="W368" s="5">
        <f t="shared" si="147"/>
        <v>0</v>
      </c>
      <c r="X368" s="5">
        <f t="shared" si="148"/>
        <v>-16.491870121016959</v>
      </c>
      <c r="Y368" s="5">
        <f t="shared" si="149"/>
        <v>2.0250060744861731</v>
      </c>
      <c r="Z368" s="5">
        <f>1</f>
        <v>1</v>
      </c>
      <c r="AA368" s="5">
        <f>IF(M368=0,0,const*($T368/omega)*O368*(wy*I368-wz*(H368-V368))/Z368)</f>
        <v>0</v>
      </c>
      <c r="AB368" s="5">
        <f>IF(M368=0,0,const*($T368/omega)*O368*(wz*(G368-U368)-wx*I368)/Z368)</f>
        <v>1.3168060178535319</v>
      </c>
      <c r="AC368" s="5">
        <f>IF(M368=0,0,const*($T368/omega)*O368*(wx*(H368-V368)-wy*(G368-U368))/Z368)</f>
        <v>10.724211692315231</v>
      </c>
      <c r="AD368" s="5">
        <f t="shared" ref="AD368:AE431" si="162">W368+AA368</f>
        <v>0</v>
      </c>
      <c r="AE368" s="5">
        <f t="shared" si="162"/>
        <v>-15.175064103163427</v>
      </c>
      <c r="AF368" s="5">
        <f t="shared" si="150"/>
        <v>-19.424782233198595</v>
      </c>
      <c r="AG368">
        <f t="shared" si="161"/>
        <v>0</v>
      </c>
    </row>
    <row r="369" spans="1:33" x14ac:dyDescent="0.2">
      <c r="A369">
        <f t="shared" si="151"/>
        <v>3.3699999999999721</v>
      </c>
      <c r="B369" s="5">
        <f t="shared" si="152"/>
        <v>0</v>
      </c>
      <c r="C369" s="5">
        <f t="shared" si="153"/>
        <v>578.97512399461721</v>
      </c>
      <c r="D369" s="5">
        <f t="shared" si="154"/>
        <v>52.131339539923736</v>
      </c>
      <c r="E369" s="2">
        <f t="shared" si="136"/>
        <v>192.99170799820573</v>
      </c>
      <c r="F369" s="2">
        <f t="shared" si="155"/>
        <v>0</v>
      </c>
      <c r="G369" s="3">
        <f t="shared" si="156"/>
        <v>0</v>
      </c>
      <c r="H369" s="3">
        <f t="shared" si="157"/>
        <v>132.96358878993343</v>
      </c>
      <c r="I369" s="3">
        <f t="shared" si="158"/>
        <v>-16.539232895399664</v>
      </c>
      <c r="J369" s="2">
        <f t="shared" si="137"/>
        <v>133.98829116257428</v>
      </c>
      <c r="K369" s="2">
        <f t="shared" si="159"/>
        <v>91.33489513467913</v>
      </c>
      <c r="L369" s="5">
        <f t="shared" si="138"/>
        <v>26.117351604902847</v>
      </c>
      <c r="M369" s="3">
        <f t="shared" si="139"/>
        <v>19.32580247535553</v>
      </c>
      <c r="N369" s="2">
        <v>0</v>
      </c>
      <c r="O369" s="2">
        <f t="shared" si="140"/>
        <v>133.98829116257428</v>
      </c>
      <c r="P369" s="2">
        <f t="shared" si="141"/>
        <v>91.33489513467913</v>
      </c>
      <c r="Q369" s="5">
        <f t="shared" si="142"/>
        <v>1.1292495216139888</v>
      </c>
      <c r="R369" s="5">
        <f t="shared" si="143"/>
        <v>0.16258497857444407</v>
      </c>
      <c r="S369" s="4">
        <f t="shared" si="160"/>
        <v>0.14423500969877007</v>
      </c>
      <c r="T369" s="5">
        <f t="shared" si="144"/>
        <v>0.10574011522615942</v>
      </c>
      <c r="U369" s="4">
        <f t="shared" si="145"/>
        <v>0</v>
      </c>
      <c r="V369" s="4">
        <f t="shared" si="146"/>
        <v>0</v>
      </c>
      <c r="W369" s="5">
        <f t="shared" si="147"/>
        <v>0</v>
      </c>
      <c r="X369" s="5">
        <f t="shared" si="148"/>
        <v>-16.459583194896194</v>
      </c>
      <c r="Y369" s="5">
        <f t="shared" si="149"/>
        <v>2.0473941949001069</v>
      </c>
      <c r="Z369" s="5">
        <f>1</f>
        <v>1</v>
      </c>
      <c r="AA369" s="5">
        <f>IF(M369=0,0,const*($T369/omega)*O369*(wy*I369-wz*(H369-V369))/Z369)</f>
        <v>0</v>
      </c>
      <c r="AB369" s="5">
        <f>IF(M369=0,0,const*($T369/omega)*O369*(wz*(G369-U369)-wx*I369)/Z369)</f>
        <v>1.3315602706985656</v>
      </c>
      <c r="AC369" s="5">
        <f>IF(M369=0,0,const*($T369/omega)*O369*(wx*(H369-V369)-wy*(G369-U369))/Z369)</f>
        <v>10.704791050582651</v>
      </c>
      <c r="AD369" s="5">
        <f t="shared" si="162"/>
        <v>0</v>
      </c>
      <c r="AE369" s="5">
        <f t="shared" si="162"/>
        <v>-15.128022924197628</v>
      </c>
      <c r="AF369" s="5">
        <f t="shared" si="150"/>
        <v>-19.421814754517243</v>
      </c>
      <c r="AG369">
        <f t="shared" si="161"/>
        <v>0</v>
      </c>
    </row>
    <row r="370" spans="1:33" x14ac:dyDescent="0.2">
      <c r="A370">
        <f t="shared" si="151"/>
        <v>3.3799999999999719</v>
      </c>
      <c r="B370" s="5">
        <f t="shared" si="152"/>
        <v>0</v>
      </c>
      <c r="C370" s="5">
        <f t="shared" si="153"/>
        <v>580.30400348137039</v>
      </c>
      <c r="D370" s="5">
        <f t="shared" si="154"/>
        <v>51.964976120232009</v>
      </c>
      <c r="E370" s="2">
        <f t="shared" si="136"/>
        <v>193.43466782712346</v>
      </c>
      <c r="F370" s="2">
        <f t="shared" si="155"/>
        <v>0</v>
      </c>
      <c r="G370" s="3">
        <f t="shared" si="156"/>
        <v>0</v>
      </c>
      <c r="H370" s="3">
        <f t="shared" si="157"/>
        <v>132.81230856069146</v>
      </c>
      <c r="I370" s="3">
        <f t="shared" si="158"/>
        <v>-16.733451042944836</v>
      </c>
      <c r="J370" s="2">
        <f t="shared" si="137"/>
        <v>133.86230869451995</v>
      </c>
      <c r="K370" s="2">
        <f t="shared" si="159"/>
        <v>91.249017515010195</v>
      </c>
      <c r="L370" s="5">
        <f t="shared" si="138"/>
        <v>26.141931551613137</v>
      </c>
      <c r="M370" s="3">
        <f t="shared" si="139"/>
        <v>19.320755158504387</v>
      </c>
      <c r="N370" s="2">
        <v>0</v>
      </c>
      <c r="O370" s="2">
        <f t="shared" si="140"/>
        <v>133.86230869451995</v>
      </c>
      <c r="P370" s="2">
        <f t="shared" si="141"/>
        <v>91.249017515010195</v>
      </c>
      <c r="Q370" s="5">
        <f t="shared" si="142"/>
        <v>1.1281877449427016</v>
      </c>
      <c r="R370" s="5">
        <f t="shared" si="143"/>
        <v>0.16260544150531486</v>
      </c>
      <c r="S370" s="4">
        <f t="shared" si="160"/>
        <v>0.14433304898838442</v>
      </c>
      <c r="T370" s="5">
        <f t="shared" si="144"/>
        <v>0.10576885879580424</v>
      </c>
      <c r="U370" s="4">
        <f t="shared" si="145"/>
        <v>0</v>
      </c>
      <c r="V370" s="4">
        <f t="shared" si="146"/>
        <v>0</v>
      </c>
      <c r="W370" s="5">
        <f t="shared" si="147"/>
        <v>0</v>
      </c>
      <c r="X370" s="5">
        <f t="shared" si="148"/>
        <v>-16.427464978786478</v>
      </c>
      <c r="Y370" s="5">
        <f t="shared" si="149"/>
        <v>2.0697492872552412</v>
      </c>
      <c r="Z370" s="5">
        <f>1</f>
        <v>1</v>
      </c>
      <c r="AA370" s="5">
        <f>IF(M370=0,0,const*($T370/omega)*O370*(wy*I370-wz*(H370-V370))/Z370)</f>
        <v>0</v>
      </c>
      <c r="AB370" s="5">
        <f>IF(M370=0,0,const*($T370/omega)*O370*(wz*(G370-U370)-wx*I370)/Z370)</f>
        <v>1.346295782477001</v>
      </c>
      <c r="AC370" s="5">
        <f>IF(M370=0,0,const*($T370/omega)*O370*(wx*(H370-V370)-wy*(G370-U370))/Z370)</f>
        <v>10.685461738729664</v>
      </c>
      <c r="AD370" s="5">
        <f t="shared" si="162"/>
        <v>0</v>
      </c>
      <c r="AE370" s="5">
        <f t="shared" si="162"/>
        <v>-15.081169196309478</v>
      </c>
      <c r="AF370" s="5">
        <f t="shared" si="150"/>
        <v>-19.418788974015094</v>
      </c>
      <c r="AG370">
        <f t="shared" si="161"/>
        <v>0</v>
      </c>
    </row>
    <row r="371" spans="1:33" x14ac:dyDescent="0.2">
      <c r="A371">
        <f t="shared" si="151"/>
        <v>3.3899999999999717</v>
      </c>
      <c r="B371" s="5">
        <f t="shared" si="152"/>
        <v>0</v>
      </c>
      <c r="C371" s="5">
        <f t="shared" si="153"/>
        <v>581.63137250851742</v>
      </c>
      <c r="D371" s="5">
        <f t="shared" si="154"/>
        <v>51.796670670353862</v>
      </c>
      <c r="E371" s="2">
        <f t="shared" si="136"/>
        <v>193.87712416950581</v>
      </c>
      <c r="F371" s="2">
        <f t="shared" si="155"/>
        <v>0</v>
      </c>
      <c r="G371" s="3">
        <f t="shared" si="156"/>
        <v>0</v>
      </c>
      <c r="H371" s="3">
        <f t="shared" si="157"/>
        <v>132.66149686872836</v>
      </c>
      <c r="I371" s="3">
        <f t="shared" si="158"/>
        <v>-16.927638932684985</v>
      </c>
      <c r="J371" s="2">
        <f t="shared" si="137"/>
        <v>133.73712166517933</v>
      </c>
      <c r="K371" s="2">
        <f t="shared" si="159"/>
        <v>91.163682116686658</v>
      </c>
      <c r="L371" s="5">
        <f t="shared" si="138"/>
        <v>26.166402175112612</v>
      </c>
      <c r="M371" s="3">
        <f t="shared" si="139"/>
        <v>19.315708183494007</v>
      </c>
      <c r="N371" s="2">
        <v>0</v>
      </c>
      <c r="O371" s="2">
        <f t="shared" si="140"/>
        <v>133.73712166517933</v>
      </c>
      <c r="P371" s="2">
        <f t="shared" si="141"/>
        <v>91.163682116686658</v>
      </c>
      <c r="Q371" s="5">
        <f t="shared" si="142"/>
        <v>1.1271326722063557</v>
      </c>
      <c r="R371" s="5">
        <f t="shared" si="143"/>
        <v>0.16262576422132882</v>
      </c>
      <c r="S371" s="4">
        <f t="shared" si="160"/>
        <v>0.14443041649911006</v>
      </c>
      <c r="T371" s="5">
        <f t="shared" si="144"/>
        <v>0.10579739381839319</v>
      </c>
      <c r="U371" s="4">
        <f t="shared" si="145"/>
        <v>0</v>
      </c>
      <c r="V371" s="4">
        <f t="shared" si="146"/>
        <v>0</v>
      </c>
      <c r="W371" s="5">
        <f t="shared" si="147"/>
        <v>0</v>
      </c>
      <c r="X371" s="5">
        <f t="shared" si="148"/>
        <v>-16.395514669159041</v>
      </c>
      <c r="Y371" s="5">
        <f t="shared" si="149"/>
        <v>2.0920716182608281</v>
      </c>
      <c r="Z371" s="5">
        <f>1</f>
        <v>1</v>
      </c>
      <c r="AA371" s="5">
        <f>IF(M371=0,0,const*($T371/omega)*O371*(wy*I371-wz*(H371-V371))/Z371)</f>
        <v>0</v>
      </c>
      <c r="AB371" s="5">
        <f>IF(M371=0,0,const*($T371/omega)*O371*(wz*(G371-U371)-wx*I371)/Z371)</f>
        <v>1.361012665817162</v>
      </c>
      <c r="AC371" s="5">
        <f>IF(M371=0,0,const*($T371/omega)*O371*(wx*(H371-V371)-wy*(G371-U371))/Z371)</f>
        <v>10.66622334175487</v>
      </c>
      <c r="AD371" s="5">
        <f t="shared" si="162"/>
        <v>0</v>
      </c>
      <c r="AE371" s="5">
        <f t="shared" si="162"/>
        <v>-15.034502003341879</v>
      </c>
      <c r="AF371" s="5">
        <f t="shared" si="150"/>
        <v>-19.415705039984303</v>
      </c>
      <c r="AG371">
        <f t="shared" si="161"/>
        <v>0</v>
      </c>
    </row>
    <row r="372" spans="1:33" x14ac:dyDescent="0.2">
      <c r="A372">
        <f t="shared" si="151"/>
        <v>3.3999999999999715</v>
      </c>
      <c r="B372" s="5">
        <f t="shared" si="152"/>
        <v>0</v>
      </c>
      <c r="C372" s="5">
        <f t="shared" si="153"/>
        <v>582.95723575210457</v>
      </c>
      <c r="D372" s="5">
        <f t="shared" si="154"/>
        <v>51.626423495775008</v>
      </c>
      <c r="E372" s="2">
        <f t="shared" si="136"/>
        <v>194.31907858403486</v>
      </c>
      <c r="F372" s="2">
        <f t="shared" si="155"/>
        <v>0</v>
      </c>
      <c r="G372" s="3">
        <f t="shared" si="156"/>
        <v>0</v>
      </c>
      <c r="H372" s="3">
        <f t="shared" si="157"/>
        <v>132.51115184869494</v>
      </c>
      <c r="I372" s="3">
        <f t="shared" si="158"/>
        <v>-17.121795983084827</v>
      </c>
      <c r="J372" s="2">
        <f t="shared" si="137"/>
        <v>133.61272866742249</v>
      </c>
      <c r="K372" s="2">
        <f t="shared" si="159"/>
        <v>91.078887980519752</v>
      </c>
      <c r="L372" s="5">
        <f t="shared" si="138"/>
        <v>26.190763006895157</v>
      </c>
      <c r="M372" s="3">
        <f t="shared" si="139"/>
        <v>19.310661445463062</v>
      </c>
      <c r="N372" s="2">
        <v>0</v>
      </c>
      <c r="O372" s="2">
        <f t="shared" si="140"/>
        <v>133.61272866742249</v>
      </c>
      <c r="P372" s="2">
        <f t="shared" si="141"/>
        <v>91.078887980519752</v>
      </c>
      <c r="Q372" s="5">
        <f t="shared" si="142"/>
        <v>1.1260842915457006</v>
      </c>
      <c r="R372" s="5">
        <f t="shared" si="143"/>
        <v>0.16264594611928668</v>
      </c>
      <c r="S372" s="4">
        <f t="shared" si="160"/>
        <v>0.14452710934097848</v>
      </c>
      <c r="T372" s="5">
        <f t="shared" si="144"/>
        <v>0.10582571969892958</v>
      </c>
      <c r="U372" s="4">
        <f t="shared" si="145"/>
        <v>0</v>
      </c>
      <c r="V372" s="4">
        <f t="shared" si="146"/>
        <v>0</v>
      </c>
      <c r="W372" s="5">
        <f t="shared" si="147"/>
        <v>0</v>
      </c>
      <c r="X372" s="5">
        <f t="shared" si="148"/>
        <v>-16.363731466818532</v>
      </c>
      <c r="Y372" s="5">
        <f t="shared" si="149"/>
        <v>2.1143614540213638</v>
      </c>
      <c r="Z372" s="5">
        <f>1</f>
        <v>1</v>
      </c>
      <c r="AA372" s="5">
        <f>IF(M372=0,0,const*($T372/omega)*O372*(wy*I372-wz*(H372-V372))/Z372)</f>
        <v>0</v>
      </c>
      <c r="AB372" s="5">
        <f>IF(M372=0,0,const*($T372/omega)*O372*(wz*(G372-U372)-wx*I372)/Z372)</f>
        <v>1.3757110331626832</v>
      </c>
      <c r="AC372" s="5">
        <f>IF(M372=0,0,const*($T372/omega)*O372*(wx*(H372-V372)-wy*(G372-U372))/Z372)</f>
        <v>10.647075446725474</v>
      </c>
      <c r="AD372" s="5">
        <f t="shared" si="162"/>
        <v>0</v>
      </c>
      <c r="AE372" s="5">
        <f t="shared" si="162"/>
        <v>-14.988020433655848</v>
      </c>
      <c r="AF372" s="5">
        <f t="shared" si="150"/>
        <v>-19.412563099253163</v>
      </c>
      <c r="AG372">
        <f t="shared" si="161"/>
        <v>0</v>
      </c>
    </row>
    <row r="373" spans="1:33" x14ac:dyDescent="0.2">
      <c r="A373">
        <f t="shared" si="151"/>
        <v>3.4099999999999713</v>
      </c>
      <c r="B373" s="5">
        <f t="shared" si="152"/>
        <v>0</v>
      </c>
      <c r="C373" s="5">
        <f t="shared" si="153"/>
        <v>584.28159786956985</v>
      </c>
      <c r="D373" s="5">
        <f t="shared" si="154"/>
        <v>51.4542349077892</v>
      </c>
      <c r="E373" s="2">
        <f t="shared" si="136"/>
        <v>194.76053262318996</v>
      </c>
      <c r="F373" s="2">
        <f t="shared" si="155"/>
        <v>0</v>
      </c>
      <c r="G373" s="3">
        <f t="shared" si="156"/>
        <v>0</v>
      </c>
      <c r="H373" s="3">
        <f t="shared" si="157"/>
        <v>132.36127164435837</v>
      </c>
      <c r="I373" s="3">
        <f t="shared" si="158"/>
        <v>-17.315921614077357</v>
      </c>
      <c r="J373" s="2">
        <f t="shared" si="137"/>
        <v>133.48912829386705</v>
      </c>
      <c r="K373" s="2">
        <f t="shared" si="159"/>
        <v>90.994634147148631</v>
      </c>
      <c r="L373" s="5">
        <f t="shared" si="138"/>
        <v>26.215013581700227</v>
      </c>
      <c r="M373" s="3">
        <f t="shared" si="139"/>
        <v>19.305614839975366</v>
      </c>
      <c r="N373" s="2">
        <v>0</v>
      </c>
      <c r="O373" s="2">
        <f t="shared" si="140"/>
        <v>133.48912829386705</v>
      </c>
      <c r="P373" s="2">
        <f t="shared" si="141"/>
        <v>90.994634147148631</v>
      </c>
      <c r="Q373" s="5">
        <f t="shared" si="142"/>
        <v>1.1250425910993578</v>
      </c>
      <c r="R373" s="5">
        <f t="shared" si="143"/>
        <v>0.1626659866003351</v>
      </c>
      <c r="S373" s="4">
        <f t="shared" si="160"/>
        <v>0.14462312464484295</v>
      </c>
      <c r="T373" s="5">
        <f t="shared" si="144"/>
        <v>0.10585383584768039</v>
      </c>
      <c r="U373" s="4">
        <f t="shared" si="145"/>
        <v>0</v>
      </c>
      <c r="V373" s="4">
        <f t="shared" si="146"/>
        <v>0</v>
      </c>
      <c r="W373" s="5">
        <f t="shared" si="147"/>
        <v>0</v>
      </c>
      <c r="X373" s="5">
        <f t="shared" si="148"/>
        <v>-16.33211457686917</v>
      </c>
      <c r="Y373" s="5">
        <f t="shared" si="149"/>
        <v>2.1366190600303949</v>
      </c>
      <c r="Z373" s="5">
        <f>1</f>
        <v>1</v>
      </c>
      <c r="AA373" s="5">
        <f>IF(M373=0,0,const*($T373/omega)*O373*(wy*I373-wz*(H373-V373))/Z373)</f>
        <v>0</v>
      </c>
      <c r="AB373" s="5">
        <f>IF(M373=0,0,const*($T373/omega)*O373*(wz*(G373-U373)-wx*I373)/Z373)</f>
        <v>1.3903909967679542</v>
      </c>
      <c r="AC373" s="5">
        <f>IF(M373=0,0,const*($T373/omega)*O373*(wx*(H373-V373)-wy*(G373-U373))/Z373)</f>
        <v>10.628017642760579</v>
      </c>
      <c r="AD373" s="5">
        <f t="shared" si="162"/>
        <v>0</v>
      </c>
      <c r="AE373" s="5">
        <f t="shared" si="162"/>
        <v>-14.941723580101216</v>
      </c>
      <c r="AF373" s="5">
        <f t="shared" si="150"/>
        <v>-19.409363297209026</v>
      </c>
      <c r="AG373">
        <f t="shared" si="161"/>
        <v>0</v>
      </c>
    </row>
    <row r="374" spans="1:33" x14ac:dyDescent="0.2">
      <c r="A374">
        <f t="shared" si="151"/>
        <v>3.4199999999999711</v>
      </c>
      <c r="B374" s="5">
        <f t="shared" si="152"/>
        <v>0</v>
      </c>
      <c r="C374" s="5">
        <f t="shared" si="153"/>
        <v>585.60446349983442</v>
      </c>
      <c r="D374" s="5">
        <f t="shared" si="154"/>
        <v>51.280105223483567</v>
      </c>
      <c r="E374" s="2">
        <f t="shared" si="136"/>
        <v>195.20148783327815</v>
      </c>
      <c r="F374" s="2">
        <f t="shared" si="155"/>
        <v>0</v>
      </c>
      <c r="G374" s="3">
        <f t="shared" si="156"/>
        <v>0</v>
      </c>
      <c r="H374" s="3">
        <f t="shared" si="157"/>
        <v>132.21185440855734</v>
      </c>
      <c r="I374" s="3">
        <f t="shared" si="158"/>
        <v>-17.510015247049449</v>
      </c>
      <c r="J374" s="2">
        <f t="shared" si="137"/>
        <v>133.36631913681006</v>
      </c>
      <c r="K374" s="2">
        <f t="shared" si="159"/>
        <v>90.910919656993897</v>
      </c>
      <c r="L374" s="5">
        <f t="shared" si="138"/>
        <v>26.239153437557714</v>
      </c>
      <c r="M374" s="3">
        <f t="shared" si="139"/>
        <v>19.300568263020832</v>
      </c>
      <c r="N374" s="2">
        <v>0</v>
      </c>
      <c r="O374" s="2">
        <f t="shared" si="140"/>
        <v>133.36631913681006</v>
      </c>
      <c r="P374" s="2">
        <f t="shared" si="141"/>
        <v>90.910919656993897</v>
      </c>
      <c r="Q374" s="5">
        <f t="shared" si="142"/>
        <v>1.1240075590032459</v>
      </c>
      <c r="R374" s="5">
        <f t="shared" si="143"/>
        <v>0.1626858850700249</v>
      </c>
      <c r="S374" s="4">
        <f t="shared" si="160"/>
        <v>0.14471845956265683</v>
      </c>
      <c r="T374" s="5">
        <f t="shared" si="144"/>
        <v>0.10588174168022886</v>
      </c>
      <c r="U374" s="4">
        <f t="shared" si="145"/>
        <v>0</v>
      </c>
      <c r="V374" s="4">
        <f t="shared" si="146"/>
        <v>0</v>
      </c>
      <c r="W374" s="5">
        <f t="shared" si="147"/>
        <v>0</v>
      </c>
      <c r="X374" s="5">
        <f t="shared" si="148"/>
        <v>-16.300663208681197</v>
      </c>
      <c r="Y374" s="5">
        <f t="shared" si="149"/>
        <v>2.1588447011643437</v>
      </c>
      <c r="Z374" s="5">
        <f>1</f>
        <v>1</v>
      </c>
      <c r="AA374" s="5">
        <f>IF(M374=0,0,const*($T374/omega)*O374*(wy*I374-wz*(H374-V374))/Z374)</f>
        <v>0</v>
      </c>
      <c r="AB374" s="5">
        <f>IF(M374=0,0,const*($T374/omega)*O374*(wz*(G374-U374)-wx*I374)/Z374)</f>
        <v>1.40505266869357</v>
      </c>
      <c r="AC374" s="5">
        <f>IF(M374=0,0,const*($T374/omega)*O374*(wx*(H374-V374)-wy*(G374-U374))/Z374)</f>
        <v>10.609049521014654</v>
      </c>
      <c r="AD374" s="5">
        <f t="shared" si="162"/>
        <v>0</v>
      </c>
      <c r="AE374" s="5">
        <f t="shared" si="162"/>
        <v>-14.895610539987628</v>
      </c>
      <c r="AF374" s="5">
        <f t="shared" si="150"/>
        <v>-19.406105777821001</v>
      </c>
      <c r="AG374">
        <f t="shared" si="161"/>
        <v>0</v>
      </c>
    </row>
    <row r="375" spans="1:33" x14ac:dyDescent="0.2">
      <c r="A375">
        <f t="shared" si="151"/>
        <v>3.4299999999999708</v>
      </c>
      <c r="B375" s="5">
        <f t="shared" si="152"/>
        <v>0</v>
      </c>
      <c r="C375" s="5">
        <f t="shared" si="153"/>
        <v>586.92583726339296</v>
      </c>
      <c r="D375" s="5">
        <f t="shared" si="154"/>
        <v>51.104034765724187</v>
      </c>
      <c r="E375" s="2">
        <f t="shared" si="136"/>
        <v>195.64194575446433</v>
      </c>
      <c r="F375" s="2">
        <f t="shared" si="155"/>
        <v>0</v>
      </c>
      <c r="G375" s="3">
        <f t="shared" si="156"/>
        <v>0</v>
      </c>
      <c r="H375" s="3">
        <f t="shared" si="157"/>
        <v>132.06289830315745</v>
      </c>
      <c r="I375" s="3">
        <f t="shared" si="158"/>
        <v>-17.704076304827659</v>
      </c>
      <c r="J375" s="2">
        <f t="shared" si="137"/>
        <v>133.24429978816079</v>
      </c>
      <c r="K375" s="2">
        <f t="shared" si="159"/>
        <v>90.827743550211849</v>
      </c>
      <c r="L375" s="5">
        <f t="shared" si="138"/>
        <v>26.263182115832503</v>
      </c>
      <c r="M375" s="3">
        <f t="shared" si="139"/>
        <v>19.295521611016397</v>
      </c>
      <c r="N375" s="2">
        <v>0</v>
      </c>
      <c r="O375" s="2">
        <f t="shared" si="140"/>
        <v>133.24429978816079</v>
      </c>
      <c r="P375" s="2">
        <f t="shared" si="141"/>
        <v>90.827743550211849</v>
      </c>
      <c r="Q375" s="5">
        <f t="shared" si="142"/>
        <v>1.1229791833900169</v>
      </c>
      <c r="R375" s="5">
        <f t="shared" si="143"/>
        <v>0.16270564093836859</v>
      </c>
      <c r="S375" s="4">
        <f t="shared" si="160"/>
        <v>0.14481311126775023</v>
      </c>
      <c r="T375" s="5">
        <f t="shared" si="144"/>
        <v>0.10590943661752636</v>
      </c>
      <c r="U375" s="4">
        <f t="shared" si="145"/>
        <v>0</v>
      </c>
      <c r="V375" s="4">
        <f t="shared" si="146"/>
        <v>0</v>
      </c>
      <c r="W375" s="5">
        <f t="shared" si="147"/>
        <v>0</v>
      </c>
      <c r="X375" s="5">
        <f t="shared" si="148"/>
        <v>-16.269376575857642</v>
      </c>
      <c r="Y375" s="5">
        <f t="shared" si="149"/>
        <v>2.1810386416763419</v>
      </c>
      <c r="Z375" s="5">
        <f>1</f>
        <v>1</v>
      </c>
      <c r="AA375" s="5">
        <f>IF(M375=0,0,const*($T375/omega)*O375*(wy*I375-wz*(H375-V375))/Z375)</f>
        <v>0</v>
      </c>
      <c r="AB375" s="5">
        <f>IF(M375=0,0,const*($T375/omega)*O375*(wz*(G375-U375)-wx*I375)/Z375)</f>
        <v>1.4196961608017891</v>
      </c>
      <c r="AC375" s="5">
        <f>IF(M375=0,0,const*($T375/omega)*O375*(wx*(H375-V375)-wy*(G375-U375))/Z375)</f>
        <v>10.590170674661181</v>
      </c>
      <c r="AD375" s="5">
        <f t="shared" si="162"/>
        <v>0</v>
      </c>
      <c r="AE375" s="5">
        <f t="shared" si="162"/>
        <v>-14.849680415055852</v>
      </c>
      <c r="AF375" s="5">
        <f t="shared" si="150"/>
        <v>-19.402790683662477</v>
      </c>
      <c r="AG375">
        <f t="shared" si="161"/>
        <v>0</v>
      </c>
    </row>
    <row r="376" spans="1:33" x14ac:dyDescent="0.2">
      <c r="A376">
        <f t="shared" si="151"/>
        <v>3.4399999999999706</v>
      </c>
      <c r="B376" s="5">
        <f t="shared" si="152"/>
        <v>0</v>
      </c>
      <c r="C376" s="5">
        <f t="shared" si="153"/>
        <v>588.24572376240383</v>
      </c>
      <c r="D376" s="5">
        <f t="shared" si="154"/>
        <v>50.926023863141729</v>
      </c>
      <c r="E376" s="2">
        <f t="shared" si="136"/>
        <v>196.08190792080129</v>
      </c>
      <c r="F376" s="2">
        <f t="shared" si="155"/>
        <v>0</v>
      </c>
      <c r="G376" s="3">
        <f t="shared" si="156"/>
        <v>0</v>
      </c>
      <c r="H376" s="3">
        <f t="shared" si="157"/>
        <v>131.91440149900689</v>
      </c>
      <c r="I376" s="3">
        <f t="shared" si="158"/>
        <v>-17.898104211664283</v>
      </c>
      <c r="J376" s="2">
        <f t="shared" si="137"/>
        <v>133.1230688393743</v>
      </c>
      <c r="K376" s="2">
        <f t="shared" si="159"/>
        <v>90.745104866649143</v>
      </c>
      <c r="L376" s="5">
        <f t="shared" si="138"/>
        <v>26.287099161268827</v>
      </c>
      <c r="M376" s="3">
        <f t="shared" si="139"/>
        <v>19.290474780806978</v>
      </c>
      <c r="N376" s="2">
        <v>0</v>
      </c>
      <c r="O376" s="2">
        <f t="shared" si="140"/>
        <v>133.1230688393743</v>
      </c>
      <c r="P376" s="2">
        <f t="shared" si="141"/>
        <v>90.745104866649143</v>
      </c>
      <c r="Q376" s="5">
        <f t="shared" si="142"/>
        <v>1.1219574523884934</v>
      </c>
      <c r="R376" s="5">
        <f t="shared" si="143"/>
        <v>0.16272525361989798</v>
      </c>
      <c r="S376" s="4">
        <f t="shared" si="160"/>
        <v>0.14490707695510519</v>
      </c>
      <c r="T376" s="5">
        <f t="shared" si="144"/>
        <v>0.10593692008594423</v>
      </c>
      <c r="U376" s="4">
        <f t="shared" si="145"/>
        <v>0</v>
      </c>
      <c r="V376" s="4">
        <f t="shared" si="146"/>
        <v>0</v>
      </c>
      <c r="W376" s="5">
        <f t="shared" si="147"/>
        <v>0</v>
      </c>
      <c r="X376" s="5">
        <f t="shared" si="148"/>
        <v>-16.238253896201442</v>
      </c>
      <c r="Y376" s="5">
        <f t="shared" si="149"/>
        <v>2.2032011451900875</v>
      </c>
      <c r="Z376" s="5">
        <f>1</f>
        <v>1</v>
      </c>
      <c r="AA376" s="5">
        <f>IF(M376=0,0,const*($T376/omega)*O376*(wy*I376-wz*(H376-V376))/Z376)</f>
        <v>0</v>
      </c>
      <c r="AB376" s="5">
        <f>IF(M376=0,0,const*($T376/omega)*O376*(wz*(G376-U376)-wx*I376)/Z376)</f>
        <v>1.4343215847519994</v>
      </c>
      <c r="AC376" s="5">
        <f>IF(M376=0,0,const*($T376/omega)*O376*(wx*(H376-V376)-wy*(G376-U376))/Z376)</f>
        <v>10.57138069887645</v>
      </c>
      <c r="AD376" s="5">
        <f t="shared" si="162"/>
        <v>0</v>
      </c>
      <c r="AE376" s="5">
        <f t="shared" si="162"/>
        <v>-14.803932311449444</v>
      </c>
      <c r="AF376" s="5">
        <f t="shared" si="150"/>
        <v>-19.399418155933461</v>
      </c>
      <c r="AG376">
        <f t="shared" si="161"/>
        <v>0</v>
      </c>
    </row>
    <row r="377" spans="1:33" x14ac:dyDescent="0.2">
      <c r="A377">
        <f t="shared" si="151"/>
        <v>3.4499999999999704</v>
      </c>
      <c r="B377" s="5">
        <f t="shared" si="152"/>
        <v>0</v>
      </c>
      <c r="C377" s="5">
        <f t="shared" si="153"/>
        <v>589.5641275807784</v>
      </c>
      <c r="D377" s="5">
        <f t="shared" si="154"/>
        <v>50.746072850117294</v>
      </c>
      <c r="E377" s="2">
        <f t="shared" si="136"/>
        <v>196.52137586025947</v>
      </c>
      <c r="F377" s="2">
        <f t="shared" si="155"/>
        <v>0</v>
      </c>
      <c r="G377" s="3">
        <f t="shared" si="156"/>
        <v>0</v>
      </c>
      <c r="H377" s="3">
        <f t="shared" si="157"/>
        <v>131.7663621758924</v>
      </c>
      <c r="I377" s="3">
        <f t="shared" si="158"/>
        <v>-18.092098393223615</v>
      </c>
      <c r="J377" s="2">
        <f t="shared" si="137"/>
        <v>133.00262488138546</v>
      </c>
      <c r="K377" s="2">
        <f t="shared" si="159"/>
        <v>90.66300264579786</v>
      </c>
      <c r="L377" s="5">
        <f t="shared" si="138"/>
        <v>26.310904122034472</v>
      </c>
      <c r="M377" s="3">
        <f t="shared" si="139"/>
        <v>19.285427669666444</v>
      </c>
      <c r="N377" s="2">
        <v>0</v>
      </c>
      <c r="O377" s="2">
        <f t="shared" si="140"/>
        <v>133.00262488138546</v>
      </c>
      <c r="P377" s="2">
        <f t="shared" si="141"/>
        <v>90.66300264579786</v>
      </c>
      <c r="Q377" s="5">
        <f t="shared" si="142"/>
        <v>1.1209423541231147</v>
      </c>
      <c r="R377" s="5">
        <f t="shared" si="143"/>
        <v>0.16274472253372124</v>
      </c>
      <c r="S377" s="4">
        <f t="shared" si="160"/>
        <v>0.14500035384162976</v>
      </c>
      <c r="T377" s="5">
        <f t="shared" si="144"/>
        <v>0.105964191517325</v>
      </c>
      <c r="U377" s="4">
        <f t="shared" si="145"/>
        <v>0</v>
      </c>
      <c r="V377" s="4">
        <f t="shared" si="146"/>
        <v>0</v>
      </c>
      <c r="W377" s="5">
        <f t="shared" si="147"/>
        <v>0</v>
      </c>
      <c r="X377" s="5">
        <f t="shared" si="148"/>
        <v>-16.207294391682773</v>
      </c>
      <c r="Y377" s="5">
        <f t="shared" si="149"/>
        <v>2.2253324746937078</v>
      </c>
      <c r="Z377" s="5">
        <f>1</f>
        <v>1</v>
      </c>
      <c r="AA377" s="5">
        <f>IF(M377=0,0,const*($T377/omega)*O377*(wy*I377-wz*(H377-V377))/Z377)</f>
        <v>0</v>
      </c>
      <c r="AB377" s="5">
        <f>IF(M377=0,0,const*($T377/omega)*O377*(wz*(G377-U377)-wx*I377)/Z377)</f>
        <v>1.4489290519961848</v>
      </c>
      <c r="AC377" s="5">
        <f>IF(M377=0,0,const*($T377/omega)*O377*(wx*(H377-V377)-wy*(G377-U377))/Z377)</f>
        <v>10.552679190823477</v>
      </c>
      <c r="AD377" s="5">
        <f t="shared" si="162"/>
        <v>0</v>
      </c>
      <c r="AE377" s="5">
        <f t="shared" si="162"/>
        <v>-14.758365339686588</v>
      </c>
      <c r="AF377" s="5">
        <f t="shared" si="150"/>
        <v>-19.395988334482816</v>
      </c>
      <c r="AG377">
        <f t="shared" si="161"/>
        <v>0</v>
      </c>
    </row>
    <row r="378" spans="1:33" x14ac:dyDescent="0.2">
      <c r="A378">
        <f t="shared" si="151"/>
        <v>3.4599999999999702</v>
      </c>
      <c r="B378" s="5">
        <f t="shared" si="152"/>
        <v>0</v>
      </c>
      <c r="C378" s="5">
        <f t="shared" si="153"/>
        <v>590.88105328427037</v>
      </c>
      <c r="D378" s="5">
        <f t="shared" si="154"/>
        <v>50.564182066768332</v>
      </c>
      <c r="E378" s="2">
        <f t="shared" si="136"/>
        <v>196.96035109475679</v>
      </c>
      <c r="F378" s="2">
        <f t="shared" si="155"/>
        <v>0</v>
      </c>
      <c r="G378" s="3">
        <f t="shared" si="156"/>
        <v>0</v>
      </c>
      <c r="H378" s="3">
        <f t="shared" si="157"/>
        <v>131.61877852249552</v>
      </c>
      <c r="I378" s="3">
        <f t="shared" si="158"/>
        <v>-18.286058276568443</v>
      </c>
      <c r="J378" s="2">
        <f t="shared" si="137"/>
        <v>132.88296650454407</v>
      </c>
      <c r="K378" s="2">
        <f t="shared" si="159"/>
        <v>90.58143592675124</v>
      </c>
      <c r="L378" s="5">
        <f t="shared" si="138"/>
        <v>26.33459654976458</v>
      </c>
      <c r="M378" s="3">
        <f t="shared" si="139"/>
        <v>19.280380175298578</v>
      </c>
      <c r="N378" s="2">
        <v>0</v>
      </c>
      <c r="O378" s="2">
        <f t="shared" si="140"/>
        <v>132.88296650454407</v>
      </c>
      <c r="P378" s="2">
        <f t="shared" si="141"/>
        <v>90.58143592675124</v>
      </c>
      <c r="Q378" s="5">
        <f t="shared" si="142"/>
        <v>1.1199338767133886</v>
      </c>
      <c r="R378" s="5">
        <f t="shared" si="143"/>
        <v>0.16276404710357983</v>
      </c>
      <c r="S378" s="4">
        <f t="shared" si="160"/>
        <v>0.14509293916643007</v>
      </c>
      <c r="T378" s="5">
        <f t="shared" si="144"/>
        <v>0.10599125034903337</v>
      </c>
      <c r="U378" s="4">
        <f t="shared" si="145"/>
        <v>0</v>
      </c>
      <c r="V378" s="4">
        <f t="shared" si="146"/>
        <v>0</v>
      </c>
      <c r="W378" s="5">
        <f t="shared" si="147"/>
        <v>0</v>
      </c>
      <c r="X378" s="5">
        <f t="shared" si="148"/>
        <v>-16.176497288406775</v>
      </c>
      <c r="Y378" s="5">
        <f t="shared" si="149"/>
        <v>2.2474328925336482</v>
      </c>
      <c r="Z378" s="5">
        <f>1</f>
        <v>1</v>
      </c>
      <c r="AA378" s="5">
        <f>IF(M378=0,0,const*($T378/omega)*O378*(wy*I378-wz*(H378-V378))/Z378)</f>
        <v>0</v>
      </c>
      <c r="AB378" s="5">
        <f>IF(M378=0,0,const*($T378/omega)*O378*(wz*(G378-U378)-wx*I378)/Z378)</f>
        <v>1.4635186737744059</v>
      </c>
      <c r="AC378" s="5">
        <f>IF(M378=0,0,const*($T378/omega)*O378*(wx*(H378-V378)-wy*(G378-U378))/Z378)</f>
        <v>10.534065749636131</v>
      </c>
      <c r="AD378" s="5">
        <f t="shared" si="162"/>
        <v>0</v>
      </c>
      <c r="AE378" s="5">
        <f t="shared" si="162"/>
        <v>-14.71297861463237</v>
      </c>
      <c r="AF378" s="5">
        <f t="shared" si="150"/>
        <v>-19.39250135783022</v>
      </c>
      <c r="AG378">
        <f t="shared" si="161"/>
        <v>0</v>
      </c>
    </row>
    <row r="379" spans="1:33" x14ac:dyDescent="0.2">
      <c r="A379">
        <f t="shared" si="151"/>
        <v>3.46999999999997</v>
      </c>
      <c r="B379" s="5">
        <f t="shared" si="152"/>
        <v>0</v>
      </c>
      <c r="C379" s="5">
        <f t="shared" si="153"/>
        <v>592.19650542056468</v>
      </c>
      <c r="D379" s="5">
        <f t="shared" si="154"/>
        <v>50.380351858934759</v>
      </c>
      <c r="E379" s="2">
        <f t="shared" si="136"/>
        <v>197.39883514018823</v>
      </c>
      <c r="F379" s="2">
        <f t="shared" si="155"/>
        <v>0</v>
      </c>
      <c r="G379" s="3">
        <f t="shared" si="156"/>
        <v>0</v>
      </c>
      <c r="H379" s="3">
        <f t="shared" si="157"/>
        <v>131.47164873634918</v>
      </c>
      <c r="I379" s="3">
        <f t="shared" si="158"/>
        <v>-18.479983290146745</v>
      </c>
      <c r="J379" s="2">
        <f t="shared" si="137"/>
        <v>132.76409229855071</v>
      </c>
      <c r="K379" s="2">
        <f t="shared" si="159"/>
        <v>90.500403748159982</v>
      </c>
      <c r="L379" s="5">
        <f t="shared" si="138"/>
        <v>26.358175999605351</v>
      </c>
      <c r="M379" s="3">
        <f t="shared" si="139"/>
        <v>19.275332195838089</v>
      </c>
      <c r="N379" s="2">
        <v>0</v>
      </c>
      <c r="O379" s="2">
        <f t="shared" si="140"/>
        <v>132.76409229855071</v>
      </c>
      <c r="P379" s="2">
        <f t="shared" si="141"/>
        <v>90.500403748159982</v>
      </c>
      <c r="Q379" s="5">
        <f t="shared" si="142"/>
        <v>1.1189320082733518</v>
      </c>
      <c r="R379" s="5">
        <f t="shared" si="143"/>
        <v>0.16278322675790494</v>
      </c>
      <c r="S379" s="4">
        <f t="shared" si="160"/>
        <v>0.145184830191081</v>
      </c>
      <c r="T379" s="5">
        <f t="shared" si="144"/>
        <v>0.10601809602400677</v>
      </c>
      <c r="U379" s="4">
        <f t="shared" si="145"/>
        <v>0</v>
      </c>
      <c r="V379" s="4">
        <f t="shared" si="146"/>
        <v>0</v>
      </c>
      <c r="W379" s="5">
        <f t="shared" si="147"/>
        <v>0</v>
      </c>
      <c r="X379" s="5">
        <f t="shared" si="148"/>
        <v>-16.145861816581558</v>
      </c>
      <c r="Y379" s="5">
        <f t="shared" si="149"/>
        <v>2.2695026604085706</v>
      </c>
      <c r="Z379" s="5">
        <f>1</f>
        <v>1</v>
      </c>
      <c r="AA379" s="5">
        <f>IF(M379=0,0,const*($T379/omega)*O379*(wy*I379-wz*(H379-V379))/Z379)</f>
        <v>0</v>
      </c>
      <c r="AB379" s="5">
        <f>IF(M379=0,0,const*($T379/omega)*O379*(wz*(G379-U379)-wx*I379)/Z379)</f>
        <v>1.4780905611102868</v>
      </c>
      <c r="AC379" s="5">
        <f>IF(M379=0,0,const*($T379/omega)*O379*(wx*(H379-V379)-wy*(G379-U379))/Z379)</f>
        <v>10.515539976403398</v>
      </c>
      <c r="AD379" s="5">
        <f t="shared" si="162"/>
        <v>0</v>
      </c>
      <c r="AE379" s="5">
        <f t="shared" si="162"/>
        <v>-14.667771255471271</v>
      </c>
      <c r="AF379" s="5">
        <f t="shared" si="150"/>
        <v>-19.38895736318803</v>
      </c>
      <c r="AG379">
        <f t="shared" si="161"/>
        <v>0</v>
      </c>
    </row>
    <row r="380" spans="1:33" x14ac:dyDescent="0.2">
      <c r="A380">
        <f t="shared" si="151"/>
        <v>3.4799999999999698</v>
      </c>
      <c r="B380" s="5">
        <f t="shared" si="152"/>
        <v>0</v>
      </c>
      <c r="C380" s="5">
        <f t="shared" si="153"/>
        <v>593.51048851936537</v>
      </c>
      <c r="D380" s="5">
        <f t="shared" si="154"/>
        <v>50.194582578165132</v>
      </c>
      <c r="E380" s="2">
        <f t="shared" si="136"/>
        <v>197.83682950645513</v>
      </c>
      <c r="F380" s="2">
        <f t="shared" si="155"/>
        <v>0</v>
      </c>
      <c r="G380" s="3">
        <f t="shared" si="156"/>
        <v>0</v>
      </c>
      <c r="H380" s="3">
        <f t="shared" si="157"/>
        <v>131.32497102379446</v>
      </c>
      <c r="I380" s="3">
        <f t="shared" si="158"/>
        <v>-18.673872863778627</v>
      </c>
      <c r="J380" s="2">
        <f t="shared" si="137"/>
        <v>132.64600085239292</v>
      </c>
      <c r="K380" s="2">
        <f t="shared" si="159"/>
        <v>90.419905148188761</v>
      </c>
      <c r="L380" s="5">
        <f t="shared" si="138"/>
        <v>26.38164203025741</v>
      </c>
      <c r="M380" s="3">
        <f t="shared" si="139"/>
        <v>19.270283629851576</v>
      </c>
      <c r="N380" s="2">
        <v>0</v>
      </c>
      <c r="O380" s="2">
        <f t="shared" si="140"/>
        <v>132.64600085239292</v>
      </c>
      <c r="P380" s="2">
        <f t="shared" si="141"/>
        <v>90.419905148188761</v>
      </c>
      <c r="Q380" s="5">
        <f t="shared" si="142"/>
        <v>1.1179367369110313</v>
      </c>
      <c r="R380" s="5">
        <f t="shared" si="143"/>
        <v>0.16280226092987354</v>
      </c>
      <c r="S380" s="4">
        <f t="shared" si="160"/>
        <v>0.14527602419989538</v>
      </c>
      <c r="T380" s="5">
        <f t="shared" si="144"/>
        <v>0.1060447279908055</v>
      </c>
      <c r="U380" s="4">
        <f t="shared" si="145"/>
        <v>0</v>
      </c>
      <c r="V380" s="4">
        <f t="shared" si="146"/>
        <v>0</v>
      </c>
      <c r="W380" s="5">
        <f t="shared" si="147"/>
        <v>0</v>
      </c>
      <c r="X380" s="5">
        <f t="shared" si="148"/>
        <v>-16.115387210486439</v>
      </c>
      <c r="Y380" s="5">
        <f t="shared" si="149"/>
        <v>2.2915420393632671</v>
      </c>
      <c r="Z380" s="5">
        <f>1</f>
        <v>1</v>
      </c>
      <c r="AA380" s="5">
        <f>IF(M380=0,0,const*($T380/omega)*O380*(wy*I380-wz*(H380-V380))/Z380)</f>
        <v>0</v>
      </c>
      <c r="AB380" s="5">
        <f>IF(M380=0,0,const*($T380/omega)*O380*(wz*(G380-U380)-wx*I380)/Z380)</f>
        <v>1.4926448248065012</v>
      </c>
      <c r="AC380" s="5">
        <f>IF(M380=0,0,const*($T380/omega)*O380*(wx*(H380-V380)-wy*(G380-U380))/Z380)</f>
        <v>10.49710147415376</v>
      </c>
      <c r="AD380" s="5">
        <f t="shared" si="162"/>
        <v>0</v>
      </c>
      <c r="AE380" s="5">
        <f t="shared" si="162"/>
        <v>-14.622742385679938</v>
      </c>
      <c r="AF380" s="5">
        <f t="shared" si="150"/>
        <v>-19.385356486482973</v>
      </c>
      <c r="AG380">
        <f t="shared" si="161"/>
        <v>0</v>
      </c>
    </row>
    <row r="381" spans="1:33" x14ac:dyDescent="0.2">
      <c r="A381">
        <f t="shared" si="151"/>
        <v>3.4899999999999696</v>
      </c>
      <c r="B381" s="5">
        <f t="shared" si="152"/>
        <v>0</v>
      </c>
      <c r="C381" s="5">
        <f t="shared" si="153"/>
        <v>594.82300709248409</v>
      </c>
      <c r="D381" s="5">
        <f t="shared" si="154"/>
        <v>50.006874581703023</v>
      </c>
      <c r="E381" s="2">
        <f t="shared" si="136"/>
        <v>198.27433569749471</v>
      </c>
      <c r="F381" s="2">
        <f t="shared" si="155"/>
        <v>0</v>
      </c>
      <c r="G381" s="3">
        <f t="shared" si="156"/>
        <v>0</v>
      </c>
      <c r="H381" s="3">
        <f t="shared" si="157"/>
        <v>131.17874359993766</v>
      </c>
      <c r="I381" s="3">
        <f t="shared" si="158"/>
        <v>-18.867726428643458</v>
      </c>
      <c r="J381" s="2">
        <f t="shared" si="137"/>
        <v>132.52869075428279</v>
      </c>
      <c r="K381" s="2">
        <f t="shared" si="159"/>
        <v>90.339939164473606</v>
      </c>
      <c r="L381" s="5">
        <f t="shared" si="138"/>
        <v>26.404994204018891</v>
      </c>
      <c r="M381" s="3">
        <f t="shared" si="139"/>
        <v>19.265234376338551</v>
      </c>
      <c r="N381" s="2">
        <v>0</v>
      </c>
      <c r="O381" s="2">
        <f t="shared" si="140"/>
        <v>132.52869075428279</v>
      </c>
      <c r="P381" s="2">
        <f t="shared" si="141"/>
        <v>90.339939164473606</v>
      </c>
      <c r="Q381" s="5">
        <f t="shared" si="142"/>
        <v>1.1169480507279184</v>
      </c>
      <c r="R381" s="5">
        <f t="shared" si="143"/>
        <v>0.16282114905746442</v>
      </c>
      <c r="S381" s="4">
        <f t="shared" si="160"/>
        <v>0.14536651850019108</v>
      </c>
      <c r="T381" s="5">
        <f t="shared" si="144"/>
        <v>0.10607114570366241</v>
      </c>
      <c r="U381" s="4">
        <f t="shared" si="145"/>
        <v>0</v>
      </c>
      <c r="V381" s="4">
        <f t="shared" si="146"/>
        <v>0</v>
      </c>
      <c r="W381" s="5">
        <f t="shared" si="147"/>
        <v>0</v>
      </c>
      <c r="X381" s="5">
        <f t="shared" si="148"/>
        <v>-16.085072708440592</v>
      </c>
      <c r="Y381" s="5">
        <f t="shared" si="149"/>
        <v>2.3135512897825952</v>
      </c>
      <c r="Z381" s="5">
        <f>1</f>
        <v>1</v>
      </c>
      <c r="AA381" s="5">
        <f>IF(M381=0,0,const*($T381/omega)*O381*(wy*I381-wz*(H381-V381))/Z381)</f>
        <v>0</v>
      </c>
      <c r="AB381" s="5">
        <f>IF(M381=0,0,const*($T381/omega)*O381*(wz*(G381-U381)-wx*I381)/Z381)</f>
        <v>1.5071815754402793</v>
      </c>
      <c r="AC381" s="5">
        <f>IF(M381=0,0,const*($T381/omega)*O381*(wx*(H381-V381)-wy*(G381-U381))/Z381)</f>
        <v>10.478749847839794</v>
      </c>
      <c r="AD381" s="5">
        <f t="shared" si="162"/>
        <v>0</v>
      </c>
      <c r="AE381" s="5">
        <f t="shared" si="162"/>
        <v>-14.577891133000312</v>
      </c>
      <c r="AF381" s="5">
        <f t="shared" si="150"/>
        <v>-19.381698862377611</v>
      </c>
      <c r="AG381">
        <f t="shared" si="161"/>
        <v>0</v>
      </c>
    </row>
    <row r="382" spans="1:33" x14ac:dyDescent="0.2">
      <c r="A382">
        <f t="shared" si="151"/>
        <v>3.4999999999999694</v>
      </c>
      <c r="B382" s="5">
        <f t="shared" si="152"/>
        <v>0</v>
      </c>
      <c r="C382" s="5">
        <f t="shared" si="153"/>
        <v>596.13406563392675</v>
      </c>
      <c r="D382" s="5">
        <f t="shared" si="154"/>
        <v>49.817228232473468</v>
      </c>
      <c r="E382" s="2">
        <f t="shared" si="136"/>
        <v>198.71135521130893</v>
      </c>
      <c r="F382" s="2">
        <f t="shared" si="155"/>
        <v>0</v>
      </c>
      <c r="G382" s="3">
        <f t="shared" si="156"/>
        <v>0</v>
      </c>
      <c r="H382" s="3">
        <f t="shared" si="157"/>
        <v>131.03296468860765</v>
      </c>
      <c r="I382" s="3">
        <f t="shared" si="158"/>
        <v>-19.061543417267234</v>
      </c>
      <c r="J382" s="2">
        <f t="shared" si="137"/>
        <v>132.41216059159467</v>
      </c>
      <c r="K382" s="2">
        <f t="shared" si="159"/>
        <v>90.260504834079526</v>
      </c>
      <c r="L382" s="5">
        <f t="shared" si="138"/>
        <v>26.428232086828334</v>
      </c>
      <c r="M382" s="3">
        <f t="shared" si="139"/>
        <v>19.260184334732447</v>
      </c>
      <c r="N382" s="2">
        <v>0</v>
      </c>
      <c r="O382" s="2">
        <f t="shared" si="140"/>
        <v>132.41216059159467</v>
      </c>
      <c r="P382" s="2">
        <f t="shared" si="141"/>
        <v>90.260504834079526</v>
      </c>
      <c r="Q382" s="5">
        <f t="shared" si="142"/>
        <v>1.1159659378184441</v>
      </c>
      <c r="R382" s="5">
        <f t="shared" si="143"/>
        <v>0.16283989058351336</v>
      </c>
      <c r="S382" s="4">
        <f t="shared" si="160"/>
        <v>0.14545631042255688</v>
      </c>
      <c r="T382" s="5">
        <f t="shared" si="144"/>
        <v>0.10609734862253241</v>
      </c>
      <c r="U382" s="4">
        <f t="shared" si="145"/>
        <v>0</v>
      </c>
      <c r="V382" s="4">
        <f t="shared" si="146"/>
        <v>0</v>
      </c>
      <c r="W382" s="5">
        <f t="shared" si="147"/>
        <v>0</v>
      </c>
      <c r="X382" s="5">
        <f t="shared" si="148"/>
        <v>-16.054917552771848</v>
      </c>
      <c r="Y382" s="5">
        <f t="shared" si="149"/>
        <v>2.3355306713854245</v>
      </c>
      <c r="Z382" s="5">
        <f>1</f>
        <v>1</v>
      </c>
      <c r="AA382" s="5">
        <f>IF(M382=0,0,const*($T382/omega)*O382*(wy*I382-wz*(H382-V382))/Z382)</f>
        <v>0</v>
      </c>
      <c r="AB382" s="5">
        <f>IF(M382=0,0,const*($T382/omega)*O382*(wz*(G382-U382)-wx*I382)/Z382)</f>
        <v>1.521700923358912</v>
      </c>
      <c r="AC382" s="5">
        <f>IF(M382=0,0,const*($T382/omega)*O382*(wx*(H382-V382)-wy*(G382-U382))/Z382)</f>
        <v>10.460484704322859</v>
      </c>
      <c r="AD382" s="5">
        <f t="shared" si="162"/>
        <v>0</v>
      </c>
      <c r="AE382" s="5">
        <f t="shared" si="162"/>
        <v>-14.533216629412935</v>
      </c>
      <c r="AF382" s="5">
        <f t="shared" si="150"/>
        <v>-19.377984624291717</v>
      </c>
      <c r="AG382">
        <f t="shared" si="161"/>
        <v>0</v>
      </c>
    </row>
    <row r="383" spans="1:33" x14ac:dyDescent="0.2">
      <c r="A383">
        <f t="shared" si="151"/>
        <v>3.5099999999999691</v>
      </c>
      <c r="B383" s="5">
        <f t="shared" si="152"/>
        <v>0</v>
      </c>
      <c r="C383" s="5">
        <f t="shared" si="153"/>
        <v>597.44366861998139</v>
      </c>
      <c r="D383" s="5">
        <f t="shared" si="154"/>
        <v>49.62564389906958</v>
      </c>
      <c r="E383" s="2">
        <f t="shared" si="136"/>
        <v>199.1478895399938</v>
      </c>
      <c r="F383" s="2">
        <f t="shared" si="155"/>
        <v>0</v>
      </c>
      <c r="G383" s="3">
        <f t="shared" si="156"/>
        <v>0</v>
      </c>
      <c r="H383" s="3">
        <f t="shared" si="157"/>
        <v>130.88763252231351</v>
      </c>
      <c r="I383" s="3">
        <f t="shared" si="158"/>
        <v>-19.255323263510153</v>
      </c>
      <c r="J383" s="2">
        <f t="shared" si="137"/>
        <v>132.29640895080431</v>
      </c>
      <c r="K383" s="2">
        <f t="shared" si="159"/>
        <v>90.18160119345896</v>
      </c>
      <c r="L383" s="5">
        <f t="shared" si="138"/>
        <v>26.45135524830717</v>
      </c>
      <c r="M383" s="3">
        <f t="shared" si="139"/>
        <v>19.255133404901652</v>
      </c>
      <c r="N383" s="2">
        <v>0</v>
      </c>
      <c r="O383" s="2">
        <f t="shared" si="140"/>
        <v>132.29640895080431</v>
      </c>
      <c r="P383" s="2">
        <f t="shared" si="141"/>
        <v>90.18160119345896</v>
      </c>
      <c r="Q383" s="5">
        <f t="shared" si="142"/>
        <v>1.1149903862694661</v>
      </c>
      <c r="R383" s="5">
        <f t="shared" si="143"/>
        <v>0.16285848495576841</v>
      </c>
      <c r="S383" s="4">
        <f t="shared" si="160"/>
        <v>0.14554539732111593</v>
      </c>
      <c r="T383" s="5">
        <f t="shared" si="144"/>
        <v>0.10612333621314113</v>
      </c>
      <c r="U383" s="4">
        <f t="shared" si="145"/>
        <v>0</v>
      </c>
      <c r="V383" s="4">
        <f t="shared" si="146"/>
        <v>0</v>
      </c>
      <c r="W383" s="5">
        <f t="shared" si="147"/>
        <v>0</v>
      </c>
      <c r="X383" s="5">
        <f t="shared" si="148"/>
        <v>-16.024920989785969</v>
      </c>
      <c r="Y383" s="5">
        <f t="shared" si="149"/>
        <v>2.3574804432186074</v>
      </c>
      <c r="Z383" s="5">
        <f>1</f>
        <v>1</v>
      </c>
      <c r="AA383" s="5">
        <f>IF(M383=0,0,const*($T383/omega)*O383*(wy*I383-wz*(H383-V383))/Z383)</f>
        <v>0</v>
      </c>
      <c r="AB383" s="5">
        <f>IF(M383=0,0,const*($T383/omega)*O383*(wz*(G383-U383)-wx*I383)/Z383)</f>
        <v>1.5362029786752713</v>
      </c>
      <c r="AC383" s="5">
        <f>IF(M383=0,0,const*($T383/omega)*O383*(wx*(H383-V383)-wy*(G383-U383))/Z383)</f>
        <v>10.442305652357989</v>
      </c>
      <c r="AD383" s="5">
        <f t="shared" si="162"/>
        <v>0</v>
      </c>
      <c r="AE383" s="5">
        <f t="shared" si="162"/>
        <v>-14.488718011110697</v>
      </c>
      <c r="AF383" s="5">
        <f t="shared" si="150"/>
        <v>-19.374213904423403</v>
      </c>
      <c r="AG383">
        <f t="shared" si="161"/>
        <v>0</v>
      </c>
    </row>
    <row r="384" spans="1:33" x14ac:dyDescent="0.2">
      <c r="A384">
        <f t="shared" si="151"/>
        <v>3.5199999999999689</v>
      </c>
      <c r="B384" s="5">
        <f t="shared" si="152"/>
        <v>0</v>
      </c>
      <c r="C384" s="5">
        <f t="shared" si="153"/>
        <v>598.75182050930391</v>
      </c>
      <c r="D384" s="5">
        <f t="shared" si="154"/>
        <v>49.432121955739262</v>
      </c>
      <c r="E384" s="2">
        <f t="shared" si="136"/>
        <v>199.58394016976797</v>
      </c>
      <c r="F384" s="2">
        <f t="shared" si="155"/>
        <v>0</v>
      </c>
      <c r="G384" s="3">
        <f t="shared" si="156"/>
        <v>0</v>
      </c>
      <c r="H384" s="3">
        <f t="shared" si="157"/>
        <v>130.7427453422024</v>
      </c>
      <c r="I384" s="3">
        <f t="shared" si="158"/>
        <v>-19.449065402554385</v>
      </c>
      <c r="J384" s="2">
        <f t="shared" si="137"/>
        <v>132.18143441742802</v>
      </c>
      <c r="K384" s="2">
        <f t="shared" si="159"/>
        <v>90.103227278410372</v>
      </c>
      <c r="L384" s="5">
        <f t="shared" si="138"/>
        <v>26.474363261802015</v>
      </c>
      <c r="M384" s="3">
        <f t="shared" si="139"/>
        <v>19.250081487150524</v>
      </c>
      <c r="N384" s="2">
        <v>0</v>
      </c>
      <c r="O384" s="2">
        <f t="shared" si="140"/>
        <v>132.18143441742802</v>
      </c>
      <c r="P384" s="2">
        <f t="shared" si="141"/>
        <v>90.103227278410372</v>
      </c>
      <c r="Q384" s="5">
        <f t="shared" si="142"/>
        <v>1.1140213841597562</v>
      </c>
      <c r="R384" s="5">
        <f t="shared" si="143"/>
        <v>0.16287693162694439</v>
      </c>
      <c r="S384" s="4">
        <f t="shared" si="160"/>
        <v>0.14563377657378801</v>
      </c>
      <c r="T384" s="5">
        <f t="shared" si="144"/>
        <v>0.10614910794703369</v>
      </c>
      <c r="U384" s="4">
        <f t="shared" si="145"/>
        <v>0</v>
      </c>
      <c r="V384" s="4">
        <f t="shared" si="146"/>
        <v>0</v>
      </c>
      <c r="W384" s="5">
        <f t="shared" si="147"/>
        <v>0</v>
      </c>
      <c r="X384" s="5">
        <f t="shared" si="148"/>
        <v>-15.99508226973601</v>
      </c>
      <c r="Y384" s="5">
        <f t="shared" si="149"/>
        <v>2.3794008636509583</v>
      </c>
      <c r="Z384" s="5">
        <f>1</f>
        <v>1</v>
      </c>
      <c r="AA384" s="5">
        <f>IF(M384=0,0,const*($T384/omega)*O384*(wy*I384-wz*(H384-V384))/Z384)</f>
        <v>0</v>
      </c>
      <c r="AB384" s="5">
        <f>IF(M384=0,0,const*($T384/omega)*O384*(wz*(G384-U384)-wx*I384)/Z384)</f>
        <v>1.5506878512633306</v>
      </c>
      <c r="AC384" s="5">
        <f>IF(M384=0,0,const*($T384/omega)*O384*(wx*(H384-V384)-wy*(G384-U384))/Z384)</f>
        <v>10.424212302578878</v>
      </c>
      <c r="AD384" s="5">
        <f t="shared" si="162"/>
        <v>0</v>
      </c>
      <c r="AE384" s="5">
        <f t="shared" si="162"/>
        <v>-14.44439441847268</v>
      </c>
      <c r="AF384" s="5">
        <f t="shared" si="150"/>
        <v>-19.370386833770162</v>
      </c>
      <c r="AG384">
        <f t="shared" si="161"/>
        <v>0</v>
      </c>
    </row>
    <row r="385" spans="1:33" x14ac:dyDescent="0.2">
      <c r="A385">
        <f t="shared" si="151"/>
        <v>3.5299999999999687</v>
      </c>
      <c r="B385" s="5">
        <f t="shared" si="152"/>
        <v>0</v>
      </c>
      <c r="C385" s="5">
        <f t="shared" si="153"/>
        <v>600.05852574300502</v>
      </c>
      <c r="D385" s="5">
        <f t="shared" si="154"/>
        <v>49.236662782372029</v>
      </c>
      <c r="E385" s="2">
        <f t="shared" si="136"/>
        <v>200.01950858100167</v>
      </c>
      <c r="F385" s="2">
        <f t="shared" si="155"/>
        <v>0</v>
      </c>
      <c r="G385" s="3">
        <f t="shared" si="156"/>
        <v>0</v>
      </c>
      <c r="H385" s="3">
        <f t="shared" si="157"/>
        <v>130.59830139801767</v>
      </c>
      <c r="I385" s="3">
        <f t="shared" si="158"/>
        <v>-19.642769270892089</v>
      </c>
      <c r="J385" s="2">
        <f t="shared" si="137"/>
        <v>132.06723557596322</v>
      </c>
      <c r="K385" s="2">
        <f t="shared" si="159"/>
        <v>90.025382124037634</v>
      </c>
      <c r="L385" s="5">
        <f t="shared" si="138"/>
        <v>26.497255704426642</v>
      </c>
      <c r="M385" s="3">
        <f t="shared" si="139"/>
        <v>19.245028482220441</v>
      </c>
      <c r="N385" s="2">
        <v>0</v>
      </c>
      <c r="O385" s="2">
        <f t="shared" si="140"/>
        <v>132.06723557596322</v>
      </c>
      <c r="P385" s="2">
        <f t="shared" si="141"/>
        <v>90.025382124037634</v>
      </c>
      <c r="Q385" s="5">
        <f t="shared" si="142"/>
        <v>1.1130589195594984</v>
      </c>
      <c r="R385" s="5">
        <f t="shared" si="143"/>
        <v>0.16289523005477727</v>
      </c>
      <c r="S385" s="4">
        <f t="shared" si="160"/>
        <v>0.14572144558254926</v>
      </c>
      <c r="T385" s="5">
        <f t="shared" si="144"/>
        <v>0.10617466330162242</v>
      </c>
      <c r="U385" s="4">
        <f t="shared" si="145"/>
        <v>0</v>
      </c>
      <c r="V385" s="4">
        <f t="shared" si="146"/>
        <v>0</v>
      </c>
      <c r="W385" s="5">
        <f t="shared" si="147"/>
        <v>0</v>
      </c>
      <c r="X385" s="5">
        <f t="shared" si="148"/>
        <v>-15.965400646792125</v>
      </c>
      <c r="Y385" s="5">
        <f t="shared" si="149"/>
        <v>2.4012921903672568</v>
      </c>
      <c r="Z385" s="5">
        <f>1</f>
        <v>1</v>
      </c>
      <c r="AA385" s="5">
        <f>IF(M385=0,0,const*($T385/omega)*O385*(wy*I385-wz*(H385-V385))/Z385)</f>
        <v>0</v>
      </c>
      <c r="AB385" s="5">
        <f>IF(M385=0,0,const*($T385/omega)*O385*(wz*(G385-U385)-wx*I385)/Z385)</f>
        <v>1.5651556507537019</v>
      </c>
      <c r="AC385" s="5">
        <f>IF(M385=0,0,const*($T385/omega)*O385*(wx*(H385-V385)-wy*(G385-U385))/Z385)</f>
        <v>10.406204267483064</v>
      </c>
      <c r="AD385" s="5">
        <f t="shared" si="162"/>
        <v>0</v>
      </c>
      <c r="AE385" s="5">
        <f t="shared" si="162"/>
        <v>-14.400244996038422</v>
      </c>
      <c r="AF385" s="5">
        <f t="shared" si="150"/>
        <v>-19.36650354214968</v>
      </c>
      <c r="AG385">
        <f t="shared" si="161"/>
        <v>0</v>
      </c>
    </row>
    <row r="386" spans="1:33" x14ac:dyDescent="0.2">
      <c r="A386">
        <f t="shared" si="151"/>
        <v>3.5399999999999685</v>
      </c>
      <c r="B386" s="5">
        <f t="shared" si="152"/>
        <v>0</v>
      </c>
      <c r="C386" s="5">
        <f t="shared" si="153"/>
        <v>601.36378874473542</v>
      </c>
      <c r="D386" s="5">
        <f t="shared" si="154"/>
        <v>49.039266764486001</v>
      </c>
      <c r="E386" s="2">
        <f t="shared" si="136"/>
        <v>200.45459624824514</v>
      </c>
      <c r="F386" s="2">
        <f t="shared" si="155"/>
        <v>0</v>
      </c>
      <c r="G386" s="3">
        <f t="shared" si="156"/>
        <v>0</v>
      </c>
      <c r="H386" s="3">
        <f t="shared" si="157"/>
        <v>130.45429894805727</v>
      </c>
      <c r="I386" s="3">
        <f t="shared" si="158"/>
        <v>-19.836434306313585</v>
      </c>
      <c r="J386" s="2">
        <f t="shared" si="137"/>
        <v>131.95381100982948</v>
      </c>
      <c r="K386" s="2">
        <f t="shared" si="159"/>
        <v>89.94806476470994</v>
      </c>
      <c r="L386" s="5">
        <f t="shared" si="138"/>
        <v>26.520032157103596</v>
      </c>
      <c r="M386" s="3">
        <f t="shared" si="139"/>
        <v>19.239974291290842</v>
      </c>
      <c r="N386" s="2">
        <v>0</v>
      </c>
      <c r="O386" s="2">
        <f t="shared" si="140"/>
        <v>131.95381100982948</v>
      </c>
      <c r="P386" s="2">
        <f t="shared" si="141"/>
        <v>89.94806476470994</v>
      </c>
      <c r="Q386" s="5">
        <f t="shared" si="142"/>
        <v>1.1121029805297935</v>
      </c>
      <c r="R386" s="5">
        <f t="shared" si="143"/>
        <v>0.16291337970207798</v>
      </c>
      <c r="S386" s="4">
        <f t="shared" si="160"/>
        <v>0.1458084017736905</v>
      </c>
      <c r="T386" s="5">
        <f t="shared" si="144"/>
        <v>0.10620000176023474</v>
      </c>
      <c r="U386" s="4">
        <f t="shared" si="145"/>
        <v>0</v>
      </c>
      <c r="V386" s="4">
        <f t="shared" si="146"/>
        <v>0</v>
      </c>
      <c r="W386" s="5">
        <f t="shared" si="147"/>
        <v>0</v>
      </c>
      <c r="X386" s="5">
        <f t="shared" si="148"/>
        <v>-15.935875379011573</v>
      </c>
      <c r="Y386" s="5">
        <f t="shared" si="149"/>
        <v>2.4231546803622659</v>
      </c>
      <c r="Z386" s="5">
        <f>1</f>
        <v>1</v>
      </c>
      <c r="AA386" s="5">
        <f>IF(M386=0,0,const*($T386/omega)*O386*(wy*I386-wz*(H386-V386))/Z386)</f>
        <v>0</v>
      </c>
      <c r="AB386" s="5">
        <f>IF(M386=0,0,const*($T386/omega)*O386*(wz*(G386-U386)-wx*I386)/Z386)</f>
        <v>1.5796064865291801</v>
      </c>
      <c r="AC386" s="5">
        <f>IF(M386=0,0,const*($T386/omega)*O386*(wx*(H386-V386)-wy*(G386-U386))/Z386)</f>
        <v>10.388281161417241</v>
      </c>
      <c r="AD386" s="5">
        <f t="shared" si="162"/>
        <v>0</v>
      </c>
      <c r="AE386" s="5">
        <f t="shared" si="162"/>
        <v>-14.356268892482394</v>
      </c>
      <c r="AF386" s="5">
        <f t="shared" si="150"/>
        <v>-19.362564158220493</v>
      </c>
      <c r="AG386">
        <f t="shared" si="161"/>
        <v>0</v>
      </c>
    </row>
    <row r="387" spans="1:33" x14ac:dyDescent="0.2">
      <c r="A387">
        <f t="shared" si="151"/>
        <v>3.5499999999999683</v>
      </c>
      <c r="B387" s="5">
        <f t="shared" si="152"/>
        <v>0</v>
      </c>
      <c r="C387" s="5">
        <f t="shared" si="153"/>
        <v>602.66761392077126</v>
      </c>
      <c r="D387" s="5">
        <f t="shared" si="154"/>
        <v>48.839934293214959</v>
      </c>
      <c r="E387" s="2">
        <f t="shared" si="136"/>
        <v>200.88920464025708</v>
      </c>
      <c r="F387" s="2">
        <f t="shared" si="155"/>
        <v>0</v>
      </c>
      <c r="G387" s="3">
        <f t="shared" si="156"/>
        <v>0</v>
      </c>
      <c r="H387" s="3">
        <f t="shared" si="157"/>
        <v>130.31073625913245</v>
      </c>
      <c r="I387" s="3">
        <f t="shared" si="158"/>
        <v>-20.03005994789579</v>
      </c>
      <c r="J387" s="2">
        <f t="shared" si="137"/>
        <v>131.84115930131028</v>
      </c>
      <c r="K387" s="2">
        <f t="shared" si="159"/>
        <v>89.871274234021996</v>
      </c>
      <c r="L387" s="5">
        <f t="shared" si="138"/>
        <v>26.542692204605562</v>
      </c>
      <c r="M387" s="3">
        <f t="shared" si="139"/>
        <v>19.234918815980276</v>
      </c>
      <c r="N387" s="2">
        <v>0</v>
      </c>
      <c r="O387" s="2">
        <f t="shared" si="140"/>
        <v>131.84115930131028</v>
      </c>
      <c r="P387" s="2">
        <f t="shared" si="141"/>
        <v>89.871274234021996</v>
      </c>
      <c r="Q387" s="5">
        <f t="shared" si="142"/>
        <v>1.1111535551221658</v>
      </c>
      <c r="R387" s="5">
        <f t="shared" si="143"/>
        <v>0.16293138003678584</v>
      </c>
      <c r="S387" s="4">
        <f t="shared" si="160"/>
        <v>0.14589464259807303</v>
      </c>
      <c r="T387" s="5">
        <f t="shared" si="144"/>
        <v>0.10622512281215998</v>
      </c>
      <c r="U387" s="4">
        <f t="shared" si="145"/>
        <v>0</v>
      </c>
      <c r="V387" s="4">
        <f t="shared" si="146"/>
        <v>0</v>
      </c>
      <c r="W387" s="5">
        <f t="shared" si="147"/>
        <v>0</v>
      </c>
      <c r="X387" s="5">
        <f t="shared" si="148"/>
        <v>-15.906505728309046</v>
      </c>
      <c r="Y387" s="5">
        <f t="shared" si="149"/>
        <v>2.4449885899347703</v>
      </c>
      <c r="Z387" s="5">
        <f>1</f>
        <v>1</v>
      </c>
      <c r="AA387" s="5">
        <f>IF(M387=0,0,const*($T387/omega)*O387*(wy*I387-wz*(H387-V387))/Z387)</f>
        <v>0</v>
      </c>
      <c r="AB387" s="5">
        <f>IF(M387=0,0,const*($T387/omega)*O387*(wz*(G387-U387)-wx*I387)/Z387)</f>
        <v>1.5940404677202926</v>
      </c>
      <c r="AC387" s="5">
        <f>IF(M387=0,0,const*($T387/omega)*O387*(wx*(H387-V387)-wy*(G387-U387))/Z387)</f>
        <v>10.370442600562699</v>
      </c>
      <c r="AD387" s="5">
        <f t="shared" si="162"/>
        <v>0</v>
      </c>
      <c r="AE387" s="5">
        <f t="shared" si="162"/>
        <v>-14.312465260588754</v>
      </c>
      <c r="AF387" s="5">
        <f t="shared" si="150"/>
        <v>-19.358568809502529</v>
      </c>
      <c r="AG387">
        <f t="shared" si="161"/>
        <v>0</v>
      </c>
    </row>
    <row r="388" spans="1:33" x14ac:dyDescent="0.2">
      <c r="A388">
        <f t="shared" si="151"/>
        <v>3.5599999999999681</v>
      </c>
      <c r="B388" s="5">
        <f t="shared" si="152"/>
        <v>0</v>
      </c>
      <c r="C388" s="5">
        <f t="shared" si="153"/>
        <v>603.97000566009956</v>
      </c>
      <c r="D388" s="5">
        <f t="shared" si="154"/>
        <v>48.638665765295528</v>
      </c>
      <c r="E388" s="2">
        <f t="shared" si="136"/>
        <v>201.32333522003319</v>
      </c>
      <c r="F388" s="2">
        <f t="shared" si="155"/>
        <v>0</v>
      </c>
      <c r="G388" s="3">
        <f t="shared" si="156"/>
        <v>0</v>
      </c>
      <c r="H388" s="3">
        <f t="shared" si="157"/>
        <v>130.16761160652658</v>
      </c>
      <c r="I388" s="3">
        <f t="shared" si="158"/>
        <v>-20.223645635990817</v>
      </c>
      <c r="J388" s="2">
        <f t="shared" si="137"/>
        <v>131.72927903149582</v>
      </c>
      <c r="K388" s="2">
        <f t="shared" si="159"/>
        <v>89.795009564755162</v>
      </c>
      <c r="L388" s="5">
        <f t="shared" si="138"/>
        <v>26.565235435596328</v>
      </c>
      <c r="M388" s="3">
        <f t="shared" si="139"/>
        <v>19.229861958347477</v>
      </c>
      <c r="N388" s="2">
        <v>0</v>
      </c>
      <c r="O388" s="2">
        <f t="shared" si="140"/>
        <v>131.72927903149582</v>
      </c>
      <c r="P388" s="2">
        <f t="shared" si="141"/>
        <v>89.795009564755162</v>
      </c>
      <c r="Q388" s="5">
        <f t="shared" si="142"/>
        <v>1.1102106313780853</v>
      </c>
      <c r="R388" s="5">
        <f t="shared" si="143"/>
        <v>0.1629492305320217</v>
      </c>
      <c r="S388" s="4">
        <f t="shared" si="160"/>
        <v>0.14598016553138282</v>
      </c>
      <c r="T388" s="5">
        <f t="shared" si="144"/>
        <v>0.10625002595269629</v>
      </c>
      <c r="U388" s="4">
        <f t="shared" si="145"/>
        <v>0</v>
      </c>
      <c r="V388" s="4">
        <f t="shared" si="146"/>
        <v>0</v>
      </c>
      <c r="W388" s="5">
        <f t="shared" si="147"/>
        <v>0</v>
      </c>
      <c r="X388" s="5">
        <f t="shared" si="148"/>
        <v>-15.877290960427265</v>
      </c>
      <c r="Y388" s="5">
        <f t="shared" si="149"/>
        <v>2.4667941746816346</v>
      </c>
      <c r="Z388" s="5">
        <f>1</f>
        <v>1</v>
      </c>
      <c r="AA388" s="5">
        <f>IF(M388=0,0,const*($T388/omega)*O388*(wy*I388-wz*(H388-V388))/Z388)</f>
        <v>0</v>
      </c>
      <c r="AB388" s="5">
        <f>IF(M388=0,0,const*($T388/omega)*O388*(wz*(G388-U388)-wx*I388)/Z388)</f>
        <v>1.6084577032008638</v>
      </c>
      <c r="AC388" s="5">
        <f>IF(M388=0,0,const*($T388/omega)*O388*(wx*(H388-V388)-wy*(G388-U388))/Z388)</f>
        <v>10.352688202920946</v>
      </c>
      <c r="AD388" s="5">
        <f t="shared" si="162"/>
        <v>0</v>
      </c>
      <c r="AE388" s="5">
        <f t="shared" si="162"/>
        <v>-14.268833257226401</v>
      </c>
      <c r="AF388" s="5">
        <f t="shared" si="150"/>
        <v>-19.354517622397417</v>
      </c>
      <c r="AG388">
        <f t="shared" si="161"/>
        <v>0</v>
      </c>
    </row>
    <row r="389" spans="1:33" x14ac:dyDescent="0.2">
      <c r="A389">
        <f t="shared" si="151"/>
        <v>3.5699999999999679</v>
      </c>
      <c r="B389" s="5">
        <f t="shared" si="152"/>
        <v>0</v>
      </c>
      <c r="C389" s="5">
        <f t="shared" si="153"/>
        <v>605.27096833450196</v>
      </c>
      <c r="D389" s="5">
        <f t="shared" si="154"/>
        <v>48.435461583054504</v>
      </c>
      <c r="E389" s="2">
        <f t="shared" si="136"/>
        <v>201.75698944483398</v>
      </c>
      <c r="F389" s="2">
        <f t="shared" si="155"/>
        <v>0</v>
      </c>
      <c r="G389" s="3">
        <f t="shared" si="156"/>
        <v>0</v>
      </c>
      <c r="H389" s="3">
        <f t="shared" si="157"/>
        <v>130.0249232739543</v>
      </c>
      <c r="I389" s="3">
        <f t="shared" si="158"/>
        <v>-20.417190812214791</v>
      </c>
      <c r="J389" s="2">
        <f t="shared" si="137"/>
        <v>131.61816878022611</v>
      </c>
      <c r="K389" s="2">
        <f t="shared" si="159"/>
        <v>89.719269788838517</v>
      </c>
      <c r="L389" s="5">
        <f t="shared" si="138"/>
        <v>26.587661442671514</v>
      </c>
      <c r="M389" s="3">
        <f t="shared" si="139"/>
        <v>19.224803620892416</v>
      </c>
      <c r="N389" s="2">
        <v>0</v>
      </c>
      <c r="O389" s="2">
        <f t="shared" si="140"/>
        <v>131.61816878022611</v>
      </c>
      <c r="P389" s="2">
        <f t="shared" si="141"/>
        <v>89.719269788838517</v>
      </c>
      <c r="Q389" s="5">
        <f t="shared" si="142"/>
        <v>1.1092741973284823</v>
      </c>
      <c r="R389" s="5">
        <f t="shared" si="143"/>
        <v>0.16296693066614035</v>
      </c>
      <c r="S389" s="4">
        <f t="shared" si="160"/>
        <v>0.14606496807438252</v>
      </c>
      <c r="T389" s="5">
        <f t="shared" si="144"/>
        <v>0.10627471068319673</v>
      </c>
      <c r="U389" s="4">
        <f t="shared" si="145"/>
        <v>0</v>
      </c>
      <c r="V389" s="4">
        <f t="shared" si="146"/>
        <v>0</v>
      </c>
      <c r="W389" s="5">
        <f t="shared" si="147"/>
        <v>0</v>
      </c>
      <c r="X389" s="5">
        <f t="shared" si="148"/>
        <v>-15.848230344907821</v>
      </c>
      <c r="Y389" s="5">
        <f t="shared" si="149"/>
        <v>2.4885716894918728</v>
      </c>
      <c r="Z389" s="5">
        <f>1</f>
        <v>1</v>
      </c>
      <c r="AA389" s="5">
        <f>IF(M389=0,0,const*($T389/omega)*O389*(wy*I389-wz*(H389-V389))/Z389)</f>
        <v>0</v>
      </c>
      <c r="AB389" s="5">
        <f>IF(M389=0,0,const*($T389/omega)*O389*(wz*(G389-U389)-wx*I389)/Z389)</f>
        <v>1.622858301583588</v>
      </c>
      <c r="AC389" s="5">
        <f>IF(M389=0,0,const*($T389/omega)*O389*(wx*(H389-V389)-wy*(G389-U389))/Z389)</f>
        <v>10.335017588299452</v>
      </c>
      <c r="AD389" s="5">
        <f t="shared" si="162"/>
        <v>0</v>
      </c>
      <c r="AE389" s="5">
        <f t="shared" si="162"/>
        <v>-14.225372043324233</v>
      </c>
      <c r="AF389" s="5">
        <f t="shared" si="150"/>
        <v>-19.350410722208675</v>
      </c>
      <c r="AG389">
        <f t="shared" si="161"/>
        <v>0</v>
      </c>
    </row>
    <row r="390" spans="1:33" x14ac:dyDescent="0.2">
      <c r="A390">
        <f t="shared" si="151"/>
        <v>3.5799999999999677</v>
      </c>
      <c r="B390" s="5">
        <f t="shared" si="152"/>
        <v>0</v>
      </c>
      <c r="C390" s="5">
        <f t="shared" si="153"/>
        <v>606.57050629863943</v>
      </c>
      <c r="D390" s="5">
        <f t="shared" si="154"/>
        <v>48.230322154396248</v>
      </c>
      <c r="E390" s="2">
        <f t="shared" si="136"/>
        <v>202.19016876621313</v>
      </c>
      <c r="F390" s="2">
        <f t="shared" si="155"/>
        <v>0</v>
      </c>
      <c r="G390" s="3">
        <f t="shared" si="156"/>
        <v>0</v>
      </c>
      <c r="H390" s="3">
        <f t="shared" si="157"/>
        <v>129.88266955352105</v>
      </c>
      <c r="I390" s="3">
        <f t="shared" si="158"/>
        <v>-20.610694919436877</v>
      </c>
      <c r="J390" s="2">
        <f t="shared" si="137"/>
        <v>131.50782712603552</v>
      </c>
      <c r="K390" s="2">
        <f t="shared" si="159"/>
        <v>89.644053937311185</v>
      </c>
      <c r="L390" s="5">
        <f t="shared" si="138"/>
        <v>26.609969822398842</v>
      </c>
      <c r="M390" s="3">
        <f t="shared" si="139"/>
        <v>19.219743706557367</v>
      </c>
      <c r="N390" s="2">
        <v>0</v>
      </c>
      <c r="O390" s="2">
        <f t="shared" si="140"/>
        <v>131.50782712603552</v>
      </c>
      <c r="P390" s="2">
        <f t="shared" si="141"/>
        <v>89.644053937311185</v>
      </c>
      <c r="Q390" s="5">
        <f t="shared" si="142"/>
        <v>1.1083442409932855</v>
      </c>
      <c r="R390" s="5">
        <f t="shared" si="143"/>
        <v>0.16298447992278273</v>
      </c>
      <c r="S390" s="4">
        <f t="shared" si="160"/>
        <v>0.1461490477531607</v>
      </c>
      <c r="T390" s="5">
        <f t="shared" si="144"/>
        <v>0.10629917651111488</v>
      </c>
      <c r="U390" s="4">
        <f t="shared" si="145"/>
        <v>0</v>
      </c>
      <c r="V390" s="4">
        <f t="shared" si="146"/>
        <v>0</v>
      </c>
      <c r="W390" s="5">
        <f t="shared" si="147"/>
        <v>0</v>
      </c>
      <c r="X390" s="5">
        <f t="shared" si="148"/>
        <v>-15.819323155062374</v>
      </c>
      <c r="Y390" s="5">
        <f t="shared" si="149"/>
        <v>2.5103213885407487</v>
      </c>
      <c r="Z390" s="5">
        <f>1</f>
        <v>1</v>
      </c>
      <c r="AA390" s="5">
        <f>IF(M390=0,0,const*($T390/omega)*O390*(wy*I390-wz*(H390-V390))/Z390)</f>
        <v>0</v>
      </c>
      <c r="AB390" s="5">
        <f>IF(M390=0,0,const*($T390/omega)*O390*(wz*(G390-U390)-wx*I390)/Z390)</f>
        <v>1.6372423712156117</v>
      </c>
      <c r="AC390" s="5">
        <f>IF(M390=0,0,const*($T390/omega)*O390*(wx*(H390-V390)-wy*(G390-U390))/Z390)</f>
        <v>10.317430378297528</v>
      </c>
      <c r="AD390" s="5">
        <f t="shared" si="162"/>
        <v>0</v>
      </c>
      <c r="AE390" s="5">
        <f t="shared" si="162"/>
        <v>-14.182080783846763</v>
      </c>
      <c r="AF390" s="5">
        <f t="shared" si="150"/>
        <v>-19.346248233161724</v>
      </c>
      <c r="AG390">
        <f t="shared" si="161"/>
        <v>0</v>
      </c>
    </row>
    <row r="391" spans="1:33" x14ac:dyDescent="0.2">
      <c r="A391">
        <f t="shared" si="151"/>
        <v>3.5899999999999674</v>
      </c>
      <c r="B391" s="5">
        <f t="shared" si="152"/>
        <v>0</v>
      </c>
      <c r="C391" s="5">
        <f t="shared" si="153"/>
        <v>607.8686238901355</v>
      </c>
      <c r="D391" s="5">
        <f t="shared" si="154"/>
        <v>48.023247892790216</v>
      </c>
      <c r="E391" s="2">
        <f t="shared" si="136"/>
        <v>202.62287463004517</v>
      </c>
      <c r="F391" s="2">
        <f t="shared" si="155"/>
        <v>0</v>
      </c>
      <c r="G391" s="3">
        <f t="shared" si="156"/>
        <v>0</v>
      </c>
      <c r="H391" s="3">
        <f t="shared" si="157"/>
        <v>129.7408487456826</v>
      </c>
      <c r="I391" s="3">
        <f t="shared" si="158"/>
        <v>-20.804157401768496</v>
      </c>
      <c r="J391" s="2">
        <f t="shared" si="137"/>
        <v>131.3982526460974</v>
      </c>
      <c r="K391" s="2">
        <f t="shared" si="159"/>
        <v>89.56936104028452</v>
      </c>
      <c r="L391" s="5">
        <f t="shared" si="138"/>
        <v>26.632160175358187</v>
      </c>
      <c r="M391" s="3">
        <f t="shared" si="139"/>
        <v>19.21468211872801</v>
      </c>
      <c r="N391" s="2">
        <v>0</v>
      </c>
      <c r="O391" s="2">
        <f t="shared" si="140"/>
        <v>131.3982526460974</v>
      </c>
      <c r="P391" s="2">
        <f t="shared" si="141"/>
        <v>89.56936104028452</v>
      </c>
      <c r="Q391" s="5">
        <f t="shared" si="142"/>
        <v>1.1074207503809523</v>
      </c>
      <c r="R391" s="5">
        <f t="shared" si="143"/>
        <v>0.16300187779092759</v>
      </c>
      <c r="S391" s="4">
        <f t="shared" si="160"/>
        <v>0.14623240211938004</v>
      </c>
      <c r="T391" s="5">
        <f t="shared" si="144"/>
        <v>0.10632342295005008</v>
      </c>
      <c r="U391" s="4">
        <f t="shared" si="145"/>
        <v>0</v>
      </c>
      <c r="V391" s="4">
        <f t="shared" si="146"/>
        <v>0</v>
      </c>
      <c r="W391" s="5">
        <f t="shared" si="147"/>
        <v>0</v>
      </c>
      <c r="X391" s="5">
        <f t="shared" si="148"/>
        <v>-15.790568667944033</v>
      </c>
      <c r="Y391" s="5">
        <f t="shared" si="149"/>
        <v>2.5320435252838855</v>
      </c>
      <c r="Z391" s="5">
        <f>1</f>
        <v>1</v>
      </c>
      <c r="AA391" s="5">
        <f>IF(M391=0,0,const*($T391/omega)*O391*(wy*I391-wz*(H391-V391))/Z391)</f>
        <v>0</v>
      </c>
      <c r="AB391" s="5">
        <f>IF(M391=0,0,const*($T391/omega)*O391*(wz*(G391-U391)-wx*I391)/Z391)</f>
        <v>1.6516100201741262</v>
      </c>
      <c r="AC391" s="5">
        <f>IF(M391=0,0,const*($T391/omega)*O391*(wx*(H391-V391)-wy*(G391-U391))/Z391)</f>
        <v>10.299926196292368</v>
      </c>
      <c r="AD391" s="5">
        <f t="shared" si="162"/>
        <v>0</v>
      </c>
      <c r="AE391" s="5">
        <f t="shared" si="162"/>
        <v>-14.138958647769908</v>
      </c>
      <c r="AF391" s="5">
        <f t="shared" si="150"/>
        <v>-19.342030278423746</v>
      </c>
      <c r="AG391">
        <f t="shared" si="161"/>
        <v>0</v>
      </c>
    </row>
    <row r="392" spans="1:33" x14ac:dyDescent="0.2">
      <c r="A392">
        <f t="shared" si="151"/>
        <v>3.5999999999999672</v>
      </c>
      <c r="B392" s="5">
        <f t="shared" si="152"/>
        <v>0</v>
      </c>
      <c r="C392" s="5">
        <f t="shared" si="153"/>
        <v>609.1653254296599</v>
      </c>
      <c r="D392" s="5">
        <f t="shared" si="154"/>
        <v>47.81423921725861</v>
      </c>
      <c r="E392" s="2">
        <f t="shared" si="136"/>
        <v>203.0551084765533</v>
      </c>
      <c r="F392" s="2">
        <f t="shared" si="155"/>
        <v>0</v>
      </c>
      <c r="G392" s="3">
        <f t="shared" si="156"/>
        <v>0</v>
      </c>
      <c r="H392" s="3">
        <f t="shared" si="157"/>
        <v>129.59945915920491</v>
      </c>
      <c r="I392" s="3">
        <f t="shared" si="158"/>
        <v>-20.997577704552732</v>
      </c>
      <c r="J392" s="2">
        <f t="shared" si="137"/>
        <v>131.28944391617</v>
      </c>
      <c r="K392" s="2">
        <f t="shared" si="159"/>
        <v>89.495190126905243</v>
      </c>
      <c r="L392" s="5">
        <f t="shared" si="138"/>
        <v>26.654232106181158</v>
      </c>
      <c r="M392" s="3">
        <f t="shared" si="139"/>
        <v>19.209618761234481</v>
      </c>
      <c r="N392" s="2">
        <v>0</v>
      </c>
      <c r="O392" s="2">
        <f t="shared" si="140"/>
        <v>131.28944391617</v>
      </c>
      <c r="P392" s="2">
        <f t="shared" si="141"/>
        <v>89.495190126905243</v>
      </c>
      <c r="Q392" s="5">
        <f t="shared" si="142"/>
        <v>1.1065037134880134</v>
      </c>
      <c r="R392" s="5">
        <f t="shared" si="143"/>
        <v>0.16301912376494271</v>
      </c>
      <c r="S392" s="4">
        <f t="shared" si="160"/>
        <v>0.14631502875052216</v>
      </c>
      <c r="T392" s="5">
        <f t="shared" si="144"/>
        <v>0.10634744951979226</v>
      </c>
      <c r="U392" s="4">
        <f t="shared" si="145"/>
        <v>0</v>
      </c>
      <c r="V392" s="4">
        <f t="shared" si="146"/>
        <v>0</v>
      </c>
      <c r="W392" s="5">
        <f t="shared" si="147"/>
        <v>0</v>
      </c>
      <c r="X392" s="5">
        <f t="shared" si="148"/>
        <v>-15.761966164319066</v>
      </c>
      <c r="Y392" s="5">
        <f t="shared" si="149"/>
        <v>2.553738352451401</v>
      </c>
      <c r="Z392" s="5">
        <f>1</f>
        <v>1</v>
      </c>
      <c r="AA392" s="5">
        <f>IF(M392=0,0,const*($T392/omega)*O392*(wy*I392-wz*(H392-V392))/Z392)</f>
        <v>0</v>
      </c>
      <c r="AB392" s="5">
        <f>IF(M392=0,0,const*($T392/omega)*O392*(wz*(G392-U392)-wx*I392)/Z392)</f>
        <v>1.6659613562619755</v>
      </c>
      <c r="AC392" s="5">
        <f>IF(M392=0,0,const*($T392/omega)*O392*(wx*(H392-V392)-wy*(G392-U392))/Z392)</f>
        <v>10.282504667425235</v>
      </c>
      <c r="AD392" s="5">
        <f t="shared" si="162"/>
        <v>0</v>
      </c>
      <c r="AE392" s="5">
        <f t="shared" si="162"/>
        <v>-14.09600480805709</v>
      </c>
      <c r="AF392" s="5">
        <f t="shared" si="150"/>
        <v>-19.337756980123366</v>
      </c>
      <c r="AG392">
        <f t="shared" si="161"/>
        <v>0</v>
      </c>
    </row>
    <row r="393" spans="1:33" x14ac:dyDescent="0.2">
      <c r="A393">
        <f t="shared" si="151"/>
        <v>3.609999999999967</v>
      </c>
      <c r="B393" s="5">
        <f t="shared" si="152"/>
        <v>0</v>
      </c>
      <c r="C393" s="5">
        <f t="shared" si="153"/>
        <v>610.46061522101149</v>
      </c>
      <c r="D393" s="5">
        <f t="shared" si="154"/>
        <v>47.603296552364078</v>
      </c>
      <c r="E393" s="2">
        <f t="shared" si="136"/>
        <v>203.48687174033716</v>
      </c>
      <c r="F393" s="2">
        <f t="shared" si="155"/>
        <v>0</v>
      </c>
      <c r="G393" s="3">
        <f t="shared" si="156"/>
        <v>0</v>
      </c>
      <c r="H393" s="3">
        <f t="shared" si="157"/>
        <v>129.45849911112435</v>
      </c>
      <c r="I393" s="3">
        <f t="shared" si="158"/>
        <v>-21.190955274353968</v>
      </c>
      <c r="J393" s="2">
        <f t="shared" si="137"/>
        <v>131.18139951054286</v>
      </c>
      <c r="K393" s="2">
        <f t="shared" si="159"/>
        <v>89.421540225318921</v>
      </c>
      <c r="L393" s="5">
        <f t="shared" si="138"/>
        <v>26.676185223590377</v>
      </c>
      <c r="M393" s="3">
        <f t="shared" si="139"/>
        <v>19.204553538352471</v>
      </c>
      <c r="N393" s="2">
        <v>0</v>
      </c>
      <c r="O393" s="2">
        <f t="shared" si="140"/>
        <v>131.18139951054286</v>
      </c>
      <c r="P393" s="2">
        <f t="shared" si="141"/>
        <v>89.421540225318921</v>
      </c>
      <c r="Q393" s="5">
        <f t="shared" si="142"/>
        <v>1.1055931182986212</v>
      </c>
      <c r="R393" s="5">
        <f t="shared" si="143"/>
        <v>0.16303621734463553</v>
      </c>
      <c r="S393" s="4">
        <f t="shared" si="160"/>
        <v>0.14639692525013068</v>
      </c>
      <c r="T393" s="5">
        <f t="shared" si="144"/>
        <v>0.10637125574636593</v>
      </c>
      <c r="U393" s="4">
        <f t="shared" si="145"/>
        <v>0</v>
      </c>
      <c r="V393" s="4">
        <f t="shared" si="146"/>
        <v>0</v>
      </c>
      <c r="W393" s="5">
        <f t="shared" si="147"/>
        <v>0</v>
      </c>
      <c r="X393" s="5">
        <f t="shared" si="148"/>
        <v>-15.733514928638858</v>
      </c>
      <c r="Y393" s="5">
        <f t="shared" si="149"/>
        <v>2.5754061220420619</v>
      </c>
      <c r="Z393" s="5">
        <f>1</f>
        <v>1</v>
      </c>
      <c r="AA393" s="5">
        <f>IF(M393=0,0,const*($T393/omega)*O393*(wy*I393-wz*(H393-V393))/Z393)</f>
        <v>0</v>
      </c>
      <c r="AB393" s="5">
        <f>IF(M393=0,0,const*($T393/omega)*O393*(wz*(G393-U393)-wx*I393)/Z393)</f>
        <v>1.6802964870032699</v>
      </c>
      <c r="AC393" s="5">
        <f>IF(M393=0,0,const*($T393/omega)*O393*(wx*(H393-V393)-wy*(G393-U393))/Z393)</f>
        <v>10.265165418587756</v>
      </c>
      <c r="AD393" s="5">
        <f t="shared" si="162"/>
        <v>0</v>
      </c>
      <c r="AE393" s="5">
        <f t="shared" si="162"/>
        <v>-14.053218441635588</v>
      </c>
      <c r="AF393" s="5">
        <f t="shared" si="150"/>
        <v>-19.333428459370182</v>
      </c>
      <c r="AG393">
        <f t="shared" si="161"/>
        <v>0</v>
      </c>
    </row>
    <row r="394" spans="1:33" x14ac:dyDescent="0.2">
      <c r="A394">
        <f t="shared" si="151"/>
        <v>3.6199999999999668</v>
      </c>
      <c r="B394" s="5">
        <f t="shared" si="152"/>
        <v>0</v>
      </c>
      <c r="C394" s="5">
        <f t="shared" si="153"/>
        <v>611.75449755120064</v>
      </c>
      <c r="D394" s="5">
        <f t="shared" si="154"/>
        <v>47.390420328197571</v>
      </c>
      <c r="E394" s="2">
        <f t="shared" si="136"/>
        <v>203.91816585040021</v>
      </c>
      <c r="F394" s="2">
        <f t="shared" si="155"/>
        <v>0</v>
      </c>
      <c r="G394" s="3">
        <f t="shared" si="156"/>
        <v>0</v>
      </c>
      <c r="H394" s="3">
        <f t="shared" si="157"/>
        <v>129.31796692670801</v>
      </c>
      <c r="I394" s="3">
        <f t="shared" si="158"/>
        <v>-21.384289558947671</v>
      </c>
      <c r="J394" s="2">
        <f t="shared" si="137"/>
        <v>131.07411800198415</v>
      </c>
      <c r="K394" s="2">
        <f t="shared" si="159"/>
        <v>89.348410362634041</v>
      </c>
      <c r="L394" s="5">
        <f t="shared" si="138"/>
        <v>26.698019140438358</v>
      </c>
      <c r="M394" s="3">
        <f t="shared" si="139"/>
        <v>19.199486354804343</v>
      </c>
      <c r="N394" s="2">
        <v>0</v>
      </c>
      <c r="O394" s="2">
        <f t="shared" si="140"/>
        <v>131.07411800198415</v>
      </c>
      <c r="P394" s="2">
        <f t="shared" si="141"/>
        <v>89.348410362634041</v>
      </c>
      <c r="Q394" s="5">
        <f t="shared" si="142"/>
        <v>1.1046889527841064</v>
      </c>
      <c r="R394" s="5">
        <f t="shared" si="143"/>
        <v>0.16305315803530349</v>
      </c>
      <c r="S394" s="4">
        <f t="shared" si="160"/>
        <v>0.14647808924805208</v>
      </c>
      <c r="T394" s="5">
        <f t="shared" si="144"/>
        <v>0.10639484116207394</v>
      </c>
      <c r="U394" s="4">
        <f t="shared" si="145"/>
        <v>0</v>
      </c>
      <c r="V394" s="4">
        <f t="shared" si="146"/>
        <v>0</v>
      </c>
      <c r="W394" s="5">
        <f t="shared" si="147"/>
        <v>0</v>
      </c>
      <c r="X394" s="5">
        <f t="shared" si="148"/>
        <v>-15.705214249012139</v>
      </c>
      <c r="Y394" s="5">
        <f t="shared" si="149"/>
        <v>2.5970470853174583</v>
      </c>
      <c r="Z394" s="5">
        <f>1</f>
        <v>1</v>
      </c>
      <c r="AA394" s="5">
        <f>IF(M394=0,0,const*($T394/omega)*O394*(wy*I394-wz*(H394-V394))/Z394)</f>
        <v>0</v>
      </c>
      <c r="AB394" s="5">
        <f>IF(M394=0,0,const*($T394/omega)*O394*(wz*(G394-U394)-wx*I394)/Z394)</f>
        <v>1.694615519639014</v>
      </c>
      <c r="AC394" s="5">
        <f>IF(M394=0,0,const*($T394/omega)*O394*(wx*(H394-V394)-wy*(G394-U394))/Z394)</f>
        <v>10.247908078408393</v>
      </c>
      <c r="AD394" s="5">
        <f t="shared" si="162"/>
        <v>0</v>
      </c>
      <c r="AE394" s="5">
        <f t="shared" si="162"/>
        <v>-14.010598729373125</v>
      </c>
      <c r="AF394" s="5">
        <f t="shared" si="150"/>
        <v>-19.32904483627415</v>
      </c>
      <c r="AG394">
        <f t="shared" si="161"/>
        <v>0</v>
      </c>
    </row>
    <row r="395" spans="1:33" x14ac:dyDescent="0.2">
      <c r="A395">
        <f t="shared" si="151"/>
        <v>3.6299999999999666</v>
      </c>
      <c r="B395" s="5">
        <f t="shared" si="152"/>
        <v>0</v>
      </c>
      <c r="C395" s="5">
        <f t="shared" si="153"/>
        <v>613.04697669053121</v>
      </c>
      <c r="D395" s="5">
        <f t="shared" si="154"/>
        <v>47.17561098036628</v>
      </c>
      <c r="E395" s="2">
        <f t="shared" si="136"/>
        <v>204.34899223017706</v>
      </c>
      <c r="F395" s="2">
        <f t="shared" si="155"/>
        <v>0</v>
      </c>
      <c r="G395" s="3">
        <f t="shared" si="156"/>
        <v>0</v>
      </c>
      <c r="H395" s="3">
        <f t="shared" si="157"/>
        <v>129.17786093941427</v>
      </c>
      <c r="I395" s="3">
        <f t="shared" si="158"/>
        <v>-21.577580007310413</v>
      </c>
      <c r="J395" s="2">
        <f t="shared" si="137"/>
        <v>130.96759796168874</v>
      </c>
      <c r="K395" s="2">
        <f t="shared" si="159"/>
        <v>89.275799564886654</v>
      </c>
      <c r="L395" s="5">
        <f t="shared" si="138"/>
        <v>26.719733473746047</v>
      </c>
      <c r="M395" s="3">
        <f t="shared" si="139"/>
        <v>19.194417115760171</v>
      </c>
      <c r="N395" s="2">
        <v>0</v>
      </c>
      <c r="O395" s="2">
        <f t="shared" si="140"/>
        <v>130.96759796168874</v>
      </c>
      <c r="P395" s="2">
        <f t="shared" si="141"/>
        <v>89.275799564886654</v>
      </c>
      <c r="Q395" s="5">
        <f t="shared" si="142"/>
        <v>1.1037912049025398</v>
      </c>
      <c r="R395" s="5">
        <f t="shared" si="143"/>
        <v>0.16306994534778368</v>
      </c>
      <c r="S395" s="4">
        <f t="shared" si="160"/>
        <v>0.14655851840067352</v>
      </c>
      <c r="T395" s="5">
        <f t="shared" si="144"/>
        <v>0.10641820530554058</v>
      </c>
      <c r="U395" s="4">
        <f t="shared" si="145"/>
        <v>0</v>
      </c>
      <c r="V395" s="4">
        <f t="shared" si="146"/>
        <v>0</v>
      </c>
      <c r="W395" s="5">
        <f t="shared" si="147"/>
        <v>0</v>
      </c>
      <c r="X395" s="5">
        <f t="shared" si="148"/>
        <v>-15.677063417177488</v>
      </c>
      <c r="Y395" s="5">
        <f t="shared" si="149"/>
        <v>2.6186614927961993</v>
      </c>
      <c r="Z395" s="5">
        <f>1</f>
        <v>1</v>
      </c>
      <c r="AA395" s="5">
        <f>IF(M395=0,0,const*($T395/omega)*O395*(wy*I395-wz*(H395-V395))/Z395)</f>
        <v>0</v>
      </c>
      <c r="AB395" s="5">
        <f>IF(M395=0,0,const*($T395/omega)*O395*(wz*(G395-U395)-wx*I395)/Z395)</f>
        <v>1.7089185611227458</v>
      </c>
      <c r="AC395" s="5">
        <f>IF(M395=0,0,const*($T395/omega)*O395*(wx*(H395-V395)-wy*(G395-U395))/Z395)</f>
        <v>10.230732277239019</v>
      </c>
      <c r="AD395" s="5">
        <f t="shared" si="162"/>
        <v>0</v>
      </c>
      <c r="AE395" s="5">
        <f t="shared" si="162"/>
        <v>-13.968144856054742</v>
      </c>
      <c r="AF395" s="5">
        <f t="shared" si="150"/>
        <v>-19.324606229964779</v>
      </c>
      <c r="AG395">
        <f t="shared" si="161"/>
        <v>0</v>
      </c>
    </row>
    <row r="396" spans="1:33" x14ac:dyDescent="0.2">
      <c r="A396">
        <f t="shared" si="151"/>
        <v>3.6399999999999664</v>
      </c>
      <c r="B396" s="5">
        <f t="shared" si="152"/>
        <v>0</v>
      </c>
      <c r="C396" s="5">
        <f t="shared" si="153"/>
        <v>614.33805689268252</v>
      </c>
      <c r="D396" s="5">
        <f t="shared" si="154"/>
        <v>46.958868949981678</v>
      </c>
      <c r="E396" s="2">
        <f t="shared" si="136"/>
        <v>204.77935229756085</v>
      </c>
      <c r="F396" s="2">
        <f t="shared" si="155"/>
        <v>0</v>
      </c>
      <c r="G396" s="3">
        <f t="shared" si="156"/>
        <v>0</v>
      </c>
      <c r="H396" s="3">
        <f t="shared" si="157"/>
        <v>129.03817949085374</v>
      </c>
      <c r="I396" s="3">
        <f t="shared" si="158"/>
        <v>-21.77082606961006</v>
      </c>
      <c r="J396" s="2">
        <f t="shared" si="137"/>
        <v>130.86183795922707</v>
      </c>
      <c r="K396" s="2">
        <f t="shared" si="159"/>
        <v>89.2037068570055</v>
      </c>
      <c r="L396" s="5">
        <f t="shared" si="138"/>
        <v>26.741327844740884</v>
      </c>
      <c r="M396" s="3">
        <f t="shared" si="139"/>
        <v>19.189345726838887</v>
      </c>
      <c r="N396" s="2">
        <v>0</v>
      </c>
      <c r="O396" s="2">
        <f t="shared" si="140"/>
        <v>130.86183795922707</v>
      </c>
      <c r="P396" s="2">
        <f t="shared" si="141"/>
        <v>89.2037068570055</v>
      </c>
      <c r="Q396" s="5">
        <f t="shared" si="142"/>
        <v>1.1028998625983024</v>
      </c>
      <c r="R396" s="5">
        <f t="shared" si="143"/>
        <v>0.163086578798502</v>
      </c>
      <c r="S396" s="4">
        <f t="shared" si="160"/>
        <v>0.14663821039115893</v>
      </c>
      <c r="T396" s="5">
        <f t="shared" si="144"/>
        <v>0.10644134772175426</v>
      </c>
      <c r="U396" s="4">
        <f t="shared" si="145"/>
        <v>0</v>
      </c>
      <c r="V396" s="4">
        <f t="shared" si="146"/>
        <v>0</v>
      </c>
      <c r="W396" s="5">
        <f t="shared" si="147"/>
        <v>0</v>
      </c>
      <c r="X396" s="5">
        <f t="shared" si="148"/>
        <v>-15.649061728476081</v>
      </c>
      <c r="Y396" s="5">
        <f t="shared" si="149"/>
        <v>2.6402495942481314</v>
      </c>
      <c r="Z396" s="5">
        <f>1</f>
        <v>1</v>
      </c>
      <c r="AA396" s="5">
        <f>IF(M396=0,0,const*($T396/omega)*O396*(wy*I396-wz*(H396-V396))/Z396)</f>
        <v>0</v>
      </c>
      <c r="AB396" s="5">
        <f>IF(M396=0,0,const*($T396/omega)*O396*(wz*(G396-U396)-wx*I396)/Z396)</f>
        <v>1.7232057181161937</v>
      </c>
      <c r="AC396" s="5">
        <f>IF(M396=0,0,const*($T396/omega)*O396*(wx*(H396-V396)-wy*(G396-U396))/Z396)</f>
        <v>10.213637647141685</v>
      </c>
      <c r="AD396" s="5">
        <f t="shared" si="162"/>
        <v>0</v>
      </c>
      <c r="AE396" s="5">
        <f t="shared" si="162"/>
        <v>-13.925856010359887</v>
      </c>
      <c r="AF396" s="5">
        <f t="shared" si="150"/>
        <v>-19.320112758610183</v>
      </c>
      <c r="AG396">
        <f t="shared" si="161"/>
        <v>0</v>
      </c>
    </row>
    <row r="397" spans="1:33" x14ac:dyDescent="0.2">
      <c r="A397">
        <f t="shared" si="151"/>
        <v>3.6499999999999662</v>
      </c>
      <c r="B397" s="5">
        <f t="shared" si="152"/>
        <v>0</v>
      </c>
      <c r="C397" s="5">
        <f t="shared" si="153"/>
        <v>615.62774239479052</v>
      </c>
      <c r="D397" s="5">
        <f t="shared" si="154"/>
        <v>46.740194683647651</v>
      </c>
      <c r="E397" s="2">
        <f t="shared" si="136"/>
        <v>205.20924746493017</v>
      </c>
      <c r="F397" s="2">
        <f t="shared" si="155"/>
        <v>0</v>
      </c>
      <c r="G397" s="3">
        <f t="shared" si="156"/>
        <v>0</v>
      </c>
      <c r="H397" s="3">
        <f t="shared" si="157"/>
        <v>128.89892093075014</v>
      </c>
      <c r="I397" s="3">
        <f t="shared" si="158"/>
        <v>-21.96402719719616</v>
      </c>
      <c r="J397" s="2">
        <f t="shared" si="137"/>
        <v>130.7568365624947</v>
      </c>
      <c r="K397" s="2">
        <f t="shared" si="159"/>
        <v>89.132131262777563</v>
      </c>
      <c r="L397" s="5">
        <f t="shared" si="138"/>
        <v>26.762801878894614</v>
      </c>
      <c r="M397" s="3">
        <f t="shared" si="139"/>
        <v>19.18427209410936</v>
      </c>
      <c r="N397" s="2">
        <v>0</v>
      </c>
      <c r="O397" s="2">
        <f t="shared" si="140"/>
        <v>130.7568365624947</v>
      </c>
      <c r="P397" s="2">
        <f t="shared" si="141"/>
        <v>89.132131262777563</v>
      </c>
      <c r="Q397" s="5">
        <f t="shared" si="142"/>
        <v>1.1020149138016573</v>
      </c>
      <c r="R397" s="5">
        <f t="shared" si="143"/>
        <v>0.16310305790952201</v>
      </c>
      <c r="S397" s="4">
        <f t="shared" si="160"/>
        <v>0.1467171629296822</v>
      </c>
      <c r="T397" s="5">
        <f t="shared" si="144"/>
        <v>0.10646426796210949</v>
      </c>
      <c r="U397" s="4">
        <f t="shared" si="145"/>
        <v>0</v>
      </c>
      <c r="V397" s="4">
        <f t="shared" si="146"/>
        <v>0</v>
      </c>
      <c r="W397" s="5">
        <f t="shared" si="147"/>
        <v>0</v>
      </c>
      <c r="X397" s="5">
        <f t="shared" si="148"/>
        <v>-15.621208481824706</v>
      </c>
      <c r="Y397" s="5">
        <f t="shared" si="149"/>
        <v>2.6618116386885755</v>
      </c>
      <c r="Z397" s="5">
        <f>1</f>
        <v>1</v>
      </c>
      <c r="AA397" s="5">
        <f>IF(M397=0,0,const*($T397/omega)*O397*(wy*I397-wz*(H397-V397))/Z397)</f>
        <v>0</v>
      </c>
      <c r="AB397" s="5">
        <f>IF(M397=0,0,const*($T397/omega)*O397*(wz*(G397-U397)-wx*I397)/Z397)</f>
        <v>1.7374770969849369</v>
      </c>
      <c r="AC397" s="5">
        <f>IF(M397=0,0,const*($T397/omega)*O397*(wx*(H397-V397)-wy*(G397-U397))/Z397)</f>
        <v>10.19662382187545</v>
      </c>
      <c r="AD397" s="5">
        <f t="shared" si="162"/>
        <v>0</v>
      </c>
      <c r="AE397" s="5">
        <f t="shared" si="162"/>
        <v>-13.883731384839768</v>
      </c>
      <c r="AF397" s="5">
        <f t="shared" si="150"/>
        <v>-19.315564539435975</v>
      </c>
      <c r="AG397">
        <f t="shared" si="161"/>
        <v>0</v>
      </c>
    </row>
    <row r="398" spans="1:33" x14ac:dyDescent="0.2">
      <c r="A398">
        <f t="shared" si="151"/>
        <v>3.6599999999999659</v>
      </c>
      <c r="B398" s="5">
        <f t="shared" si="152"/>
        <v>0</v>
      </c>
      <c r="C398" s="5">
        <f t="shared" si="153"/>
        <v>616.91603741752874</v>
      </c>
      <c r="D398" s="5">
        <f t="shared" si="154"/>
        <v>46.51958863344872</v>
      </c>
      <c r="E398" s="2">
        <f t="shared" si="136"/>
        <v>205.63867913917625</v>
      </c>
      <c r="F398" s="2">
        <f t="shared" si="155"/>
        <v>0</v>
      </c>
      <c r="G398" s="3">
        <f t="shared" si="156"/>
        <v>0</v>
      </c>
      <c r="H398" s="3">
        <f t="shared" si="157"/>
        <v>128.76008361690174</v>
      </c>
      <c r="I398" s="3">
        <f t="shared" si="158"/>
        <v>-22.157182842590519</v>
      </c>
      <c r="J398" s="2">
        <f t="shared" si="137"/>
        <v>130.65259233766284</v>
      </c>
      <c r="K398" s="2">
        <f t="shared" si="159"/>
        <v>89.061071804814475</v>
      </c>
      <c r="L398" s="5">
        <f t="shared" si="138"/>
        <v>26.784155205960513</v>
      </c>
      <c r="M398" s="3">
        <f t="shared" si="139"/>
        <v>19.179196124091494</v>
      </c>
      <c r="N398" s="2">
        <v>0</v>
      </c>
      <c r="O398" s="2">
        <f t="shared" si="140"/>
        <v>130.65259233766284</v>
      </c>
      <c r="P398" s="2">
        <f t="shared" si="141"/>
        <v>89.061071804814475</v>
      </c>
      <c r="Q398" s="5">
        <f t="shared" si="142"/>
        <v>1.101136346428337</v>
      </c>
      <c r="R398" s="5">
        <f t="shared" si="143"/>
        <v>0.16311938220859287</v>
      </c>
      <c r="S398" s="4">
        <f t="shared" si="160"/>
        <v>0.14679537375365773</v>
      </c>
      <c r="T398" s="5">
        <f t="shared" si="144"/>
        <v>0.10648696558444835</v>
      </c>
      <c r="U398" s="4">
        <f t="shared" si="145"/>
        <v>0</v>
      </c>
      <c r="V398" s="4">
        <f t="shared" si="146"/>
        <v>0</v>
      </c>
      <c r="W398" s="5">
        <f t="shared" si="147"/>
        <v>0</v>
      </c>
      <c r="X398" s="5">
        <f t="shared" si="148"/>
        <v>-15.593502979689056</v>
      </c>
      <c r="Y398" s="5">
        <f t="shared" si="149"/>
        <v>2.683347874372592</v>
      </c>
      <c r="Z398" s="5">
        <f>1</f>
        <v>1</v>
      </c>
      <c r="AA398" s="5">
        <f>IF(M398=0,0,const*($T398/omega)*O398*(wy*I398-wz*(H398-V398))/Z398)</f>
        <v>0</v>
      </c>
      <c r="AB398" s="5">
        <f>IF(M398=0,0,const*($T398/omega)*O398*(wz*(G398-U398)-wx*I398)/Z398)</f>
        <v>1.7517328037940818</v>
      </c>
      <c r="AC398" s="5">
        <f>IF(M398=0,0,const*($T398/omega)*O398*(wx*(H398-V398)-wy*(G398-U398))/Z398)</f>
        <v>10.179690436883403</v>
      </c>
      <c r="AD398" s="5">
        <f t="shared" si="162"/>
        <v>0</v>
      </c>
      <c r="AE398" s="5">
        <f t="shared" si="162"/>
        <v>-13.841770175894974</v>
      </c>
      <c r="AF398" s="5">
        <f t="shared" si="150"/>
        <v>-19.310961688744005</v>
      </c>
      <c r="AG398">
        <f t="shared" si="161"/>
        <v>0</v>
      </c>
    </row>
    <row r="399" spans="1:33" x14ac:dyDescent="0.2">
      <c r="A399">
        <f t="shared" si="151"/>
        <v>3.6699999999999657</v>
      </c>
      <c r="B399" s="5">
        <f t="shared" si="152"/>
        <v>0</v>
      </c>
      <c r="C399" s="5">
        <f t="shared" si="153"/>
        <v>618.20294616518891</v>
      </c>
      <c r="D399" s="5">
        <f t="shared" si="154"/>
        <v>46.297051256938374</v>
      </c>
      <c r="E399" s="2">
        <f t="shared" si="136"/>
        <v>206.06764872172963</v>
      </c>
      <c r="F399" s="2">
        <f t="shared" si="155"/>
        <v>0</v>
      </c>
      <c r="G399" s="3">
        <f t="shared" si="156"/>
        <v>0</v>
      </c>
      <c r="H399" s="3">
        <f t="shared" si="157"/>
        <v>128.62166591514278</v>
      </c>
      <c r="I399" s="3">
        <f t="shared" si="158"/>
        <v>-22.350292459477959</v>
      </c>
      <c r="J399" s="2">
        <f t="shared" si="137"/>
        <v>130.54910384912949</v>
      </c>
      <c r="K399" s="2">
        <f t="shared" si="159"/>
        <v>88.990527504519079</v>
      </c>
      <c r="L399" s="5">
        <f t="shared" si="138"/>
        <v>26.805387460010387</v>
      </c>
      <c r="M399" s="3">
        <f t="shared" si="139"/>
        <v>19.174117723757348</v>
      </c>
      <c r="N399" s="2">
        <v>0</v>
      </c>
      <c r="O399" s="2">
        <f t="shared" si="140"/>
        <v>130.54910384912949</v>
      </c>
      <c r="P399" s="2">
        <f t="shared" si="141"/>
        <v>88.990527504519079</v>
      </c>
      <c r="Q399" s="5">
        <f t="shared" si="142"/>
        <v>1.100264148379128</v>
      </c>
      <c r="R399" s="5">
        <f t="shared" si="143"/>
        <v>0.16313555122919718</v>
      </c>
      <c r="S399" s="4">
        <f t="shared" si="160"/>
        <v>0.14687284062796882</v>
      </c>
      <c r="T399" s="5">
        <f t="shared" si="144"/>
        <v>0.10650944015310158</v>
      </c>
      <c r="U399" s="4">
        <f t="shared" si="145"/>
        <v>0</v>
      </c>
      <c r="V399" s="4">
        <f t="shared" si="146"/>
        <v>0</v>
      </c>
      <c r="W399" s="5">
        <f t="shared" si="147"/>
        <v>0</v>
      </c>
      <c r="X399" s="5">
        <f t="shared" si="148"/>
        <v>-15.565944528057251</v>
      </c>
      <c r="Y399" s="5">
        <f t="shared" si="149"/>
        <v>2.7048585487892605</v>
      </c>
      <c r="Z399" s="5">
        <f>1</f>
        <v>1</v>
      </c>
      <c r="AA399" s="5">
        <f>IF(M399=0,0,const*($T399/omega)*O399*(wy*I399-wz*(H399-V399))/Z399)</f>
        <v>0</v>
      </c>
      <c r="AB399" s="5">
        <f>IF(M399=0,0,const*($T399/omega)*O399*(wz*(G399-U399)-wx*I399)/Z399)</f>
        <v>1.7659729443039607</v>
      </c>
      <c r="AC399" s="5">
        <f>IF(M399=0,0,const*($T399/omega)*O399*(wx*(H399-V399)-wy*(G399-U399))/Z399)</f>
        <v>10.162837129279806</v>
      </c>
      <c r="AD399" s="5">
        <f t="shared" si="162"/>
        <v>0</v>
      </c>
      <c r="AE399" s="5">
        <f t="shared" si="162"/>
        <v>-13.79997158375329</v>
      </c>
      <c r="AF399" s="5">
        <f t="shared" si="150"/>
        <v>-19.306304321930931</v>
      </c>
      <c r="AG399">
        <f t="shared" si="161"/>
        <v>0</v>
      </c>
    </row>
    <row r="400" spans="1:33" x14ac:dyDescent="0.2">
      <c r="A400">
        <f t="shared" si="151"/>
        <v>3.6799999999999655</v>
      </c>
      <c r="B400" s="5">
        <f t="shared" si="152"/>
        <v>0</v>
      </c>
      <c r="C400" s="5">
        <f t="shared" si="153"/>
        <v>619.48847282576116</v>
      </c>
      <c r="D400" s="5">
        <f t="shared" si="154"/>
        <v>46.072583017127492</v>
      </c>
      <c r="E400" s="2">
        <f t="shared" si="136"/>
        <v>206.49615760858705</v>
      </c>
      <c r="F400" s="2">
        <f t="shared" si="155"/>
        <v>0</v>
      </c>
      <c r="G400" s="3">
        <f t="shared" si="156"/>
        <v>0</v>
      </c>
      <c r="H400" s="3">
        <f t="shared" si="157"/>
        <v>128.48366619930525</v>
      </c>
      <c r="I400" s="3">
        <f t="shared" si="158"/>
        <v>-22.543355502697267</v>
      </c>
      <c r="J400" s="2">
        <f t="shared" si="137"/>
        <v>130.44636965947149</v>
      </c>
      <c r="K400" s="2">
        <f t="shared" si="159"/>
        <v>88.920497382052815</v>
      </c>
      <c r="L400" s="5">
        <f t="shared" si="138"/>
        <v>26.826498279470993</v>
      </c>
      <c r="M400" s="3">
        <f t="shared" si="139"/>
        <v>19.169036800532229</v>
      </c>
      <c r="N400" s="2">
        <v>0</v>
      </c>
      <c r="O400" s="2">
        <f t="shared" si="140"/>
        <v>130.44636965947149</v>
      </c>
      <c r="P400" s="2">
        <f t="shared" si="141"/>
        <v>88.920497382052815</v>
      </c>
      <c r="Q400" s="5">
        <f t="shared" si="142"/>
        <v>1.0993983075394687</v>
      </c>
      <c r="R400" s="5">
        <f t="shared" si="143"/>
        <v>0.16315156451059787</v>
      </c>
      <c r="S400" s="4">
        <f t="shared" si="160"/>
        <v>0.14694956134519302</v>
      </c>
      <c r="T400" s="5">
        <f t="shared" si="144"/>
        <v>0.10653169123892882</v>
      </c>
      <c r="U400" s="4">
        <f t="shared" si="145"/>
        <v>0</v>
      </c>
      <c r="V400" s="4">
        <f t="shared" si="146"/>
        <v>0</v>
      </c>
      <c r="W400" s="5">
        <f t="shared" si="147"/>
        <v>0</v>
      </c>
      <c r="X400" s="5">
        <f t="shared" si="148"/>
        <v>-15.538532436413632</v>
      </c>
      <c r="Y400" s="5">
        <f t="shared" si="149"/>
        <v>2.7263439086559886</v>
      </c>
      <c r="Z400" s="5">
        <f>1</f>
        <v>1</v>
      </c>
      <c r="AA400" s="5">
        <f>IF(M400=0,0,const*($T400/omega)*O400*(wy*I400-wz*(H400-V400))/Z400)</f>
        <v>0</v>
      </c>
      <c r="AB400" s="5">
        <f>IF(M400=0,0,const*($T400/omega)*O400*(wz*(G400-U400)-wx*I400)/Z400)</f>
        <v>1.7801976239658299</v>
      </c>
      <c r="AC400" s="5">
        <f>IF(M400=0,0,const*($T400/omega)*O400*(wx*(H400-V400)-wy*(G400-U400))/Z400)</f>
        <v>10.146063537837362</v>
      </c>
      <c r="AD400" s="5">
        <f t="shared" si="162"/>
        <v>0</v>
      </c>
      <c r="AE400" s="5">
        <f t="shared" si="162"/>
        <v>-13.758334812447803</v>
      </c>
      <c r="AF400" s="5">
        <f t="shared" si="150"/>
        <v>-19.301592553506648</v>
      </c>
      <c r="AG400">
        <f t="shared" si="161"/>
        <v>0</v>
      </c>
    </row>
    <row r="401" spans="1:33" x14ac:dyDescent="0.2">
      <c r="A401">
        <f t="shared" si="151"/>
        <v>3.6899999999999653</v>
      </c>
      <c r="B401" s="5">
        <f t="shared" si="152"/>
        <v>0</v>
      </c>
      <c r="C401" s="5">
        <f t="shared" si="153"/>
        <v>620.77262157101359</v>
      </c>
      <c r="D401" s="5">
        <f t="shared" si="154"/>
        <v>45.846184382472842</v>
      </c>
      <c r="E401" s="2">
        <f t="shared" si="136"/>
        <v>206.92420719033785</v>
      </c>
      <c r="F401" s="2">
        <f t="shared" si="155"/>
        <v>0</v>
      </c>
      <c r="G401" s="3">
        <f t="shared" si="156"/>
        <v>0</v>
      </c>
      <c r="H401" s="3">
        <f t="shared" si="157"/>
        <v>128.34608285118077</v>
      </c>
      <c r="I401" s="3">
        <f t="shared" si="158"/>
        <v>-22.736371428232335</v>
      </c>
      <c r="J401" s="2">
        <f t="shared" si="137"/>
        <v>130.34438832939719</v>
      </c>
      <c r="K401" s="2">
        <f t="shared" si="159"/>
        <v>88.850980456303461</v>
      </c>
      <c r="L401" s="5">
        <f t="shared" si="138"/>
        <v>26.847487307160183</v>
      </c>
      <c r="M401" s="3">
        <f t="shared" si="139"/>
        <v>19.163953262295813</v>
      </c>
      <c r="N401" s="2">
        <v>0</v>
      </c>
      <c r="O401" s="2">
        <f t="shared" si="140"/>
        <v>130.34438832939719</v>
      </c>
      <c r="P401" s="2">
        <f t="shared" si="141"/>
        <v>88.850980456303461</v>
      </c>
      <c r="Q401" s="5">
        <f t="shared" si="142"/>
        <v>1.09853881177905</v>
      </c>
      <c r="R401" s="5">
        <f t="shared" si="143"/>
        <v>0.16316742159788478</v>
      </c>
      <c r="S401" s="4">
        <f t="shared" si="160"/>
        <v>0.14702553372582497</v>
      </c>
      <c r="T401" s="5">
        <f t="shared" si="144"/>
        <v>0.1065537184193585</v>
      </c>
      <c r="U401" s="4">
        <f t="shared" si="145"/>
        <v>0</v>
      </c>
      <c r="V401" s="4">
        <f t="shared" si="146"/>
        <v>0</v>
      </c>
      <c r="W401" s="5">
        <f t="shared" si="147"/>
        <v>0</v>
      </c>
      <c r="X401" s="5">
        <f t="shared" si="148"/>
        <v>-15.511266017712783</v>
      </c>
      <c r="Y401" s="5">
        <f t="shared" si="149"/>
        <v>2.7478041999128417</v>
      </c>
      <c r="Z401" s="5">
        <f>1</f>
        <v>1</v>
      </c>
      <c r="AA401" s="5">
        <f>IF(M401=0,0,const*($T401/omega)*O401*(wy*I401-wz*(H401-V401))/Z401)</f>
        <v>0</v>
      </c>
      <c r="AB401" s="5">
        <f>IF(M401=0,0,const*($T401/omega)*O401*(wz*(G401-U401)-wx*I401)/Z401)</f>
        <v>1.7944069479175933</v>
      </c>
      <c r="AC401" s="5">
        <f>IF(M401=0,0,const*($T401/omega)*O401*(wx*(H401-V401)-wy*(G401-U401))/Z401)</f>
        <v>10.12936930297462</v>
      </c>
      <c r="AD401" s="5">
        <f t="shared" si="162"/>
        <v>0</v>
      </c>
      <c r="AE401" s="5">
        <f t="shared" si="162"/>
        <v>-13.71685906979519</v>
      </c>
      <c r="AF401" s="5">
        <f t="shared" si="150"/>
        <v>-19.296826497112537</v>
      </c>
      <c r="AG401">
        <f t="shared" si="161"/>
        <v>0</v>
      </c>
    </row>
    <row r="402" spans="1:33" x14ac:dyDescent="0.2">
      <c r="A402">
        <f t="shared" si="151"/>
        <v>3.6999999999999651</v>
      </c>
      <c r="B402" s="5">
        <f t="shared" si="152"/>
        <v>0</v>
      </c>
      <c r="C402" s="5">
        <f t="shared" si="153"/>
        <v>622.05539655657185</v>
      </c>
      <c r="D402" s="5">
        <f t="shared" si="154"/>
        <v>45.617855826865657</v>
      </c>
      <c r="E402" s="2">
        <f t="shared" si="136"/>
        <v>207.35179885219063</v>
      </c>
      <c r="F402" s="2">
        <f t="shared" si="155"/>
        <v>0</v>
      </c>
      <c r="G402" s="3">
        <f t="shared" si="156"/>
        <v>0</v>
      </c>
      <c r="H402" s="3">
        <f t="shared" si="157"/>
        <v>128.20891426048283</v>
      </c>
      <c r="I402" s="3">
        <f t="shared" si="158"/>
        <v>-22.92933969320346</v>
      </c>
      <c r="J402" s="2">
        <f t="shared" si="137"/>
        <v>130.24315841770022</v>
      </c>
      <c r="K402" s="2">
        <f t="shared" si="159"/>
        <v>88.781975744853582</v>
      </c>
      <c r="L402" s="5">
        <f t="shared" si="138"/>
        <v>26.868354190322471</v>
      </c>
      <c r="M402" s="3">
        <f t="shared" si="139"/>
        <v>19.158867017383244</v>
      </c>
      <c r="N402" s="2">
        <v>0</v>
      </c>
      <c r="O402" s="2">
        <f t="shared" si="140"/>
        <v>130.24315841770022</v>
      </c>
      <c r="P402" s="2">
        <f t="shared" si="141"/>
        <v>88.781975744853582</v>
      </c>
      <c r="Q402" s="5">
        <f t="shared" si="142"/>
        <v>1.0976856489514257</v>
      </c>
      <c r="R402" s="5">
        <f t="shared" si="143"/>
        <v>0.16318312204202062</v>
      </c>
      <c r="S402" s="4">
        <f t="shared" si="160"/>
        <v>0.1471007556184965</v>
      </c>
      <c r="T402" s="5">
        <f t="shared" si="144"/>
        <v>0.10657552127842704</v>
      </c>
      <c r="U402" s="4">
        <f t="shared" si="145"/>
        <v>0</v>
      </c>
      <c r="V402" s="4">
        <f t="shared" si="146"/>
        <v>0</v>
      </c>
      <c r="W402" s="5">
        <f t="shared" si="147"/>
        <v>0</v>
      </c>
      <c r="X402" s="5">
        <f t="shared" si="148"/>
        <v>-15.484144588353864</v>
      </c>
      <c r="Y402" s="5">
        <f t="shared" si="149"/>
        <v>2.7692396677168984</v>
      </c>
      <c r="Z402" s="5">
        <f>1</f>
        <v>1</v>
      </c>
      <c r="AA402" s="5">
        <f>IF(M402=0,0,const*($T402/omega)*O402*(wy*I402-wz*(H402-V402))/Z402)</f>
        <v>0</v>
      </c>
      <c r="AB402" s="5">
        <f>IF(M402=0,0,const*($T402/omega)*O402*(wz*(G402-U402)-wx*I402)/Z402)</f>
        <v>1.8086010209795349</v>
      </c>
      <c r="AC402" s="5">
        <f>IF(M402=0,0,const*($T402/omega)*O402*(wx*(H402-V402)-wy*(G402-U402))/Z402)</f>
        <v>10.112754066743522</v>
      </c>
      <c r="AD402" s="5">
        <f t="shared" si="162"/>
        <v>0</v>
      </c>
      <c r="AE402" s="5">
        <f t="shared" si="162"/>
        <v>-13.67554356737433</v>
      </c>
      <c r="AF402" s="5">
        <f t="shared" si="150"/>
        <v>-19.29200626553958</v>
      </c>
      <c r="AG402">
        <f t="shared" si="161"/>
        <v>0</v>
      </c>
    </row>
    <row r="403" spans="1:33" x14ac:dyDescent="0.2">
      <c r="A403">
        <f t="shared" si="151"/>
        <v>3.7099999999999649</v>
      </c>
      <c r="B403" s="5">
        <f t="shared" si="152"/>
        <v>0</v>
      </c>
      <c r="C403" s="5">
        <f t="shared" si="153"/>
        <v>623.33680192199836</v>
      </c>
      <c r="D403" s="5">
        <f t="shared" si="154"/>
        <v>45.387597829620347</v>
      </c>
      <c r="E403" s="2">
        <f t="shared" si="136"/>
        <v>207.77893397399944</v>
      </c>
      <c r="F403" s="2">
        <f t="shared" si="155"/>
        <v>0</v>
      </c>
      <c r="G403" s="3">
        <f t="shared" si="156"/>
        <v>0</v>
      </c>
      <c r="H403" s="3">
        <f t="shared" si="157"/>
        <v>128.07215882480909</v>
      </c>
      <c r="I403" s="3">
        <f t="shared" si="158"/>
        <v>-23.122259755858856</v>
      </c>
      <c r="J403" s="2">
        <f t="shared" si="137"/>
        <v>130.14267848121361</v>
      </c>
      <c r="K403" s="2">
        <f t="shared" si="159"/>
        <v>88.713482263949288</v>
      </c>
      <c r="L403" s="5">
        <f t="shared" si="138"/>
        <v>26.889098580664282</v>
      </c>
      <c r="M403" s="3">
        <f t="shared" si="139"/>
        <v>19.153777974586248</v>
      </c>
      <c r="N403" s="2">
        <v>0</v>
      </c>
      <c r="O403" s="2">
        <f t="shared" si="140"/>
        <v>130.14267848121361</v>
      </c>
      <c r="P403" s="2">
        <f t="shared" si="141"/>
        <v>88.713482263949288</v>
      </c>
      <c r="Q403" s="5">
        <f t="shared" si="142"/>
        <v>1.096838806893625</v>
      </c>
      <c r="R403" s="5">
        <f t="shared" si="143"/>
        <v>0.16319866539988634</v>
      </c>
      <c r="S403" s="4">
        <f t="shared" si="160"/>
        <v>0.14717522490019397</v>
      </c>
      <c r="T403" s="5">
        <f t="shared" si="144"/>
        <v>0.1065970994068175</v>
      </c>
      <c r="U403" s="4">
        <f t="shared" si="145"/>
        <v>0</v>
      </c>
      <c r="V403" s="4">
        <f t="shared" si="146"/>
        <v>0</v>
      </c>
      <c r="W403" s="5">
        <f t="shared" si="147"/>
        <v>0</v>
      </c>
      <c r="X403" s="5">
        <f t="shared" si="148"/>
        <v>-15.457167468155111</v>
      </c>
      <c r="Y403" s="5">
        <f t="shared" si="149"/>
        <v>2.7906505564366277</v>
      </c>
      <c r="Z403" s="5">
        <f>1</f>
        <v>1</v>
      </c>
      <c r="AA403" s="5">
        <f>IF(M403=0,0,const*($T403/omega)*O403*(wy*I403-wz*(H403-V403))/Z403)</f>
        <v>0</v>
      </c>
      <c r="AB403" s="5">
        <f>IF(M403=0,0,const*($T403/omega)*O403*(wz*(G403-U403)-wx*I403)/Z403)</f>
        <v>1.8227799476500683</v>
      </c>
      <c r="AC403" s="5">
        <f>IF(M403=0,0,const*($T403/omega)*O403*(wx*(H403-V403)-wy*(G403-U403))/Z403)</f>
        <v>10.096217472817054</v>
      </c>
      <c r="AD403" s="5">
        <f t="shared" si="162"/>
        <v>0</v>
      </c>
      <c r="AE403" s="5">
        <f t="shared" si="162"/>
        <v>-13.634387520505044</v>
      </c>
      <c r="AF403" s="5">
        <f t="shared" si="150"/>
        <v>-19.287131970746316</v>
      </c>
      <c r="AG403">
        <f t="shared" si="161"/>
        <v>0</v>
      </c>
    </row>
    <row r="404" spans="1:33" x14ac:dyDescent="0.2">
      <c r="A404">
        <f t="shared" si="151"/>
        <v>3.7199999999999647</v>
      </c>
      <c r="B404" s="5">
        <f t="shared" si="152"/>
        <v>0</v>
      </c>
      <c r="C404" s="5">
        <f t="shared" si="153"/>
        <v>624.61684179087035</v>
      </c>
      <c r="D404" s="5">
        <f t="shared" si="154"/>
        <v>45.155410875463218</v>
      </c>
      <c r="E404" s="2">
        <f t="shared" si="136"/>
        <v>208.20561393029013</v>
      </c>
      <c r="F404" s="2">
        <f t="shared" si="155"/>
        <v>0</v>
      </c>
      <c r="G404" s="3">
        <f t="shared" si="156"/>
        <v>0</v>
      </c>
      <c r="H404" s="3">
        <f t="shared" si="157"/>
        <v>127.93581494960404</v>
      </c>
      <c r="I404" s="3">
        <f t="shared" si="158"/>
        <v>-23.31513107556632</v>
      </c>
      <c r="J404" s="2">
        <f t="shared" si="137"/>
        <v>130.04294707476512</v>
      </c>
      <c r="K404" s="2">
        <f t="shared" si="159"/>
        <v>88.645499028469743</v>
      </c>
      <c r="L404" s="5">
        <f t="shared" si="138"/>
        <v>26.909720134388682</v>
      </c>
      <c r="M404" s="3">
        <f t="shared" si="139"/>
        <v>19.148686043154242</v>
      </c>
      <c r="N404" s="2">
        <v>0</v>
      </c>
      <c r="O404" s="2">
        <f t="shared" si="140"/>
        <v>130.04294707476512</v>
      </c>
      <c r="P404" s="2">
        <f t="shared" si="141"/>
        <v>88.645499028469743</v>
      </c>
      <c r="Q404" s="5">
        <f t="shared" si="142"/>
        <v>1.0959982734257776</v>
      </c>
      <c r="R404" s="5">
        <f t="shared" si="143"/>
        <v>0.16321405123432575</v>
      </c>
      <c r="S404" s="4">
        <f t="shared" si="160"/>
        <v>0.14724893947647277</v>
      </c>
      <c r="T404" s="5">
        <f t="shared" si="144"/>
        <v>0.1066184524018976</v>
      </c>
      <c r="U404" s="4">
        <f t="shared" si="145"/>
        <v>0</v>
      </c>
      <c r="V404" s="4">
        <f t="shared" si="146"/>
        <v>0</v>
      </c>
      <c r="W404" s="5">
        <f t="shared" si="147"/>
        <v>0</v>
      </c>
      <c r="X404" s="5">
        <f t="shared" si="148"/>
        <v>-15.430333980328635</v>
      </c>
      <c r="Y404" s="5">
        <f t="shared" si="149"/>
        <v>2.8120371096462895</v>
      </c>
      <c r="Z404" s="5">
        <f>1</f>
        <v>1</v>
      </c>
      <c r="AA404" s="5">
        <f>IF(M404=0,0,const*($T404/omega)*O404*(wy*I404-wz*(H404-V404))/Z404)</f>
        <v>0</v>
      </c>
      <c r="AB404" s="5">
        <f>IF(M404=0,0,const*($T404/omega)*O404*(wz*(G404-U404)-wx*I404)/Z404)</f>
        <v>1.8369438321014984</v>
      </c>
      <c r="AC404" s="5">
        <f>IF(M404=0,0,const*($T404/omega)*O404*(wx*(H404-V404)-wy*(G404-U404))/Z404)</f>
        <v>10.079759166477062</v>
      </c>
      <c r="AD404" s="5">
        <f t="shared" si="162"/>
        <v>0</v>
      </c>
      <c r="AE404" s="5">
        <f t="shared" si="162"/>
        <v>-13.593390148227137</v>
      </c>
      <c r="AF404" s="5">
        <f t="shared" si="150"/>
        <v>-19.282203723876648</v>
      </c>
      <c r="AG404">
        <f t="shared" si="161"/>
        <v>0</v>
      </c>
    </row>
    <row r="405" spans="1:33" x14ac:dyDescent="0.2">
      <c r="A405">
        <f t="shared" si="151"/>
        <v>3.7299999999999645</v>
      </c>
      <c r="B405" s="5">
        <f t="shared" si="152"/>
        <v>0</v>
      </c>
      <c r="C405" s="5">
        <f t="shared" si="153"/>
        <v>625.89552027085892</v>
      </c>
      <c r="D405" s="5">
        <f t="shared" si="154"/>
        <v>44.921295454521356</v>
      </c>
      <c r="E405" s="2">
        <f t="shared" si="136"/>
        <v>208.63184009028632</v>
      </c>
      <c r="F405" s="2">
        <f t="shared" si="155"/>
        <v>0</v>
      </c>
      <c r="G405" s="3">
        <f t="shared" si="156"/>
        <v>0</v>
      </c>
      <c r="H405" s="3">
        <f t="shared" si="157"/>
        <v>127.79988104812176</v>
      </c>
      <c r="I405" s="3">
        <f t="shared" si="158"/>
        <v>-23.507953112805087</v>
      </c>
      <c r="J405" s="2">
        <f t="shared" si="137"/>
        <v>129.94396275113328</v>
      </c>
      <c r="K405" s="2">
        <f t="shared" si="159"/>
        <v>88.578025051897257</v>
      </c>
      <c r="L405" s="5">
        <f t="shared" si="138"/>
        <v>26.930218512229647</v>
      </c>
      <c r="M405" s="3">
        <f t="shared" si="139"/>
        <v>19.143591132795446</v>
      </c>
      <c r="N405" s="2">
        <v>0</v>
      </c>
      <c r="O405" s="2">
        <f t="shared" si="140"/>
        <v>129.94396275113328</v>
      </c>
      <c r="P405" s="2">
        <f t="shared" si="141"/>
        <v>88.578025051897257</v>
      </c>
      <c r="Q405" s="5">
        <f t="shared" si="142"/>
        <v>1.0951640363507416</v>
      </c>
      <c r="R405" s="5">
        <f t="shared" si="143"/>
        <v>0.16322927911418988</v>
      </c>
      <c r="S405" s="4">
        <f t="shared" si="160"/>
        <v>0.14732189728166875</v>
      </c>
      <c r="T405" s="5">
        <f t="shared" si="144"/>
        <v>0.10663957986775711</v>
      </c>
      <c r="U405" s="4">
        <f t="shared" si="145"/>
        <v>0</v>
      </c>
      <c r="V405" s="4">
        <f t="shared" si="146"/>
        <v>0</v>
      </c>
      <c r="W405" s="5">
        <f t="shared" si="147"/>
        <v>0</v>
      </c>
      <c r="X405" s="5">
        <f t="shared" si="148"/>
        <v>-15.403643451455485</v>
      </c>
      <c r="Y405" s="5">
        <f t="shared" si="149"/>
        <v>2.83339957012037</v>
      </c>
      <c r="Z405" s="5">
        <f>1</f>
        <v>1</v>
      </c>
      <c r="AA405" s="5">
        <f>IF(M405=0,0,const*($T405/omega)*O405*(wy*I405-wz*(H405-V405))/Z405)</f>
        <v>0</v>
      </c>
      <c r="AB405" s="5">
        <f>IF(M405=0,0,const*($T405/omega)*O405*(wz*(G405-U405)-wx*I405)/Z405)</f>
        <v>1.8510927781758064</v>
      </c>
      <c r="AC405" s="5">
        <f>IF(M405=0,0,const*($T405/omega)*O405*(wx*(H405-V405)-wy*(G405-U405))/Z405)</f>
        <v>10.063378794602192</v>
      </c>
      <c r="AD405" s="5">
        <f t="shared" si="162"/>
        <v>0</v>
      </c>
      <c r="AE405" s="5">
        <f t="shared" si="162"/>
        <v>-13.552550673279679</v>
      </c>
      <c r="AF405" s="5">
        <f t="shared" si="150"/>
        <v>-19.277221635277435</v>
      </c>
      <c r="AG405">
        <f t="shared" si="161"/>
        <v>0</v>
      </c>
    </row>
    <row r="406" spans="1:33" x14ac:dyDescent="0.2">
      <c r="A406">
        <f t="shared" si="151"/>
        <v>3.7399999999999642</v>
      </c>
      <c r="B406" s="5">
        <f t="shared" si="152"/>
        <v>0</v>
      </c>
      <c r="C406" s="5">
        <f t="shared" si="153"/>
        <v>627.17284145380643</v>
      </c>
      <c r="D406" s="5">
        <f t="shared" si="154"/>
        <v>44.685252062311541</v>
      </c>
      <c r="E406" s="2">
        <f t="shared" si="136"/>
        <v>209.05761381793548</v>
      </c>
      <c r="F406" s="2">
        <f t="shared" si="155"/>
        <v>0</v>
      </c>
      <c r="G406" s="3">
        <f t="shared" si="156"/>
        <v>0</v>
      </c>
      <c r="H406" s="3">
        <f t="shared" si="157"/>
        <v>127.66435554138897</v>
      </c>
      <c r="I406" s="3">
        <f t="shared" si="158"/>
        <v>-23.700725329157862</v>
      </c>
      <c r="J406" s="2">
        <f t="shared" si="137"/>
        <v>129.84572406100386</v>
      </c>
      <c r="K406" s="2">
        <f t="shared" si="159"/>
        <v>88.511059346287567</v>
      </c>
      <c r="L406" s="5">
        <f t="shared" si="138"/>
        <v>26.950593379485941</v>
      </c>
      <c r="M406" s="3">
        <f t="shared" si="139"/>
        <v>19.138493153677981</v>
      </c>
      <c r="N406" s="2">
        <v>0</v>
      </c>
      <c r="O406" s="2">
        <f t="shared" si="140"/>
        <v>129.84572406100386</v>
      </c>
      <c r="P406" s="2">
        <f t="shared" si="141"/>
        <v>88.511059346287567</v>
      </c>
      <c r="Q406" s="5">
        <f t="shared" si="142"/>
        <v>1.0943360834537379</v>
      </c>
      <c r="R406" s="5">
        <f t="shared" si="143"/>
        <v>0.16324434861438042</v>
      </c>
      <c r="S406" s="4">
        <f t="shared" si="160"/>
        <v>0.14739409627910713</v>
      </c>
      <c r="T406" s="5">
        <f t="shared" si="144"/>
        <v>0.10666048141524478</v>
      </c>
      <c r="U406" s="4">
        <f t="shared" si="145"/>
        <v>0</v>
      </c>
      <c r="V406" s="4">
        <f t="shared" si="146"/>
        <v>0</v>
      </c>
      <c r="W406" s="5">
        <f t="shared" si="147"/>
        <v>0</v>
      </c>
      <c r="X406" s="5">
        <f t="shared" si="148"/>
        <v>-15.377095211460873</v>
      </c>
      <c r="Y406" s="5">
        <f t="shared" si="149"/>
        <v>2.8547381798280265</v>
      </c>
      <c r="Z406" s="5">
        <f>1</f>
        <v>1</v>
      </c>
      <c r="AA406" s="5">
        <f>IF(M406=0,0,const*($T406/omega)*O406*(wy*I406-wz*(H406-V406))/Z406)</f>
        <v>0</v>
      </c>
      <c r="AB406" s="5">
        <f>IF(M406=0,0,const*($T406/omega)*O406*(wz*(G406-U406)-wx*I406)/Z406)</f>
        <v>1.86522688938044</v>
      </c>
      <c r="AC406" s="5">
        <f>IF(M406=0,0,const*($T406/omega)*O406*(wx*(H406-V406)-wy*(G406-U406))/Z406)</f>
        <v>10.047076005655921</v>
      </c>
      <c r="AD406" s="5">
        <f t="shared" si="162"/>
        <v>0</v>
      </c>
      <c r="AE406" s="5">
        <f t="shared" si="162"/>
        <v>-13.511868322080433</v>
      </c>
      <c r="AF406" s="5">
        <f t="shared" si="150"/>
        <v>-19.272185814516053</v>
      </c>
      <c r="AG406">
        <f t="shared" si="161"/>
        <v>0</v>
      </c>
    </row>
    <row r="407" spans="1:33" x14ac:dyDescent="0.2">
      <c r="A407">
        <f t="shared" si="151"/>
        <v>3.749999999999964</v>
      </c>
      <c r="B407" s="5">
        <f t="shared" si="152"/>
        <v>0</v>
      </c>
      <c r="C407" s="5">
        <f t="shared" si="153"/>
        <v>628.44880941580425</v>
      </c>
      <c r="D407" s="5">
        <f t="shared" si="154"/>
        <v>44.447281199729233</v>
      </c>
      <c r="E407" s="2">
        <f t="shared" si="136"/>
        <v>209.48293647193475</v>
      </c>
      <c r="F407" s="2">
        <f t="shared" si="155"/>
        <v>0</v>
      </c>
      <c r="G407" s="3">
        <f t="shared" si="156"/>
        <v>0</v>
      </c>
      <c r="H407" s="3">
        <f t="shared" si="157"/>
        <v>127.52923685816816</v>
      </c>
      <c r="I407" s="3">
        <f t="shared" si="158"/>
        <v>-23.893447187303021</v>
      </c>
      <c r="J407" s="2">
        <f t="shared" si="137"/>
        <v>129.7482295529276</v>
      </c>
      <c r="K407" s="2">
        <f t="shared" si="159"/>
        <v>88.444600922241023</v>
      </c>
      <c r="L407" s="5">
        <f t="shared" si="138"/>
        <v>26.970844406054475</v>
      </c>
      <c r="M407" s="3">
        <f t="shared" si="139"/>
        <v>19.133392016430996</v>
      </c>
      <c r="N407" s="2">
        <v>0</v>
      </c>
      <c r="O407" s="2">
        <f t="shared" si="140"/>
        <v>129.7482295529276</v>
      </c>
      <c r="P407" s="2">
        <f t="shared" si="141"/>
        <v>88.444600922241023</v>
      </c>
      <c r="Q407" s="5">
        <f t="shared" si="142"/>
        <v>1.0935144025019929</v>
      </c>
      <c r="R407" s="5">
        <f t="shared" si="143"/>
        <v>0.16325925931589275</v>
      </c>
      <c r="S407" s="4">
        <f t="shared" si="160"/>
        <v>0.14746553446130839</v>
      </c>
      <c r="T407" s="5">
        <f t="shared" si="144"/>
        <v>0.10668115666200446</v>
      </c>
      <c r="U407" s="4">
        <f t="shared" si="145"/>
        <v>0</v>
      </c>
      <c r="V407" s="4">
        <f t="shared" si="146"/>
        <v>0</v>
      </c>
      <c r="W407" s="5">
        <f t="shared" si="147"/>
        <v>0</v>
      </c>
      <c r="X407" s="5">
        <f t="shared" si="148"/>
        <v>-15.350688593589725</v>
      </c>
      <c r="Y407" s="5">
        <f t="shared" si="149"/>
        <v>2.8760531799275713</v>
      </c>
      <c r="Z407" s="5">
        <f>1</f>
        <v>1</v>
      </c>
      <c r="AA407" s="5">
        <f>IF(M407=0,0,const*($T407/omega)*O407*(wy*I407-wz*(H407-V407))/Z407)</f>
        <v>0</v>
      </c>
      <c r="AB407" s="5">
        <f>IF(M407=0,0,const*($T407/omega)*O407*(wz*(G407-U407)-wx*I407)/Z407)</f>
        <v>1.8793462688841283</v>
      </c>
      <c r="AC407" s="5">
        <f>IF(M407=0,0,const*($T407/omega)*O407*(wx*(H407-V407)-wy*(G407-U407))/Z407)</f>
        <v>10.030850449674759</v>
      </c>
      <c r="AD407" s="5">
        <f t="shared" si="162"/>
        <v>0</v>
      </c>
      <c r="AE407" s="5">
        <f t="shared" si="162"/>
        <v>-13.471342324705596</v>
      </c>
      <c r="AF407" s="5">
        <f t="shared" si="150"/>
        <v>-19.26709637039767</v>
      </c>
      <c r="AG407">
        <f t="shared" si="161"/>
        <v>0</v>
      </c>
    </row>
    <row r="408" spans="1:33" x14ac:dyDescent="0.2">
      <c r="A408">
        <f t="shared" si="151"/>
        <v>3.7599999999999638</v>
      </c>
      <c r="B408" s="5">
        <f t="shared" si="152"/>
        <v>0</v>
      </c>
      <c r="C408" s="5">
        <f t="shared" si="153"/>
        <v>629.72342821726966</v>
      </c>
      <c r="D408" s="5">
        <f t="shared" si="154"/>
        <v>44.207383373037686</v>
      </c>
      <c r="E408" s="2">
        <f t="shared" si="136"/>
        <v>209.90780940575655</v>
      </c>
      <c r="F408" s="2">
        <f t="shared" si="155"/>
        <v>0</v>
      </c>
      <c r="G408" s="3">
        <f t="shared" si="156"/>
        <v>0</v>
      </c>
      <c r="H408" s="3">
        <f t="shared" si="157"/>
        <v>127.39452343492111</v>
      </c>
      <c r="I408" s="3">
        <f t="shared" si="158"/>
        <v>-24.086118151006996</v>
      </c>
      <c r="J408" s="2">
        <f t="shared" si="137"/>
        <v>129.65147777327851</v>
      </c>
      <c r="K408" s="2">
        <f t="shared" si="159"/>
        <v>88.378648788874244</v>
      </c>
      <c r="L408" s="5">
        <f t="shared" si="138"/>
        <v>26.99097126646317</v>
      </c>
      <c r="M408" s="3">
        <f t="shared" si="139"/>
        <v>19.128287632145753</v>
      </c>
      <c r="N408" s="2">
        <v>0</v>
      </c>
      <c r="O408" s="2">
        <f t="shared" si="140"/>
        <v>129.65147777327851</v>
      </c>
      <c r="P408" s="2">
        <f t="shared" si="141"/>
        <v>88.378648788874244</v>
      </c>
      <c r="Q408" s="5">
        <f t="shared" si="142"/>
        <v>1.092698981244389</v>
      </c>
      <c r="R408" s="5">
        <f t="shared" si="143"/>
        <v>0.16327401080585818</v>
      </c>
      <c r="S408" s="4">
        <f t="shared" si="160"/>
        <v>0.1475362098501907</v>
      </c>
      <c r="T408" s="5">
        <f t="shared" si="144"/>
        <v>0.10670160523251072</v>
      </c>
      <c r="U408" s="4">
        <f t="shared" si="145"/>
        <v>0</v>
      </c>
      <c r="V408" s="4">
        <f t="shared" si="146"/>
        <v>0</v>
      </c>
      <c r="W408" s="5">
        <f t="shared" si="147"/>
        <v>0</v>
      </c>
      <c r="X408" s="5">
        <f t="shared" si="148"/>
        <v>-15.324422934382435</v>
      </c>
      <c r="Y408" s="5">
        <f t="shared" si="149"/>
        <v>2.8973448107609796</v>
      </c>
      <c r="Z408" s="5">
        <f>1</f>
        <v>1</v>
      </c>
      <c r="AA408" s="5">
        <f>IF(M408=0,0,const*($T408/omega)*O408*(wy*I408-wz*(H408-V408))/Z408)</f>
        <v>0</v>
      </c>
      <c r="AB408" s="5">
        <f>IF(M408=0,0,const*($T408/omega)*O408*(wz*(G408-U408)-wx*I408)/Z408)</f>
        <v>1.8934510195127106</v>
      </c>
      <c r="AC408" s="5">
        <f>IF(M408=0,0,const*($T408/omega)*O408*(wx*(H408-V408)-wy*(G408-U408))/Z408)</f>
        <v>10.014701778256555</v>
      </c>
      <c r="AD408" s="5">
        <f t="shared" si="162"/>
        <v>0</v>
      </c>
      <c r="AE408" s="5">
        <f t="shared" si="162"/>
        <v>-13.430971914869724</v>
      </c>
      <c r="AF408" s="5">
        <f t="shared" si="150"/>
        <v>-19.261953410982464</v>
      </c>
      <c r="AG408">
        <f t="shared" si="161"/>
        <v>0</v>
      </c>
    </row>
    <row r="409" spans="1:33" x14ac:dyDescent="0.2">
      <c r="A409">
        <f t="shared" si="151"/>
        <v>3.7699999999999636</v>
      </c>
      <c r="B409" s="5">
        <f t="shared" si="152"/>
        <v>0</v>
      </c>
      <c r="C409" s="5">
        <f t="shared" si="153"/>
        <v>630.99670190302311</v>
      </c>
      <c r="D409" s="5">
        <f t="shared" si="154"/>
        <v>43.965559093857067</v>
      </c>
      <c r="E409" s="2">
        <f t="shared" si="136"/>
        <v>210.33223396767437</v>
      </c>
      <c r="F409" s="2">
        <f t="shared" si="155"/>
        <v>0</v>
      </c>
      <c r="G409" s="3">
        <f t="shared" si="156"/>
        <v>0</v>
      </c>
      <c r="H409" s="3">
        <f t="shared" si="157"/>
        <v>127.26021371577241</v>
      </c>
      <c r="I409" s="3">
        <f t="shared" si="158"/>
        <v>-24.27873768511682</v>
      </c>
      <c r="J409" s="2">
        <f t="shared" si="137"/>
        <v>129.55546726621296</v>
      </c>
      <c r="K409" s="2">
        <f t="shared" si="159"/>
        <v>88.31320195379206</v>
      </c>
      <c r="L409" s="5">
        <f t="shared" si="138"/>
        <v>27.010973639903419</v>
      </c>
      <c r="M409" s="3">
        <f t="shared" si="139"/>
        <v>19.123179912376752</v>
      </c>
      <c r="N409" s="2">
        <v>0</v>
      </c>
      <c r="O409" s="2">
        <f t="shared" si="140"/>
        <v>129.55546726621296</v>
      </c>
      <c r="P409" s="2">
        <f t="shared" si="141"/>
        <v>88.31320195379206</v>
      </c>
      <c r="Q409" s="5">
        <f t="shared" si="142"/>
        <v>1.0918898074111161</v>
      </c>
      <c r="R409" s="5">
        <f t="shared" si="143"/>
        <v>0.1632886026775858</v>
      </c>
      <c r="S409" s="4">
        <f t="shared" si="160"/>
        <v>0.14760612049727004</v>
      </c>
      <c r="T409" s="5">
        <f t="shared" si="144"/>
        <v>0.10672182675810372</v>
      </c>
      <c r="U409" s="4">
        <f t="shared" si="145"/>
        <v>0</v>
      </c>
      <c r="V409" s="4">
        <f t="shared" si="146"/>
        <v>0</v>
      </c>
      <c r="W409" s="5">
        <f t="shared" si="147"/>
        <v>0</v>
      </c>
      <c r="X409" s="5">
        <f t="shared" si="148"/>
        <v>-15.298297573650837</v>
      </c>
      <c r="Y409" s="5">
        <f t="shared" si="149"/>
        <v>2.9186133118484165</v>
      </c>
      <c r="Z409" s="5">
        <f>1</f>
        <v>1</v>
      </c>
      <c r="AA409" s="5">
        <f>IF(M409=0,0,const*($T409/omega)*O409*(wy*I409-wz*(H409-V409))/Z409)</f>
        <v>0</v>
      </c>
      <c r="AB409" s="5">
        <f>IF(M409=0,0,const*($T409/omega)*O409*(wz*(G409-U409)-wx*I409)/Z409)</f>
        <v>1.9075412437449812</v>
      </c>
      <c r="AC409" s="5">
        <f>IF(M409=0,0,const*($T409/omega)*O409*(wx*(H409-V409)-wy*(G409-U409))/Z409)</f>
        <v>9.9986296445489415</v>
      </c>
      <c r="AD409" s="5">
        <f t="shared" si="162"/>
        <v>0</v>
      </c>
      <c r="AE409" s="5">
        <f t="shared" si="162"/>
        <v>-13.390756329905855</v>
      </c>
      <c r="AF409" s="5">
        <f t="shared" si="150"/>
        <v>-19.25675704360264</v>
      </c>
      <c r="AG409">
        <f t="shared" si="161"/>
        <v>0</v>
      </c>
    </row>
    <row r="410" spans="1:33" x14ac:dyDescent="0.2">
      <c r="A410">
        <f t="shared" si="151"/>
        <v>3.7799999999999634</v>
      </c>
      <c r="B410" s="5">
        <f t="shared" si="152"/>
        <v>0</v>
      </c>
      <c r="C410" s="5">
        <f t="shared" si="153"/>
        <v>632.26863450236431</v>
      </c>
      <c r="D410" s="5">
        <f t="shared" si="154"/>
        <v>43.72180887915372</v>
      </c>
      <c r="E410" s="2">
        <f t="shared" si="136"/>
        <v>210.75621150078811</v>
      </c>
      <c r="F410" s="2">
        <f t="shared" si="155"/>
        <v>0</v>
      </c>
      <c r="G410" s="3">
        <f t="shared" si="156"/>
        <v>0</v>
      </c>
      <c r="H410" s="3">
        <f t="shared" si="157"/>
        <v>127.12630615247335</v>
      </c>
      <c r="I410" s="3">
        <f t="shared" si="158"/>
        <v>-24.471305255552846</v>
      </c>
      <c r="J410" s="2">
        <f t="shared" si="137"/>
        <v>129.46019657362964</v>
      </c>
      <c r="K410" s="2">
        <f t="shared" si="159"/>
        <v>88.248259423060418</v>
      </c>
      <c r="L410" s="5">
        <f t="shared" si="138"/>
        <v>27.030851210261968</v>
      </c>
      <c r="M410" s="3">
        <f t="shared" si="139"/>
        <v>19.118068769142823</v>
      </c>
      <c r="N410" s="2">
        <v>0</v>
      </c>
      <c r="O410" s="2">
        <f t="shared" si="140"/>
        <v>129.46019657362964</v>
      </c>
      <c r="P410" s="2">
        <f t="shared" si="141"/>
        <v>88.248259423060418</v>
      </c>
      <c r="Q410" s="5">
        <f t="shared" si="142"/>
        <v>1.0910868687133384</v>
      </c>
      <c r="R410" s="5">
        <f t="shared" si="143"/>
        <v>0.1633030345306033</v>
      </c>
      <c r="S410" s="4">
        <f t="shared" si="160"/>
        <v>0.14767526448385659</v>
      </c>
      <c r="T410" s="5">
        <f t="shared" si="144"/>
        <v>0.10674182087702369</v>
      </c>
      <c r="U410" s="4">
        <f t="shared" si="145"/>
        <v>0</v>
      </c>
      <c r="V410" s="4">
        <f t="shared" si="146"/>
        <v>0</v>
      </c>
      <c r="W410" s="5">
        <f t="shared" si="147"/>
        <v>0</v>
      </c>
      <c r="X410" s="5">
        <f t="shared" si="148"/>
        <v>-15.272311854454456</v>
      </c>
      <c r="Y410" s="5">
        <f t="shared" si="149"/>
        <v>2.9398589218828022</v>
      </c>
      <c r="Z410" s="5">
        <f>1</f>
        <v>1</v>
      </c>
      <c r="AA410" s="5">
        <f>IF(M410=0,0,const*($T410/omega)*O410*(wy*I410-wz*(H410-V410))/Z410)</f>
        <v>0</v>
      </c>
      <c r="AB410" s="5">
        <f>IF(M410=0,0,const*($T410/omega)*O410*(wz*(G410-U410)-wx*I410)/Z410)</f>
        <v>1.9216170437085556</v>
      </c>
      <c r="AC410" s="5">
        <f>IF(M410=0,0,const*($T410/omega)*O410*(wx*(H410-V410)-wy*(G410-U410))/Z410)</f>
        <v>9.9826337032378998</v>
      </c>
      <c r="AD410" s="5">
        <f t="shared" si="162"/>
        <v>0</v>
      </c>
      <c r="AE410" s="5">
        <f t="shared" si="162"/>
        <v>-13.3506948107459</v>
      </c>
      <c r="AF410" s="5">
        <f t="shared" si="150"/>
        <v>-19.251507374879296</v>
      </c>
      <c r="AG410">
        <f t="shared" si="161"/>
        <v>0</v>
      </c>
    </row>
    <row r="411" spans="1:33" x14ac:dyDescent="0.2">
      <c r="A411">
        <f t="shared" si="151"/>
        <v>3.7899999999999632</v>
      </c>
      <c r="B411" s="5">
        <f t="shared" si="152"/>
        <v>0</v>
      </c>
      <c r="C411" s="5">
        <f t="shared" si="153"/>
        <v>633.53923002914848</v>
      </c>
      <c r="D411" s="5">
        <f t="shared" si="154"/>
        <v>43.476133251229449</v>
      </c>
      <c r="E411" s="2">
        <f t="shared" si="136"/>
        <v>211.17974334304949</v>
      </c>
      <c r="F411" s="2">
        <f t="shared" si="155"/>
        <v>0</v>
      </c>
      <c r="G411" s="3">
        <f t="shared" si="156"/>
        <v>0</v>
      </c>
      <c r="H411" s="3">
        <f t="shared" si="157"/>
        <v>126.99279920436589</v>
      </c>
      <c r="I411" s="3">
        <f t="shared" si="158"/>
        <v>-24.66382032930164</v>
      </c>
      <c r="J411" s="2">
        <f t="shared" si="137"/>
        <v>129.36566423513028</v>
      </c>
      <c r="K411" s="2">
        <f t="shared" si="159"/>
        <v>88.183820201179458</v>
      </c>
      <c r="L411" s="5">
        <f t="shared" si="138"/>
        <v>27.050603666152345</v>
      </c>
      <c r="M411" s="3">
        <f t="shared" si="139"/>
        <v>19.112954114928225</v>
      </c>
      <c r="N411" s="2">
        <v>0</v>
      </c>
      <c r="O411" s="2">
        <f t="shared" si="140"/>
        <v>129.36566423513028</v>
      </c>
      <c r="P411" s="2">
        <f t="shared" si="141"/>
        <v>88.183820201179458</v>
      </c>
      <c r="Q411" s="5">
        <f t="shared" si="142"/>
        <v>1.0902901528428601</v>
      </c>
      <c r="R411" s="5">
        <f t="shared" si="143"/>
        <v>0.16331730597069752</v>
      </c>
      <c r="S411" s="4">
        <f t="shared" si="160"/>
        <v>0.1477436399212485</v>
      </c>
      <c r="T411" s="5">
        <f t="shared" si="144"/>
        <v>0.10676158723444437</v>
      </c>
      <c r="U411" s="4">
        <f t="shared" si="145"/>
        <v>0</v>
      </c>
      <c r="V411" s="4">
        <f t="shared" si="146"/>
        <v>0</v>
      </c>
      <c r="W411" s="5">
        <f t="shared" si="147"/>
        <v>0</v>
      </c>
      <c r="X411" s="5">
        <f t="shared" si="148"/>
        <v>-15.24646512307695</v>
      </c>
      <c r="Y411" s="5">
        <f t="shared" si="149"/>
        <v>2.9610818787243955</v>
      </c>
      <c r="Z411" s="5">
        <f>1</f>
        <v>1</v>
      </c>
      <c r="AA411" s="5">
        <f>IF(M411=0,0,const*($T411/omega)*O411*(wy*I411-wz*(H411-V411))/Z411)</f>
        <v>0</v>
      </c>
      <c r="AB411" s="5">
        <f>IF(M411=0,0,const*($T411/omega)*O411*(wz*(G411-U411)-wx*I411)/Z411)</f>
        <v>1.9356785211757483</v>
      </c>
      <c r="AC411" s="5">
        <f>IF(M411=0,0,const*($T411/omega)*O411*(wx*(H411-V411)-wy*(G411-U411))/Z411)</f>
        <v>9.9667136105364289</v>
      </c>
      <c r="AD411" s="5">
        <f t="shared" si="162"/>
        <v>0</v>
      </c>
      <c r="AE411" s="5">
        <f t="shared" si="162"/>
        <v>-13.310786601901201</v>
      </c>
      <c r="AF411" s="5">
        <f t="shared" si="150"/>
        <v>-19.246204510739176</v>
      </c>
      <c r="AG411">
        <f t="shared" si="161"/>
        <v>0</v>
      </c>
    </row>
    <row r="412" spans="1:33" x14ac:dyDescent="0.2">
      <c r="A412">
        <f t="shared" si="151"/>
        <v>3.799999999999963</v>
      </c>
      <c r="B412" s="5">
        <f t="shared" si="152"/>
        <v>0</v>
      </c>
      <c r="C412" s="5">
        <f t="shared" si="153"/>
        <v>634.80849248186212</v>
      </c>
      <c r="D412" s="5">
        <f t="shared" si="154"/>
        <v>43.228532737710893</v>
      </c>
      <c r="E412" s="2">
        <f t="shared" si="136"/>
        <v>211.60283082728736</v>
      </c>
      <c r="F412" s="2">
        <f t="shared" si="155"/>
        <v>0</v>
      </c>
      <c r="G412" s="3">
        <f t="shared" si="156"/>
        <v>0</v>
      </c>
      <c r="H412" s="3">
        <f t="shared" si="157"/>
        <v>126.85969133834688</v>
      </c>
      <c r="I412" s="3">
        <f t="shared" si="158"/>
        <v>-24.85628237440903</v>
      </c>
      <c r="J412" s="2">
        <f t="shared" si="137"/>
        <v>129.27186878798111</v>
      </c>
      <c r="K412" s="2">
        <f t="shared" si="159"/>
        <v>88.11988329105732</v>
      </c>
      <c r="L412" s="5">
        <f t="shared" si="138"/>
        <v>27.070230700945839</v>
      </c>
      <c r="M412" s="3">
        <f t="shared" si="139"/>
        <v>19.107835862683739</v>
      </c>
      <c r="N412" s="2">
        <v>0</v>
      </c>
      <c r="O412" s="2">
        <f t="shared" si="140"/>
        <v>129.27186878798111</v>
      </c>
      <c r="P412" s="2">
        <f t="shared" si="141"/>
        <v>88.11988329105732</v>
      </c>
      <c r="Q412" s="5">
        <f t="shared" si="142"/>
        <v>1.0894996474718031</v>
      </c>
      <c r="R412" s="5">
        <f t="shared" si="143"/>
        <v>0.16333141660995421</v>
      </c>
      <c r="S412" s="4">
        <f t="shared" si="160"/>
        <v>0.14781124495092213</v>
      </c>
      <c r="T412" s="5">
        <f t="shared" si="144"/>
        <v>0.10678112548250625</v>
      </c>
      <c r="U412" s="4">
        <f t="shared" si="145"/>
        <v>0</v>
      </c>
      <c r="V412" s="4">
        <f t="shared" si="146"/>
        <v>0</v>
      </c>
      <c r="W412" s="5">
        <f t="shared" si="147"/>
        <v>0</v>
      </c>
      <c r="X412" s="5">
        <f t="shared" si="148"/>
        <v>-15.220756729002815</v>
      </c>
      <c r="Y412" s="5">
        <f t="shared" si="149"/>
        <v>2.9822824193954123</v>
      </c>
      <c r="Z412" s="5">
        <f>1</f>
        <v>1</v>
      </c>
      <c r="AA412" s="5">
        <f>IF(M412=0,0,const*($T412/omega)*O412*(wy*I412-wz*(H412-V412))/Z412)</f>
        <v>0</v>
      </c>
      <c r="AB412" s="5">
        <f>IF(M412=0,0,const*($T412/omega)*O412*(wz*(G412-U412)-wx*I412)/Z412)</f>
        <v>1.9497257775594767</v>
      </c>
      <c r="AC412" s="5">
        <f>IF(M412=0,0,const*($T412/omega)*O412*(wx*(H412-V412)-wy*(G412-U412))/Z412)</f>
        <v>9.9508690241733788</v>
      </c>
      <c r="AD412" s="5">
        <f t="shared" si="162"/>
        <v>0</v>
      </c>
      <c r="AE412" s="5">
        <f t="shared" si="162"/>
        <v>-13.271030951443338</v>
      </c>
      <c r="AF412" s="5">
        <f t="shared" si="150"/>
        <v>-19.24084855643121</v>
      </c>
      <c r="AG412">
        <f t="shared" si="161"/>
        <v>0</v>
      </c>
    </row>
    <row r="413" spans="1:33" x14ac:dyDescent="0.2">
      <c r="A413">
        <f t="shared" si="151"/>
        <v>3.8099999999999627</v>
      </c>
      <c r="B413" s="5">
        <f t="shared" si="152"/>
        <v>0</v>
      </c>
      <c r="C413" s="5">
        <f t="shared" si="153"/>
        <v>636.07642584369808</v>
      </c>
      <c r="D413" s="5">
        <f t="shared" si="154"/>
        <v>42.979007871538982</v>
      </c>
      <c r="E413" s="2">
        <f t="shared" si="136"/>
        <v>212.0254752812327</v>
      </c>
      <c r="F413" s="2">
        <f t="shared" si="155"/>
        <v>0</v>
      </c>
      <c r="G413" s="3">
        <f t="shared" si="156"/>
        <v>0</v>
      </c>
      <c r="H413" s="3">
        <f t="shared" si="157"/>
        <v>126.72698102883244</v>
      </c>
      <c r="I413" s="3">
        <f t="shared" si="158"/>
        <v>-25.048690859973341</v>
      </c>
      <c r="J413" s="2">
        <f t="shared" si="137"/>
        <v>129.17880876707514</v>
      </c>
      <c r="K413" s="2">
        <f t="shared" si="159"/>
        <v>88.05644769398441</v>
      </c>
      <c r="L413" s="5">
        <f t="shared" si="138"/>
        <v>27.089732012801893</v>
      </c>
      <c r="M413" s="3">
        <f t="shared" si="139"/>
        <v>19.102713925827786</v>
      </c>
      <c r="N413" s="2">
        <v>0</v>
      </c>
      <c r="O413" s="2">
        <f t="shared" si="140"/>
        <v>129.17880876707514</v>
      </c>
      <c r="P413" s="2">
        <f t="shared" si="141"/>
        <v>88.05644769398441</v>
      </c>
      <c r="Q413" s="5">
        <f t="shared" si="142"/>
        <v>1.0887153402522869</v>
      </c>
      <c r="R413" s="5">
        <f t="shared" si="143"/>
        <v>0.16334536606679706</v>
      </c>
      <c r="S413" s="4">
        <f t="shared" si="160"/>
        <v>0.14787807774471945</v>
      </c>
      <c r="T413" s="5">
        <f t="shared" si="144"/>
        <v>0.10680043528034869</v>
      </c>
      <c r="U413" s="4">
        <f t="shared" si="145"/>
        <v>0</v>
      </c>
      <c r="V413" s="4">
        <f t="shared" si="146"/>
        <v>0</v>
      </c>
      <c r="W413" s="5">
        <f t="shared" si="147"/>
        <v>0</v>
      </c>
      <c r="X413" s="5">
        <f t="shared" si="148"/>
        <v>-15.195186024894303</v>
      </c>
      <c r="Y413" s="5">
        <f t="shared" si="149"/>
        <v>3.0034607800746667</v>
      </c>
      <c r="Z413" s="5">
        <f>1</f>
        <v>1</v>
      </c>
      <c r="AA413" s="5">
        <f>IF(M413=0,0,const*($T413/omega)*O413*(wy*I413-wz*(H413-V413))/Z413)</f>
        <v>0</v>
      </c>
      <c r="AB413" s="5">
        <f>IF(M413=0,0,const*($T413/omega)*O413*(wz*(G413-U413)-wx*I413)/Z413)</f>
        <v>1.9637589139091749</v>
      </c>
      <c r="AC413" s="5">
        <f>IF(M413=0,0,const*($T413/omega)*O413*(wx*(H413-V413)-wy*(G413-U413))/Z413)</f>
        <v>9.9350996033823655</v>
      </c>
      <c r="AD413" s="5">
        <f t="shared" si="162"/>
        <v>0</v>
      </c>
      <c r="AE413" s="5">
        <f t="shared" si="162"/>
        <v>-13.231427110985129</v>
      </c>
      <c r="AF413" s="5">
        <f t="shared" si="150"/>
        <v>-19.235439616542969</v>
      </c>
      <c r="AG413">
        <f t="shared" si="161"/>
        <v>0</v>
      </c>
    </row>
    <row r="414" spans="1:33" x14ac:dyDescent="0.2">
      <c r="A414">
        <f t="shared" si="151"/>
        <v>3.8199999999999625</v>
      </c>
      <c r="B414" s="5">
        <f t="shared" si="152"/>
        <v>0</v>
      </c>
      <c r="C414" s="5">
        <f t="shared" si="153"/>
        <v>637.34303408263088</v>
      </c>
      <c r="D414" s="5">
        <f t="shared" si="154"/>
        <v>42.727559190958424</v>
      </c>
      <c r="E414" s="2">
        <f t="shared" si="136"/>
        <v>212.44767802754362</v>
      </c>
      <c r="F414" s="2">
        <f t="shared" si="155"/>
        <v>0</v>
      </c>
      <c r="G414" s="3">
        <f t="shared" si="156"/>
        <v>0</v>
      </c>
      <c r="H414" s="3">
        <f t="shared" si="157"/>
        <v>126.59466675772259</v>
      </c>
      <c r="I414" s="3">
        <f t="shared" si="158"/>
        <v>-25.241045256138772</v>
      </c>
      <c r="J414" s="2">
        <f t="shared" si="137"/>
        <v>129.08648270489547</v>
      </c>
      <c r="K414" s="2">
        <f t="shared" si="159"/>
        <v>87.993512409608357</v>
      </c>
      <c r="L414" s="5">
        <f t="shared" si="138"/>
        <v>27.109107304697961</v>
      </c>
      <c r="M414" s="3">
        <f t="shared" si="139"/>
        <v>19.097588218247484</v>
      </c>
      <c r="N414" s="2">
        <v>0</v>
      </c>
      <c r="O414" s="2">
        <f t="shared" si="140"/>
        <v>129.08648270489547</v>
      </c>
      <c r="P414" s="2">
        <f t="shared" si="141"/>
        <v>87.993512409608357</v>
      </c>
      <c r="Q414" s="5">
        <f t="shared" si="142"/>
        <v>1.0879372188161205</v>
      </c>
      <c r="R414" s="5">
        <f t="shared" si="143"/>
        <v>0.16335915396602602</v>
      </c>
      <c r="S414" s="4">
        <f t="shared" si="160"/>
        <v>0.14794413650503183</v>
      </c>
      <c r="T414" s="5">
        <f t="shared" si="144"/>
        <v>0.10681951629414181</v>
      </c>
      <c r="U414" s="4">
        <f t="shared" si="145"/>
        <v>0</v>
      </c>
      <c r="V414" s="4">
        <f t="shared" si="146"/>
        <v>0</v>
      </c>
      <c r="W414" s="5">
        <f t="shared" si="147"/>
        <v>0</v>
      </c>
      <c r="X414" s="5">
        <f t="shared" si="148"/>
        <v>-15.169752366568567</v>
      </c>
      <c r="Y414" s="5">
        <f t="shared" si="149"/>
        <v>3.0246171960922483</v>
      </c>
      <c r="Z414" s="5">
        <f>1</f>
        <v>1</v>
      </c>
      <c r="AA414" s="5">
        <f>IF(M414=0,0,const*($T414/omega)*O414*(wy*I414-wz*(H414-V414))/Z414)</f>
        <v>0</v>
      </c>
      <c r="AB414" s="5">
        <f>IF(M414=0,0,const*($T414/omega)*O414*(wz*(G414-U414)-wx*I414)/Z414)</f>
        <v>1.9777780309067376</v>
      </c>
      <c r="AC414" s="5">
        <f>IF(M414=0,0,const*($T414/omega)*O414*(wx*(H414-V414)-wy*(G414-U414))/Z414)</f>
        <v>9.9194050088908359</v>
      </c>
      <c r="AD414" s="5">
        <f t="shared" si="162"/>
        <v>0</v>
      </c>
      <c r="AE414" s="5">
        <f t="shared" si="162"/>
        <v>-13.191974335661829</v>
      </c>
      <c r="AF414" s="5">
        <f t="shared" si="150"/>
        <v>-19.229977795016914</v>
      </c>
      <c r="AG414">
        <f t="shared" si="161"/>
        <v>0</v>
      </c>
    </row>
    <row r="415" spans="1:33" x14ac:dyDescent="0.2">
      <c r="A415">
        <f t="shared" si="151"/>
        <v>3.8299999999999623</v>
      </c>
      <c r="B415" s="5">
        <f t="shared" si="152"/>
        <v>0</v>
      </c>
      <c r="C415" s="5">
        <f t="shared" si="153"/>
        <v>638.6083211514914</v>
      </c>
      <c r="D415" s="5">
        <f t="shared" si="154"/>
        <v>42.474187239507287</v>
      </c>
      <c r="E415" s="2">
        <f t="shared" si="136"/>
        <v>212.86944038383047</v>
      </c>
      <c r="F415" s="2">
        <f t="shared" si="155"/>
        <v>0</v>
      </c>
      <c r="G415" s="3">
        <f t="shared" si="156"/>
        <v>0</v>
      </c>
      <c r="H415" s="3">
        <f t="shared" si="157"/>
        <v>126.46274701436597</v>
      </c>
      <c r="I415" s="3">
        <f t="shared" si="158"/>
        <v>-25.433345034088941</v>
      </c>
      <c r="J415" s="2">
        <f t="shared" si="137"/>
        <v>128.99488913147894</v>
      </c>
      <c r="K415" s="2">
        <f t="shared" si="159"/>
        <v>87.93107643590929</v>
      </c>
      <c r="L415" s="5">
        <f t="shared" si="138"/>
        <v>27.128356284459002</v>
      </c>
      <c r="M415" s="3">
        <f t="shared" si="139"/>
        <v>19.092458654299758</v>
      </c>
      <c r="N415" s="2">
        <v>0</v>
      </c>
      <c r="O415" s="2">
        <f t="shared" si="140"/>
        <v>128.99488913147894</v>
      </c>
      <c r="P415" s="2">
        <f t="shared" si="141"/>
        <v>87.93107643590929</v>
      </c>
      <c r="Q415" s="5">
        <f t="shared" si="142"/>
        <v>1.0871652707744963</v>
      </c>
      <c r="R415" s="5">
        <f t="shared" si="143"/>
        <v>0.16337277993885521</v>
      </c>
      <c r="S415" s="4">
        <f t="shared" si="160"/>
        <v>0.14800941946498078</v>
      </c>
      <c r="T415" s="5">
        <f t="shared" si="144"/>
        <v>0.10683836819711738</v>
      </c>
      <c r="U415" s="4">
        <f t="shared" si="145"/>
        <v>0</v>
      </c>
      <c r="V415" s="4">
        <f t="shared" si="146"/>
        <v>0</v>
      </c>
      <c r="W415" s="5">
        <f t="shared" si="147"/>
        <v>0</v>
      </c>
      <c r="X415" s="5">
        <f t="shared" si="148"/>
        <v>-15.144455112975052</v>
      </c>
      <c r="Y415" s="5">
        <f t="shared" si="149"/>
        <v>3.0457519019242221</v>
      </c>
      <c r="Z415" s="5">
        <f>1</f>
        <v>1</v>
      </c>
      <c r="AA415" s="5">
        <f>IF(M415=0,0,const*($T415/omega)*O415*(wy*I415-wz*(H415-V415))/Z415)</f>
        <v>0</v>
      </c>
      <c r="AB415" s="5">
        <f>IF(M415=0,0,const*($T415/omega)*O415*(wz*(G415-U415)-wx*I415)/Z415)</f>
        <v>1.9917832288624686</v>
      </c>
      <c r="AC415" s="5">
        <f>IF(M415=0,0,const*($T415/omega)*O415*(wx*(H415-V415)-wy*(G415-U415))/Z415)</f>
        <v>9.9037849029092246</v>
      </c>
      <c r="AD415" s="5">
        <f t="shared" si="162"/>
        <v>0</v>
      </c>
      <c r="AE415" s="5">
        <f t="shared" si="162"/>
        <v>-13.152671884112584</v>
      </c>
      <c r="AF415" s="5">
        <f t="shared" si="150"/>
        <v>-19.224463195166553</v>
      </c>
      <c r="AG415">
        <f t="shared" si="161"/>
        <v>0</v>
      </c>
    </row>
    <row r="416" spans="1:33" x14ac:dyDescent="0.2">
      <c r="A416">
        <f t="shared" si="151"/>
        <v>3.8399999999999621</v>
      </c>
      <c r="B416" s="5">
        <f t="shared" si="152"/>
        <v>0</v>
      </c>
      <c r="C416" s="5">
        <f t="shared" si="153"/>
        <v>639.87229098804085</v>
      </c>
      <c r="D416" s="5">
        <f t="shared" si="154"/>
        <v>42.218892566006645</v>
      </c>
      <c r="E416" s="2">
        <f t="shared" ref="E416:E479" si="163">SQRT(B416^2+C416^2)/3</f>
        <v>213.29076366268029</v>
      </c>
      <c r="F416" s="2">
        <f t="shared" si="155"/>
        <v>0</v>
      </c>
      <c r="G416" s="3">
        <f t="shared" si="156"/>
        <v>0</v>
      </c>
      <c r="H416" s="3">
        <f t="shared" si="157"/>
        <v>126.33122029552484</v>
      </c>
      <c r="I416" s="3">
        <f t="shared" si="158"/>
        <v>-25.625589666040607</v>
      </c>
      <c r="J416" s="2">
        <f t="shared" ref="J416:J479" si="164">SQRT(G416^2+H416^2+I416^2)</f>
        <v>128.90402657438096</v>
      </c>
      <c r="K416" s="2">
        <f t="shared" si="159"/>
        <v>87.869138769175834</v>
      </c>
      <c r="L416" s="5">
        <f t="shared" ref="L416:L479" si="165">1/(0.00002*J416/(circ/(2*PI()*12)))</f>
        <v>27.147478664786263</v>
      </c>
      <c r="M416" s="3">
        <f t="shared" ref="M416:M479" si="166">romega*EXP(-A416/L416)</f>
        <v>19.087325148812411</v>
      </c>
      <c r="N416" s="2">
        <v>0</v>
      </c>
      <c r="O416" s="2">
        <f t="shared" ref="O416:O479" si="167">IF(D416&gt;=hwind,SQRT((G416-vxw)^2+(H416-vyw)^2+I416^2),J416)</f>
        <v>128.90402657438096</v>
      </c>
      <c r="P416" s="2">
        <f t="shared" ref="P416:P479" si="168">J416/1.467</f>
        <v>87.869138769175834</v>
      </c>
      <c r="Q416" s="5">
        <f t="shared" ref="Q416:Q479" si="169">(P416/100)*Re_100*0.00001</f>
        <v>1.0863994837176927</v>
      </c>
      <c r="R416" s="5">
        <f t="shared" ref="R416:R479" si="170">IF(Q416&lt;=ReLow,CdL,IF(Q416&lt;ReHigh,CdL+(CdH-CdL)*(Q416-ReLow)/(ReHigh-ReLow),CdH))+CdS*S416</f>
        <v>0.16338624362294976</v>
      </c>
      <c r="S416" s="4">
        <f t="shared" si="160"/>
        <v>0.14807392488859555</v>
      </c>
      <c r="T416" s="5">
        <f t="shared" ref="T416:T479" si="171">ClAmp*S416^0.4</f>
        <v>0.10685699066959922</v>
      </c>
      <c r="U416" s="4">
        <f t="shared" ref="U416:U479" si="172">IF(D416&gt;=hwind,vxw,0)</f>
        <v>0</v>
      </c>
      <c r="V416" s="4">
        <f t="shared" ref="V416:V479" si="173">IF(D416&gt;=hwind,vyw,0)</f>
        <v>0</v>
      </c>
      <c r="W416" s="5">
        <f t="shared" ref="W416:W479" si="174">-const*$R416*$O416*(G416-U416)</f>
        <v>0</v>
      </c>
      <c r="X416" s="5">
        <f t="shared" ref="X416:X479" si="175">-const*$R416*$O416*(H416-V416)</f>
        <v>-15.119293626173073</v>
      </c>
      <c r="Y416" s="5">
        <f t="shared" ref="Y416:Y479" si="176">-const*$R416*$O416*I416</f>
        <v>3.0668651311873618</v>
      </c>
      <c r="Z416" s="5">
        <f>1</f>
        <v>1</v>
      </c>
      <c r="AA416" s="5">
        <f>IF(M416=0,0,const*($T416/omega)*O416*(wy*I416-wz*(H416-V416))/Z416)</f>
        <v>0</v>
      </c>
      <c r="AB416" s="5">
        <f>IF(M416=0,0,const*($T416/omega)*O416*(wz*(G416-U416)-wx*I416)/Z416)</f>
        <v>2.0057746077110687</v>
      </c>
      <c r="AC416" s="5">
        <f>IF(M416=0,0,const*($T416/omega)*O416*(wx*(H416-V416)-wy*(G416-U416))/Z416)</f>
        <v>9.8882389491202822</v>
      </c>
      <c r="AD416" s="5">
        <f t="shared" si="162"/>
        <v>0</v>
      </c>
      <c r="AE416" s="5">
        <f t="shared" si="162"/>
        <v>-13.113519018462004</v>
      </c>
      <c r="AF416" s="5">
        <f t="shared" ref="AF416:AF479" si="177">Y416+AC416-32.174</f>
        <v>-19.218895919692358</v>
      </c>
      <c r="AG416">
        <f t="shared" si="161"/>
        <v>0</v>
      </c>
    </row>
    <row r="417" spans="1:33" x14ac:dyDescent="0.2">
      <c r="A417">
        <f t="shared" ref="A417:A480" si="178">A416+dt</f>
        <v>3.8499999999999619</v>
      </c>
      <c r="B417" s="5">
        <f t="shared" ref="B417:B480" si="179">B416+G416*dt+0.5*AD416*dt*dt</f>
        <v>0</v>
      </c>
      <c r="C417" s="5">
        <f t="shared" ref="C417:C480" si="180">C416+H416*dt+0.5*AE416*dt*dt</f>
        <v>641.13494751504516</v>
      </c>
      <c r="D417" s="5">
        <f t="shared" ref="D417:D480" si="181">D416+I416*dt+0.5*AF416*dt*dt</f>
        <v>41.961675724550254</v>
      </c>
      <c r="E417" s="2">
        <f t="shared" si="163"/>
        <v>213.71164917168173</v>
      </c>
      <c r="F417" s="2">
        <f t="shared" ref="F417:F480" si="182">ATAN2(C417,B417)*180/PI()</f>
        <v>0</v>
      </c>
      <c r="G417" s="3">
        <f t="shared" ref="G417:G480" si="183">G416+AD416*dt</f>
        <v>0</v>
      </c>
      <c r="H417" s="3">
        <f t="shared" ref="H417:H480" si="184">H416+AE416*dt</f>
        <v>126.20008510534022</v>
      </c>
      <c r="I417" s="3">
        <f t="shared" ref="I417:I480" si="185">I416+AF416*dt</f>
        <v>-25.81777862523753</v>
      </c>
      <c r="J417" s="2">
        <f t="shared" si="164"/>
        <v>128.81389355864098</v>
      </c>
      <c r="K417" s="2">
        <f t="shared" ref="K417:K480" si="186">J417/1.467</f>
        <v>87.807698403981576</v>
      </c>
      <c r="L417" s="5">
        <f t="shared" si="165"/>
        <v>27.16647416328566</v>
      </c>
      <c r="M417" s="3">
        <f t="shared" si="166"/>
        <v>19.082187617085207</v>
      </c>
      <c r="N417" s="2">
        <v>0</v>
      </c>
      <c r="O417" s="2">
        <f t="shared" si="167"/>
        <v>128.81389355864098</v>
      </c>
      <c r="P417" s="2">
        <f t="shared" si="168"/>
        <v>87.807698403981576</v>
      </c>
      <c r="Q417" s="5">
        <f t="shared" si="169"/>
        <v>1.0856398452147842</v>
      </c>
      <c r="R417" s="5">
        <f t="shared" si="170"/>
        <v>0.16339954466246223</v>
      </c>
      <c r="S417" s="4">
        <f t="shared" ref="S417:S480" si="187">(M417/O417)</f>
        <v>0.14813765107098692</v>
      </c>
      <c r="T417" s="5">
        <f t="shared" si="171"/>
        <v>0.10687538339903289</v>
      </c>
      <c r="U417" s="4">
        <f t="shared" si="172"/>
        <v>0</v>
      </c>
      <c r="V417" s="4">
        <f t="shared" si="173"/>
        <v>0</v>
      </c>
      <c r="W417" s="5">
        <f t="shared" si="174"/>
        <v>0</v>
      </c>
      <c r="X417" s="5">
        <f t="shared" si="175"/>
        <v>-15.094267271309654</v>
      </c>
      <c r="Y417" s="5">
        <f t="shared" si="176"/>
        <v>3.087957116633913</v>
      </c>
      <c r="Z417" s="5">
        <f>1</f>
        <v>1</v>
      </c>
      <c r="AA417" s="5">
        <f>IF(M417=0,0,const*($T417/omega)*O417*(wy*I417-wz*(H417-V417))/Z417)</f>
        <v>0</v>
      </c>
      <c r="AB417" s="5">
        <f>IF(M417=0,0,const*($T417/omega)*O417*(wz*(G417-U417)-wx*I417)/Z417)</f>
        <v>2.019752267007624</v>
      </c>
      <c r="AC417" s="5">
        <f>IF(M417=0,0,const*($T417/omega)*O417*(wx*(H417-V417)-wy*(G417-U417))/Z417)</f>
        <v>9.8727668126684502</v>
      </c>
      <c r="AD417" s="5">
        <f t="shared" si="162"/>
        <v>0</v>
      </c>
      <c r="AE417" s="5">
        <f t="shared" si="162"/>
        <v>-13.074515004302031</v>
      </c>
      <c r="AF417" s="5">
        <f t="shared" si="177"/>
        <v>-19.213276070697638</v>
      </c>
      <c r="AG417">
        <f t="shared" si="161"/>
        <v>0</v>
      </c>
    </row>
    <row r="418" spans="1:33" x14ac:dyDescent="0.2">
      <c r="A418">
        <f t="shared" si="178"/>
        <v>3.8599999999999617</v>
      </c>
      <c r="B418" s="5">
        <f t="shared" si="179"/>
        <v>0</v>
      </c>
      <c r="C418" s="5">
        <f t="shared" si="180"/>
        <v>642.39629464034829</v>
      </c>
      <c r="D418" s="5">
        <f t="shared" si="181"/>
        <v>41.702537274494347</v>
      </c>
      <c r="E418" s="2">
        <f t="shared" si="163"/>
        <v>214.13209821344944</v>
      </c>
      <c r="F418" s="2">
        <f t="shared" si="182"/>
        <v>0</v>
      </c>
      <c r="G418" s="3">
        <f t="shared" si="183"/>
        <v>0</v>
      </c>
      <c r="H418" s="3">
        <f t="shared" si="184"/>
        <v>126.0693399552972</v>
      </c>
      <c r="I418" s="3">
        <f t="shared" si="185"/>
        <v>-26.009911385944505</v>
      </c>
      <c r="J418" s="2">
        <f t="shared" si="164"/>
        <v>128.72448860674871</v>
      </c>
      <c r="K418" s="2">
        <f t="shared" si="186"/>
        <v>87.746754333162031</v>
      </c>
      <c r="L418" s="5">
        <f t="shared" si="165"/>
        <v>27.185342502495541</v>
      </c>
      <c r="M418" s="3">
        <f t="shared" si="166"/>
        <v>19.07704597489094</v>
      </c>
      <c r="N418" s="2">
        <v>0</v>
      </c>
      <c r="O418" s="2">
        <f t="shared" si="167"/>
        <v>128.72448860674871</v>
      </c>
      <c r="P418" s="2">
        <f t="shared" si="168"/>
        <v>87.746754333162031</v>
      </c>
      <c r="Q418" s="5">
        <f t="shared" si="169"/>
        <v>1.0848863428133562</v>
      </c>
      <c r="R418" s="5">
        <f t="shared" si="170"/>
        <v>0.16341268270806825</v>
      </c>
      <c r="S418" s="4">
        <f t="shared" si="187"/>
        <v>0.14820059633851812</v>
      </c>
      <c r="T418" s="5">
        <f t="shared" si="171"/>
        <v>0.10689354608001454</v>
      </c>
      <c r="U418" s="4">
        <f t="shared" si="172"/>
        <v>0</v>
      </c>
      <c r="V418" s="4">
        <f t="shared" si="173"/>
        <v>0</v>
      </c>
      <c r="W418" s="5">
        <f t="shared" si="174"/>
        <v>0</v>
      </c>
      <c r="X418" s="5">
        <f t="shared" si="175"/>
        <v>-15.069375416597561</v>
      </c>
      <c r="Y418" s="5">
        <f t="shared" si="176"/>
        <v>3.1090280901463858</v>
      </c>
      <c r="Z418" s="5">
        <f>1</f>
        <v>1</v>
      </c>
      <c r="AA418" s="5">
        <f>IF(M418=0,0,const*($T418/omega)*O418*(wy*I418-wz*(H418-V418))/Z418)</f>
        <v>0</v>
      </c>
      <c r="AB418" s="5">
        <f>IF(M418=0,0,const*($T418/omega)*O418*(wz*(G418-U418)-wx*I418)/Z418)</f>
        <v>2.0337163059236274</v>
      </c>
      <c r="AC418" s="5">
        <f>IF(M418=0,0,const*($T418/omega)*O418*(wx*(H418-V418)-wy*(G418-U418))/Z418)</f>
        <v>9.8573681601494094</v>
      </c>
      <c r="AD418" s="5">
        <f t="shared" si="162"/>
        <v>0</v>
      </c>
      <c r="AE418" s="5">
        <f t="shared" si="162"/>
        <v>-13.035659110673933</v>
      </c>
      <c r="AF418" s="5">
        <f t="shared" si="177"/>
        <v>-19.207603749704205</v>
      </c>
      <c r="AG418">
        <f t="shared" ref="AG418:AG481" si="188">IF($D418*$D419&lt;0,1,0)</f>
        <v>0</v>
      </c>
    </row>
    <row r="419" spans="1:33" x14ac:dyDescent="0.2">
      <c r="A419">
        <f t="shared" si="178"/>
        <v>3.8699999999999615</v>
      </c>
      <c r="B419" s="5">
        <f t="shared" si="179"/>
        <v>0</v>
      </c>
      <c r="C419" s="5">
        <f t="shared" si="180"/>
        <v>643.65633625694579</v>
      </c>
      <c r="D419" s="5">
        <f t="shared" si="181"/>
        <v>41.441477780447414</v>
      </c>
      <c r="E419" s="2">
        <f t="shared" si="163"/>
        <v>214.55211208564859</v>
      </c>
      <c r="F419" s="2">
        <f t="shared" si="182"/>
        <v>0</v>
      </c>
      <c r="G419" s="3">
        <f t="shared" si="183"/>
        <v>0</v>
      </c>
      <c r="H419" s="3">
        <f t="shared" si="184"/>
        <v>125.93898336419046</v>
      </c>
      <c r="I419" s="3">
        <f t="shared" si="185"/>
        <v>-26.201987423441548</v>
      </c>
      <c r="J419" s="2">
        <f t="shared" si="164"/>
        <v>128.63581023861136</v>
      </c>
      <c r="K419" s="2">
        <f t="shared" si="186"/>
        <v>87.68630554779233</v>
      </c>
      <c r="L419" s="5">
        <f t="shared" si="165"/>
        <v>27.20408340991397</v>
      </c>
      <c r="M419" s="3">
        <f t="shared" si="166"/>
        <v>19.071900138476501</v>
      </c>
      <c r="N419" s="2">
        <v>0</v>
      </c>
      <c r="O419" s="2">
        <f t="shared" si="167"/>
        <v>128.63581023861136</v>
      </c>
      <c r="P419" s="2">
        <f t="shared" si="168"/>
        <v>87.68630554779233</v>
      </c>
      <c r="Q419" s="5">
        <f t="shared" si="169"/>
        <v>1.084138964039228</v>
      </c>
      <c r="R419" s="5">
        <f t="shared" si="170"/>
        <v>0.16342565741700138</v>
      </c>
      <c r="S419" s="4">
        <f t="shared" si="187"/>
        <v>0.14826275904897185</v>
      </c>
      <c r="T419" s="5">
        <f t="shared" si="171"/>
        <v>0.10691147841431932</v>
      </c>
      <c r="U419" s="4">
        <f t="shared" si="172"/>
        <v>0</v>
      </c>
      <c r="V419" s="4">
        <f t="shared" si="173"/>
        <v>0</v>
      </c>
      <c r="W419" s="5">
        <f t="shared" si="174"/>
        <v>0</v>
      </c>
      <c r="X419" s="5">
        <f t="shared" si="175"/>
        <v>-15.044617433293574</v>
      </c>
      <c r="Y419" s="5">
        <f t="shared" si="176"/>
        <v>3.1300782827323852</v>
      </c>
      <c r="Z419" s="5">
        <f>1</f>
        <v>1</v>
      </c>
      <c r="AA419" s="5">
        <f>IF(M419=0,0,const*($T419/omega)*O419*(wy*I419-wz*(H419-V419))/Z419)</f>
        <v>0</v>
      </c>
      <c r="AB419" s="5">
        <f>IF(M419=0,0,const*($T419/omega)*O419*(wz*(G419-U419)-wx*I419)/Z419)</f>
        <v>2.0476668232430182</v>
      </c>
      <c r="AC419" s="5">
        <f>IF(M419=0,0,const*($T419/omega)*O419*(wx*(H419-V419)-wy*(G419-U419))/Z419)</f>
        <v>9.8420426595997252</v>
      </c>
      <c r="AD419" s="5">
        <f t="shared" si="162"/>
        <v>0</v>
      </c>
      <c r="AE419" s="5">
        <f t="shared" si="162"/>
        <v>-12.996950610050556</v>
      </c>
      <c r="AF419" s="5">
        <f t="shared" si="177"/>
        <v>-19.201879057667888</v>
      </c>
      <c r="AG419">
        <f t="shared" si="188"/>
        <v>0</v>
      </c>
    </row>
    <row r="420" spans="1:33" x14ac:dyDescent="0.2">
      <c r="A420">
        <f t="shared" si="178"/>
        <v>3.8799999999999613</v>
      </c>
      <c r="B420" s="5">
        <f t="shared" si="179"/>
        <v>0</v>
      </c>
      <c r="C420" s="5">
        <f t="shared" si="180"/>
        <v>644.91507624305711</v>
      </c>
      <c r="D420" s="5">
        <f t="shared" si="181"/>
        <v>41.178497812260112</v>
      </c>
      <c r="E420" s="2">
        <f t="shared" si="163"/>
        <v>214.97169208101903</v>
      </c>
      <c r="F420" s="2">
        <f t="shared" si="182"/>
        <v>0</v>
      </c>
      <c r="G420" s="3">
        <f t="shared" si="183"/>
        <v>0</v>
      </c>
      <c r="H420" s="3">
        <f t="shared" si="184"/>
        <v>125.80901385808995</v>
      </c>
      <c r="I420" s="3">
        <f t="shared" si="185"/>
        <v>-26.394006214018226</v>
      </c>
      <c r="J420" s="2">
        <f t="shared" si="164"/>
        <v>128.54785697152133</v>
      </c>
      <c r="K420" s="2">
        <f t="shared" si="186"/>
        <v>87.626351037165179</v>
      </c>
      <c r="L420" s="5">
        <f t="shared" si="165"/>
        <v>27.22269661802542</v>
      </c>
      <c r="M420" s="3">
        <f t="shared" si="166"/>
        <v>19.066750024563941</v>
      </c>
      <c r="N420" s="2">
        <v>0</v>
      </c>
      <c r="O420" s="2">
        <f t="shared" si="167"/>
        <v>128.54785697152133</v>
      </c>
      <c r="P420" s="2">
        <f t="shared" si="168"/>
        <v>87.626351037165179</v>
      </c>
      <c r="Q420" s="5">
        <f t="shared" si="169"/>
        <v>1.0833976963961822</v>
      </c>
      <c r="R420" s="5">
        <f t="shared" si="170"/>
        <v>0.16343846845308732</v>
      </c>
      <c r="S420" s="4">
        <f t="shared" si="187"/>
        <v>0.14832413759171431</v>
      </c>
      <c r="T420" s="5">
        <f t="shared" si="171"/>
        <v>0.10692918011092889</v>
      </c>
      <c r="U420" s="4">
        <f t="shared" si="172"/>
        <v>0</v>
      </c>
      <c r="V420" s="4">
        <f t="shared" si="173"/>
        <v>0</v>
      </c>
      <c r="W420" s="5">
        <f t="shared" si="174"/>
        <v>0</v>
      </c>
      <c r="X420" s="5">
        <f t="shared" si="175"/>
        <v>-15.019992695676949</v>
      </c>
      <c r="Y420" s="5">
        <f t="shared" si="176"/>
        <v>3.1511079245194593</v>
      </c>
      <c r="Z420" s="5">
        <f>1</f>
        <v>1</v>
      </c>
      <c r="AA420" s="5">
        <f>IF(M420=0,0,const*($T420/omega)*O420*(wy*I420-wz*(H420-V420))/Z420)</f>
        <v>0</v>
      </c>
      <c r="AB420" s="5">
        <f>IF(M420=0,0,const*($T420/omega)*O420*(wz*(G420-U420)-wx*I420)/Z420)</f>
        <v>2.0616039173582439</v>
      </c>
      <c r="AC420" s="5">
        <f>IF(M420=0,0,const*($T420/omega)*O420*(wx*(H420-V420)-wy*(G420-U420))/Z420)</f>
        <v>9.8267899804866179</v>
      </c>
      <c r="AD420" s="5">
        <f t="shared" si="162"/>
        <v>0</v>
      </c>
      <c r="AE420" s="5">
        <f t="shared" si="162"/>
        <v>-12.958388778318705</v>
      </c>
      <c r="AF420" s="5">
        <f t="shared" si="177"/>
        <v>-19.196102094993922</v>
      </c>
      <c r="AG420">
        <f t="shared" si="188"/>
        <v>0</v>
      </c>
    </row>
    <row r="421" spans="1:33" x14ac:dyDescent="0.2">
      <c r="A421">
        <f t="shared" si="178"/>
        <v>3.889999999999961</v>
      </c>
      <c r="B421" s="5">
        <f t="shared" si="179"/>
        <v>0</v>
      </c>
      <c r="C421" s="5">
        <f t="shared" si="180"/>
        <v>646.17251846219904</v>
      </c>
      <c r="D421" s="5">
        <f t="shared" si="181"/>
        <v>40.913597945015184</v>
      </c>
      <c r="E421" s="2">
        <f t="shared" si="163"/>
        <v>215.39083948739969</v>
      </c>
      <c r="F421" s="2">
        <f t="shared" si="182"/>
        <v>0</v>
      </c>
      <c r="G421" s="3">
        <f t="shared" si="183"/>
        <v>0</v>
      </c>
      <c r="H421" s="3">
        <f t="shared" si="184"/>
        <v>125.67942997030677</v>
      </c>
      <c r="I421" s="3">
        <f t="shared" si="185"/>
        <v>-26.585967234968166</v>
      </c>
      <c r="J421" s="2">
        <f t="shared" si="164"/>
        <v>128.46062732012498</v>
      </c>
      <c r="K421" s="2">
        <f t="shared" si="186"/>
        <v>87.566889788769586</v>
      </c>
      <c r="L421" s="5">
        <f t="shared" si="165"/>
        <v>27.241181864326929</v>
      </c>
      <c r="M421" s="3">
        <f t="shared" si="166"/>
        <v>19.061595550351516</v>
      </c>
      <c r="N421" s="2">
        <v>0</v>
      </c>
      <c r="O421" s="2">
        <f t="shared" si="167"/>
        <v>128.46062732012498</v>
      </c>
      <c r="P421" s="2">
        <f t="shared" si="168"/>
        <v>87.566889788769586</v>
      </c>
      <c r="Q421" s="5">
        <f t="shared" si="169"/>
        <v>1.0826625273657007</v>
      </c>
      <c r="R421" s="5">
        <f t="shared" si="170"/>
        <v>0.1634511154867774</v>
      </c>
      <c r="S421" s="4">
        <f t="shared" si="187"/>
        <v>0.14838473038785538</v>
      </c>
      <c r="T421" s="5">
        <f t="shared" si="171"/>
        <v>0.10694665088605829</v>
      </c>
      <c r="U421" s="4">
        <f t="shared" si="172"/>
        <v>0</v>
      </c>
      <c r="V421" s="4">
        <f t="shared" si="173"/>
        <v>0</v>
      </c>
      <c r="W421" s="5">
        <f t="shared" si="174"/>
        <v>0</v>
      </c>
      <c r="X421" s="5">
        <f t="shared" si="175"/>
        <v>-14.99550058102812</v>
      </c>
      <c r="Y421" s="5">
        <f t="shared" si="176"/>
        <v>3.1721172447499968</v>
      </c>
      <c r="Z421" s="5">
        <f>1</f>
        <v>1</v>
      </c>
      <c r="AA421" s="5">
        <f>IF(M421=0,0,const*($T421/omega)*O421*(wy*I421-wz*(H421-V421))/Z421)</f>
        <v>0</v>
      </c>
      <c r="AB421" s="5">
        <f>IF(M421=0,0,const*($T421/omega)*O421*(wz*(G421-U421)-wx*I421)/Z421)</f>
        <v>2.0755276862663372</v>
      </c>
      <c r="AC421" s="5">
        <f>IF(M421=0,0,const*($T421/omega)*O421*(wx*(H421-V421)-wy*(G421-U421))/Z421)</f>
        <v>9.8116097936978193</v>
      </c>
      <c r="AD421" s="5">
        <f t="shared" si="162"/>
        <v>0</v>
      </c>
      <c r="AE421" s="5">
        <f t="shared" si="162"/>
        <v>-12.919972894761782</v>
      </c>
      <c r="AF421" s="5">
        <f t="shared" si="177"/>
        <v>-19.190272961552182</v>
      </c>
      <c r="AG421">
        <f t="shared" si="188"/>
        <v>0</v>
      </c>
    </row>
    <row r="422" spans="1:33" x14ac:dyDescent="0.2">
      <c r="A422">
        <f t="shared" si="178"/>
        <v>3.8999999999999608</v>
      </c>
      <c r="B422" s="5">
        <f t="shared" si="179"/>
        <v>0</v>
      </c>
      <c r="C422" s="5">
        <f t="shared" si="180"/>
        <v>647.42866676325741</v>
      </c>
      <c r="D422" s="5">
        <f t="shared" si="181"/>
        <v>40.646778759017423</v>
      </c>
      <c r="E422" s="2">
        <f t="shared" si="163"/>
        <v>215.80955558775247</v>
      </c>
      <c r="F422" s="2">
        <f t="shared" si="182"/>
        <v>0</v>
      </c>
      <c r="G422" s="3">
        <f t="shared" si="183"/>
        <v>0</v>
      </c>
      <c r="H422" s="3">
        <f t="shared" si="184"/>
        <v>125.55023024135916</v>
      </c>
      <c r="I422" s="3">
        <f t="shared" si="185"/>
        <v>-26.777869964583687</v>
      </c>
      <c r="J422" s="2">
        <f t="shared" si="164"/>
        <v>128.37411979639216</v>
      </c>
      <c r="K422" s="2">
        <f t="shared" si="186"/>
        <v>87.507920788270042</v>
      </c>
      <c r="L422" s="5">
        <f t="shared" si="165"/>
        <v>27.259538891353685</v>
      </c>
      <c r="M422" s="3">
        <f t="shared" si="166"/>
        <v>19.056436633514753</v>
      </c>
      <c r="N422" s="2">
        <v>0</v>
      </c>
      <c r="O422" s="2">
        <f t="shared" si="167"/>
        <v>128.37411979639216</v>
      </c>
      <c r="P422" s="2">
        <f t="shared" si="168"/>
        <v>87.507920788270042</v>
      </c>
      <c r="Q422" s="5">
        <f t="shared" si="169"/>
        <v>1.081933444406707</v>
      </c>
      <c r="R422" s="5">
        <f t="shared" si="170"/>
        <v>0.16346359819518128</v>
      </c>
      <c r="S422" s="4">
        <f t="shared" si="187"/>
        <v>0.14844453589040552</v>
      </c>
      <c r="T422" s="5">
        <f t="shared" si="171"/>
        <v>0.10696389046318218</v>
      </c>
      <c r="U422" s="4">
        <f t="shared" si="172"/>
        <v>0</v>
      </c>
      <c r="V422" s="4">
        <f t="shared" si="173"/>
        <v>0</v>
      </c>
      <c r="W422" s="5">
        <f t="shared" si="174"/>
        <v>0</v>
      </c>
      <c r="X422" s="5">
        <f t="shared" si="175"/>
        <v>-14.971140469607613</v>
      </c>
      <c r="Y422" s="5">
        <f t="shared" si="176"/>
        <v>3.193106471776145</v>
      </c>
      <c r="Z422" s="5">
        <f>1</f>
        <v>1</v>
      </c>
      <c r="AA422" s="5">
        <f>IF(M422=0,0,const*($T422/omega)*O422*(wy*I422-wz*(H422-V422))/Z422)</f>
        <v>0</v>
      </c>
      <c r="AB422" s="5">
        <f>IF(M422=0,0,const*($T422/omega)*O422*(wz*(G422-U422)-wx*I422)/Z422)</f>
        <v>2.0894382275650294</v>
      </c>
      <c r="AC422" s="5">
        <f>IF(M422=0,0,const*($T422/omega)*O422*(wx*(H422-V422)-wy*(G422-U422))/Z422)</f>
        <v>9.796501771531597</v>
      </c>
      <c r="AD422" s="5">
        <f t="shared" si="162"/>
        <v>0</v>
      </c>
      <c r="AE422" s="5">
        <f t="shared" si="162"/>
        <v>-12.881702242042584</v>
      </c>
      <c r="AF422" s="5">
        <f t="shared" si="177"/>
        <v>-19.184391756692257</v>
      </c>
      <c r="AG422">
        <f t="shared" si="188"/>
        <v>0</v>
      </c>
    </row>
    <row r="423" spans="1:33" x14ac:dyDescent="0.2">
      <c r="A423">
        <f t="shared" si="178"/>
        <v>3.9099999999999606</v>
      </c>
      <c r="B423" s="5">
        <f t="shared" si="179"/>
        <v>0</v>
      </c>
      <c r="C423" s="5">
        <f t="shared" si="180"/>
        <v>648.6835249805589</v>
      </c>
      <c r="D423" s="5">
        <f t="shared" si="181"/>
        <v>40.37804083978375</v>
      </c>
      <c r="E423" s="2">
        <f t="shared" si="163"/>
        <v>216.2278416601863</v>
      </c>
      <c r="F423" s="2">
        <f t="shared" si="182"/>
        <v>0</v>
      </c>
      <c r="G423" s="3">
        <f t="shared" si="183"/>
        <v>0</v>
      </c>
      <c r="H423" s="3">
        <f t="shared" si="184"/>
        <v>125.42141321893874</v>
      </c>
      <c r="I423" s="3">
        <f t="shared" si="185"/>
        <v>-26.969713882150611</v>
      </c>
      <c r="J423" s="2">
        <f t="shared" si="164"/>
        <v>128.28833290958633</v>
      </c>
      <c r="K423" s="2">
        <f t="shared" si="186"/>
        <v>87.449443019486253</v>
      </c>
      <c r="L423" s="5">
        <f t="shared" si="165"/>
        <v>27.277767446704075</v>
      </c>
      <c r="M423" s="3">
        <f t="shared" si="166"/>
        <v>19.051273192207475</v>
      </c>
      <c r="N423" s="2">
        <v>0</v>
      </c>
      <c r="O423" s="2">
        <f t="shared" si="167"/>
        <v>128.28833290958633</v>
      </c>
      <c r="P423" s="2">
        <f t="shared" si="168"/>
        <v>87.449443019486253</v>
      </c>
      <c r="Q423" s="5">
        <f t="shared" si="169"/>
        <v>1.0812104349553164</v>
      </c>
      <c r="R423" s="5">
        <f t="shared" si="170"/>
        <v>0.16347591626209887</v>
      </c>
      <c r="S423" s="4">
        <f t="shared" si="187"/>
        <v>0.14850355258442891</v>
      </c>
      <c r="T423" s="5">
        <f t="shared" si="171"/>
        <v>0.10698089857306017</v>
      </c>
      <c r="U423" s="4">
        <f t="shared" si="172"/>
        <v>0</v>
      </c>
      <c r="V423" s="4">
        <f t="shared" si="173"/>
        <v>0</v>
      </c>
      <c r="W423" s="5">
        <f t="shared" si="174"/>
        <v>0</v>
      </c>
      <c r="X423" s="5">
        <f t="shared" si="175"/>
        <v>-14.94691174463515</v>
      </c>
      <c r="Y423" s="5">
        <f t="shared" si="176"/>
        <v>3.2140758330547663</v>
      </c>
      <c r="Z423" s="5">
        <f>1</f>
        <v>1</v>
      </c>
      <c r="AA423" s="5">
        <f>IF(M423=0,0,const*($T423/omega)*O423*(wy*I423-wz*(H423-V423))/Z423)</f>
        <v>0</v>
      </c>
      <c r="AB423" s="5">
        <f>IF(M423=0,0,const*($T423/omega)*O423*(wz*(G423-U423)-wx*I423)/Z423)</f>
        <v>2.1033356384488706</v>
      </c>
      <c r="AC423" s="5">
        <f>IF(M423=0,0,const*($T423/omega)*O423*(wx*(H423-V423)-wy*(G423-U423))/Z423)</f>
        <v>9.7814655876868351</v>
      </c>
      <c r="AD423" s="5">
        <f t="shared" si="162"/>
        <v>0</v>
      </c>
      <c r="AE423" s="5">
        <f t="shared" si="162"/>
        <v>-12.84357610618628</v>
      </c>
      <c r="AF423" s="5">
        <f t="shared" si="177"/>
        <v>-19.178458579258397</v>
      </c>
      <c r="AG423">
        <f t="shared" si="188"/>
        <v>0</v>
      </c>
    </row>
    <row r="424" spans="1:33" x14ac:dyDescent="0.2">
      <c r="A424">
        <f t="shared" si="178"/>
        <v>3.9199999999999604</v>
      </c>
      <c r="B424" s="5">
        <f t="shared" si="179"/>
        <v>0</v>
      </c>
      <c r="C424" s="5">
        <f t="shared" si="180"/>
        <v>649.93709693394305</v>
      </c>
      <c r="D424" s="5">
        <f t="shared" si="181"/>
        <v>40.107384778033278</v>
      </c>
      <c r="E424" s="2">
        <f t="shared" si="163"/>
        <v>216.64569897798103</v>
      </c>
      <c r="F424" s="2">
        <f t="shared" si="182"/>
        <v>0</v>
      </c>
      <c r="G424" s="3">
        <f t="shared" si="183"/>
        <v>0</v>
      </c>
      <c r="H424" s="3">
        <f t="shared" si="184"/>
        <v>125.29297745787687</v>
      </c>
      <c r="I424" s="3">
        <f t="shared" si="185"/>
        <v>-27.161498467943193</v>
      </c>
      <c r="J424" s="2">
        <f t="shared" si="164"/>
        <v>128.20326516623561</v>
      </c>
      <c r="K424" s="2">
        <f t="shared" si="186"/>
        <v>87.39145546437328</v>
      </c>
      <c r="L424" s="5">
        <f t="shared" si="165"/>
        <v>27.295867283064155</v>
      </c>
      <c r="M424" s="3">
        <f t="shared" si="166"/>
        <v>19.046105145062842</v>
      </c>
      <c r="N424" s="2">
        <v>0</v>
      </c>
      <c r="O424" s="2">
        <f t="shared" si="167"/>
        <v>128.20326516623561</v>
      </c>
      <c r="P424" s="2">
        <f t="shared" si="168"/>
        <v>87.39145546437328</v>
      </c>
      <c r="Q424" s="5">
        <f t="shared" si="169"/>
        <v>1.0804934864245896</v>
      </c>
      <c r="R424" s="5">
        <f t="shared" si="170"/>
        <v>0.1634880693780518</v>
      </c>
      <c r="S424" s="4">
        <f t="shared" si="187"/>
        <v>0.14856177898719339</v>
      </c>
      <c r="T424" s="5">
        <f t="shared" si="171"/>
        <v>0.10699767495376168</v>
      </c>
      <c r="U424" s="4">
        <f t="shared" si="172"/>
        <v>0</v>
      </c>
      <c r="V424" s="4">
        <f t="shared" si="173"/>
        <v>0</v>
      </c>
      <c r="W424" s="5">
        <f t="shared" si="174"/>
        <v>0</v>
      </c>
      <c r="X424" s="5">
        <f t="shared" si="175"/>
        <v>-14.922813792268974</v>
      </c>
      <c r="Y424" s="5">
        <f t="shared" si="176"/>
        <v>3.2350255551424238</v>
      </c>
      <c r="Z424" s="5">
        <f>1</f>
        <v>1</v>
      </c>
      <c r="AA424" s="5">
        <f>IF(M424=0,0,const*($T424/omega)*O424*(wy*I424-wz*(H424-V424))/Z424)</f>
        <v>0</v>
      </c>
      <c r="AB424" s="5">
        <f>IF(M424=0,0,const*($T424/omega)*O424*(wz*(G424-U424)-wx*I424)/Z424)</f>
        <v>2.117220015705382</v>
      </c>
      <c r="AC424" s="5">
        <f>IF(M424=0,0,const*($T424/omega)*O424*(wx*(H424-V424)-wy*(G424-U424))/Z424)</f>
        <v>9.7665009172532589</v>
      </c>
      <c r="AD424" s="5">
        <f t="shared" si="162"/>
        <v>0</v>
      </c>
      <c r="AE424" s="5">
        <f t="shared" si="162"/>
        <v>-12.805593776563592</v>
      </c>
      <c r="AF424" s="5">
        <f t="shared" si="177"/>
        <v>-19.172473527604318</v>
      </c>
      <c r="AG424">
        <f t="shared" si="188"/>
        <v>0</v>
      </c>
    </row>
    <row r="425" spans="1:33" x14ac:dyDescent="0.2">
      <c r="A425">
        <f t="shared" si="178"/>
        <v>3.9299999999999602</v>
      </c>
      <c r="B425" s="5">
        <f t="shared" si="179"/>
        <v>0</v>
      </c>
      <c r="C425" s="5">
        <f t="shared" si="180"/>
        <v>651.18938642883302</v>
      </c>
      <c r="D425" s="5">
        <f t="shared" si="181"/>
        <v>39.834811169677465</v>
      </c>
      <c r="E425" s="2">
        <f t="shared" si="163"/>
        <v>217.06312880961102</v>
      </c>
      <c r="F425" s="2">
        <f t="shared" si="182"/>
        <v>0</v>
      </c>
      <c r="G425" s="3">
        <f t="shared" si="183"/>
        <v>0</v>
      </c>
      <c r="H425" s="3">
        <f t="shared" si="184"/>
        <v>125.16492152011124</v>
      </c>
      <c r="I425" s="3">
        <f t="shared" si="185"/>
        <v>-27.353223203219237</v>
      </c>
      <c r="J425" s="2">
        <f t="shared" si="164"/>
        <v>128.11891507010483</v>
      </c>
      <c r="K425" s="2">
        <f t="shared" si="186"/>
        <v>87.333957103002604</v>
      </c>
      <c r="L425" s="5">
        <f t="shared" si="165"/>
        <v>27.313838158231487</v>
      </c>
      <c r="M425" s="3">
        <f t="shared" si="166"/>
        <v>19.04093241119438</v>
      </c>
      <c r="N425" s="2">
        <v>0</v>
      </c>
      <c r="O425" s="2">
        <f t="shared" si="167"/>
        <v>128.11891507010483</v>
      </c>
      <c r="P425" s="2">
        <f t="shared" si="168"/>
        <v>87.333957103002604</v>
      </c>
      <c r="Q425" s="5">
        <f t="shared" si="169"/>
        <v>1.0797825862042993</v>
      </c>
      <c r="R425" s="5">
        <f t="shared" si="170"/>
        <v>0.16350005724031361</v>
      </c>
      <c r="S425" s="4">
        <f t="shared" si="187"/>
        <v>0.14861921364831612</v>
      </c>
      <c r="T425" s="5">
        <f t="shared" si="171"/>
        <v>0.10701421935068983</v>
      </c>
      <c r="U425" s="4">
        <f t="shared" si="172"/>
        <v>0</v>
      </c>
      <c r="V425" s="4">
        <f t="shared" si="173"/>
        <v>0</v>
      </c>
      <c r="W425" s="5">
        <f t="shared" si="174"/>
        <v>0</v>
      </c>
      <c r="X425" s="5">
        <f t="shared" si="175"/>
        <v>-14.898846001585415</v>
      </c>
      <c r="Y425" s="5">
        <f t="shared" si="176"/>
        <v>3.2559558636904113</v>
      </c>
      <c r="Z425" s="5">
        <f>1</f>
        <v>1</v>
      </c>
      <c r="AA425" s="5">
        <f>IF(M425=0,0,const*($T425/omega)*O425*(wy*I425-wz*(H425-V425))/Z425)</f>
        <v>0</v>
      </c>
      <c r="AB425" s="5">
        <f>IF(M425=0,0,const*($T425/omega)*O425*(wz*(G425-U425)-wx*I425)/Z425)</f>
        <v>2.1310914557112368</v>
      </c>
      <c r="AC425" s="5">
        <f>IF(M425=0,0,const*($T425/omega)*O425*(wx*(H425-V425)-wy*(G425-U425))/Z425)</f>
        <v>9.751607436701784</v>
      </c>
      <c r="AD425" s="5">
        <f t="shared" si="162"/>
        <v>0</v>
      </c>
      <c r="AE425" s="5">
        <f t="shared" si="162"/>
        <v>-12.767754545874178</v>
      </c>
      <c r="AF425" s="5">
        <f t="shared" si="177"/>
        <v>-19.166436699607804</v>
      </c>
      <c r="AG425">
        <f t="shared" si="188"/>
        <v>0</v>
      </c>
    </row>
    <row r="426" spans="1:33" x14ac:dyDescent="0.2">
      <c r="A426">
        <f t="shared" si="178"/>
        <v>3.93999999999996</v>
      </c>
      <c r="B426" s="5">
        <f t="shared" si="179"/>
        <v>0</v>
      </c>
      <c r="C426" s="5">
        <f t="shared" si="180"/>
        <v>652.44039725630682</v>
      </c>
      <c r="D426" s="5">
        <f t="shared" si="181"/>
        <v>39.560320615810291</v>
      </c>
      <c r="E426" s="2">
        <f t="shared" si="163"/>
        <v>217.48013241876893</v>
      </c>
      <c r="F426" s="2">
        <f t="shared" si="182"/>
        <v>0</v>
      </c>
      <c r="G426" s="3">
        <f t="shared" si="183"/>
        <v>0</v>
      </c>
      <c r="H426" s="3">
        <f t="shared" si="184"/>
        <v>125.0372439746525</v>
      </c>
      <c r="I426" s="3">
        <f t="shared" si="185"/>
        <v>-27.544887570215316</v>
      </c>
      <c r="J426" s="2">
        <f t="shared" si="164"/>
        <v>128.03528112216793</v>
      </c>
      <c r="K426" s="2">
        <f t="shared" si="186"/>
        <v>87.276946913543227</v>
      </c>
      <c r="L426" s="5">
        <f t="shared" si="165"/>
        <v>27.33167983513852</v>
      </c>
      <c r="M426" s="3">
        <f t="shared" si="166"/>
        <v>19.035754910196989</v>
      </c>
      <c r="N426" s="2">
        <v>0</v>
      </c>
      <c r="O426" s="2">
        <f t="shared" si="167"/>
        <v>128.03528112216793</v>
      </c>
      <c r="P426" s="2">
        <f t="shared" si="168"/>
        <v>87.276946913543227</v>
      </c>
      <c r="Q426" s="5">
        <f t="shared" si="169"/>
        <v>1.0790777216606966</v>
      </c>
      <c r="R426" s="5">
        <f t="shared" si="170"/>
        <v>0.16351187955293972</v>
      </c>
      <c r="S426" s="4">
        <f t="shared" si="187"/>
        <v>0.14867585514990644</v>
      </c>
      <c r="T426" s="5">
        <f t="shared" si="171"/>
        <v>0.10703053151660484</v>
      </c>
      <c r="U426" s="4">
        <f t="shared" si="172"/>
        <v>0</v>
      </c>
      <c r="V426" s="4">
        <f t="shared" si="173"/>
        <v>0</v>
      </c>
      <c r="W426" s="5">
        <f t="shared" si="174"/>
        <v>0</v>
      </c>
      <c r="X426" s="5">
        <f t="shared" si="175"/>
        <v>-14.875007764558593</v>
      </c>
      <c r="Y426" s="5">
        <f t="shared" si="176"/>
        <v>3.2768669834398039</v>
      </c>
      <c r="Z426" s="5">
        <f>1</f>
        <v>1</v>
      </c>
      <c r="AA426" s="5">
        <f>IF(M426=0,0,const*($T426/omega)*O426*(wy*I426-wz*(H426-V426))/Z426)</f>
        <v>0</v>
      </c>
      <c r="AB426" s="5">
        <f>IF(M426=0,0,const*($T426/omega)*O426*(wz*(G426-U426)-wx*I426)/Z426)</f>
        <v>2.1449500544284472</v>
      </c>
      <c r="AC426" s="5">
        <f>IF(M426=0,0,const*($T426/omega)*O426*(wx*(H426-V426)-wy*(G426-U426))/Z426)</f>
        <v>9.7367848238749382</v>
      </c>
      <c r="AD426" s="5">
        <f t="shared" si="162"/>
        <v>0</v>
      </c>
      <c r="AE426" s="5">
        <f t="shared" si="162"/>
        <v>-12.730057710130145</v>
      </c>
      <c r="AF426" s="5">
        <f t="shared" si="177"/>
        <v>-19.160348192685255</v>
      </c>
      <c r="AG426">
        <f t="shared" si="188"/>
        <v>0</v>
      </c>
    </row>
    <row r="427" spans="1:33" x14ac:dyDescent="0.2">
      <c r="A427">
        <f t="shared" si="178"/>
        <v>3.9499999999999598</v>
      </c>
      <c r="B427" s="5">
        <f t="shared" si="179"/>
        <v>0</v>
      </c>
      <c r="C427" s="5">
        <f t="shared" si="180"/>
        <v>653.69013319316787</v>
      </c>
      <c r="D427" s="5">
        <f t="shared" si="181"/>
        <v>39.2839137226985</v>
      </c>
      <c r="E427" s="2">
        <f t="shared" si="163"/>
        <v>217.89671106438928</v>
      </c>
      <c r="F427" s="2">
        <f t="shared" si="182"/>
        <v>0</v>
      </c>
      <c r="G427" s="3">
        <f t="shared" si="183"/>
        <v>0</v>
      </c>
      <c r="H427" s="3">
        <f t="shared" si="184"/>
        <v>124.9099433975512</v>
      </c>
      <c r="I427" s="3">
        <f t="shared" si="185"/>
        <v>-27.736491052142167</v>
      </c>
      <c r="J427" s="2">
        <f t="shared" si="164"/>
        <v>127.95236182058152</v>
      </c>
      <c r="K427" s="2">
        <f t="shared" si="186"/>
        <v>87.2204238722437</v>
      </c>
      <c r="L427" s="5">
        <f t="shared" si="165"/>
        <v>27.349392081875251</v>
      </c>
      <c r="M427" s="3">
        <f t="shared" si="166"/>
        <v>19.03057256214797</v>
      </c>
      <c r="N427" s="2">
        <v>0</v>
      </c>
      <c r="O427" s="2">
        <f t="shared" si="167"/>
        <v>127.95236182058152</v>
      </c>
      <c r="P427" s="2">
        <f t="shared" si="168"/>
        <v>87.2204238722437</v>
      </c>
      <c r="Q427" s="5">
        <f t="shared" si="169"/>
        <v>1.0783788801362875</v>
      </c>
      <c r="R427" s="5">
        <f t="shared" si="170"/>
        <v>0.1635235360267962</v>
      </c>
      <c r="S427" s="4">
        <f t="shared" si="187"/>
        <v>0.14873170210670428</v>
      </c>
      <c r="T427" s="5">
        <f t="shared" si="171"/>
        <v>0.10704661121164644</v>
      </c>
      <c r="U427" s="4">
        <f t="shared" si="172"/>
        <v>0</v>
      </c>
      <c r="V427" s="4">
        <f t="shared" si="173"/>
        <v>0</v>
      </c>
      <c r="W427" s="5">
        <f t="shared" si="174"/>
        <v>0</v>
      </c>
      <c r="X427" s="5">
        <f t="shared" si="175"/>
        <v>-14.851298476040387</v>
      </c>
      <c r="Y427" s="5">
        <f t="shared" si="176"/>
        <v>3.2977591382165525</v>
      </c>
      <c r="Z427" s="5">
        <f>1</f>
        <v>1</v>
      </c>
      <c r="AA427" s="5">
        <f>IF(M427=0,0,const*($T427/omega)*O427*(wy*I427-wz*(H427-V427))/Z427)</f>
        <v>0</v>
      </c>
      <c r="AB427" s="5">
        <f>IF(M427=0,0,const*($T427/omega)*O427*(wz*(G427-U427)-wx*I427)/Z427)</f>
        <v>2.158795907400596</v>
      </c>
      <c r="AC427" s="5">
        <f>IF(M427=0,0,const*($T427/omega)*O427*(wx*(H427-V427)-wy*(G427-U427))/Z427)</f>
        <v>9.7220327579774146</v>
      </c>
      <c r="AD427" s="5">
        <f t="shared" si="162"/>
        <v>0</v>
      </c>
      <c r="AE427" s="5">
        <f t="shared" si="162"/>
        <v>-12.692502568639792</v>
      </c>
      <c r="AF427" s="5">
        <f t="shared" si="177"/>
        <v>-19.154208103806035</v>
      </c>
      <c r="AG427">
        <f t="shared" si="188"/>
        <v>0</v>
      </c>
    </row>
    <row r="428" spans="1:33" x14ac:dyDescent="0.2">
      <c r="A428">
        <f t="shared" si="178"/>
        <v>3.9599999999999596</v>
      </c>
      <c r="B428" s="5">
        <f t="shared" si="179"/>
        <v>0</v>
      </c>
      <c r="C428" s="5">
        <f t="shared" si="180"/>
        <v>654.93859800201494</v>
      </c>
      <c r="D428" s="5">
        <f t="shared" si="181"/>
        <v>39.005591101771891</v>
      </c>
      <c r="E428" s="2">
        <f t="shared" si="163"/>
        <v>218.31286600067165</v>
      </c>
      <c r="F428" s="2">
        <f t="shared" si="182"/>
        <v>0</v>
      </c>
      <c r="G428" s="3">
        <f t="shared" si="183"/>
        <v>0</v>
      </c>
      <c r="H428" s="3">
        <f t="shared" si="184"/>
        <v>124.7830183718648</v>
      </c>
      <c r="I428" s="3">
        <f t="shared" si="185"/>
        <v>-27.928033133180229</v>
      </c>
      <c r="J428" s="2">
        <f t="shared" si="164"/>
        <v>127.87015566065899</v>
      </c>
      <c r="K428" s="2">
        <f t="shared" si="186"/>
        <v>87.164386953414436</v>
      </c>
      <c r="L428" s="5">
        <f t="shared" si="165"/>
        <v>27.366974671711404</v>
      </c>
      <c r="M428" s="3">
        <f t="shared" si="166"/>
        <v>19.025385287608003</v>
      </c>
      <c r="N428" s="2">
        <v>0</v>
      </c>
      <c r="O428" s="2">
        <f t="shared" si="167"/>
        <v>127.87015566065899</v>
      </c>
      <c r="P428" s="2">
        <f t="shared" si="168"/>
        <v>87.164386953414436</v>
      </c>
      <c r="Q428" s="5">
        <f t="shared" si="169"/>
        <v>1.0776860489496163</v>
      </c>
      <c r="R428" s="5">
        <f t="shared" si="170"/>
        <v>0.16353502637958817</v>
      </c>
      <c r="S428" s="4">
        <f t="shared" si="187"/>
        <v>0.14878675316621534</v>
      </c>
      <c r="T428" s="5">
        <f t="shared" si="171"/>
        <v>0.10706245820335578</v>
      </c>
      <c r="U428" s="4">
        <f t="shared" si="172"/>
        <v>0</v>
      </c>
      <c r="V428" s="4">
        <f t="shared" si="173"/>
        <v>0</v>
      </c>
      <c r="W428" s="5">
        <f t="shared" si="174"/>
        <v>0</v>
      </c>
      <c r="X428" s="5">
        <f t="shared" si="175"/>
        <v>-14.827717533740582</v>
      </c>
      <c r="Y428" s="5">
        <f t="shared" si="176"/>
        <v>3.3186325509266155</v>
      </c>
      <c r="Z428" s="5">
        <f>1</f>
        <v>1</v>
      </c>
      <c r="AA428" s="5">
        <f>IF(M428=0,0,const*($T428/omega)*O428*(wy*I428-wz*(H428-V428))/Z428)</f>
        <v>0</v>
      </c>
      <c r="AB428" s="5">
        <f>IF(M428=0,0,const*($T428/omega)*O428*(wz*(G428-U428)-wx*I428)/Z428)</f>
        <v>2.1726291097490784</v>
      </c>
      <c r="AC428" s="5">
        <f>IF(M428=0,0,const*($T428/omega)*O428*(wx*(H428-V428)-wy*(G428-U428))/Z428)</f>
        <v>9.7073509195667427</v>
      </c>
      <c r="AD428" s="5">
        <f t="shared" si="162"/>
        <v>0</v>
      </c>
      <c r="AE428" s="5">
        <f t="shared" si="162"/>
        <v>-12.655088423991504</v>
      </c>
      <c r="AF428" s="5">
        <f t="shared" si="177"/>
        <v>-19.148016529506641</v>
      </c>
      <c r="AG428">
        <f t="shared" si="188"/>
        <v>0</v>
      </c>
    </row>
    <row r="429" spans="1:33" x14ac:dyDescent="0.2">
      <c r="A429">
        <f t="shared" si="178"/>
        <v>3.9699999999999593</v>
      </c>
      <c r="B429" s="5">
        <f t="shared" si="179"/>
        <v>0</v>
      </c>
      <c r="C429" s="5">
        <f t="shared" si="180"/>
        <v>656.18579543131239</v>
      </c>
      <c r="D429" s="5">
        <f t="shared" si="181"/>
        <v>38.725353369613615</v>
      </c>
      <c r="E429" s="2">
        <f t="shared" si="163"/>
        <v>218.72859847710413</v>
      </c>
      <c r="F429" s="2">
        <f t="shared" si="182"/>
        <v>0</v>
      </c>
      <c r="G429" s="3">
        <f t="shared" si="183"/>
        <v>0</v>
      </c>
      <c r="H429" s="3">
        <f t="shared" si="184"/>
        <v>124.65646748762488</v>
      </c>
      <c r="I429" s="3">
        <f t="shared" si="185"/>
        <v>-28.119513298475294</v>
      </c>
      <c r="J429" s="2">
        <f t="shared" si="164"/>
        <v>127.78866113484564</v>
      </c>
      <c r="K429" s="2">
        <f t="shared" si="186"/>
        <v>87.108835129410792</v>
      </c>
      <c r="L429" s="5">
        <f t="shared" si="165"/>
        <v>27.384427383117963</v>
      </c>
      <c r="M429" s="3">
        <f t="shared" si="166"/>
        <v>19.020193007622172</v>
      </c>
      <c r="N429" s="2">
        <v>0</v>
      </c>
      <c r="O429" s="2">
        <f t="shared" si="167"/>
        <v>127.78866113484564</v>
      </c>
      <c r="P429" s="2">
        <f t="shared" si="168"/>
        <v>87.108835129410792</v>
      </c>
      <c r="Q429" s="5">
        <f t="shared" si="169"/>
        <v>1.0769992153950541</v>
      </c>
      <c r="R429" s="5">
        <f t="shared" si="170"/>
        <v>0.16354635033588694</v>
      </c>
      <c r="S429" s="4">
        <f t="shared" si="187"/>
        <v>0.14884100700884259</v>
      </c>
      <c r="T429" s="5">
        <f t="shared" si="171"/>
        <v>0.10707807226669651</v>
      </c>
      <c r="U429" s="4">
        <f t="shared" si="172"/>
        <v>0</v>
      </c>
      <c r="V429" s="4">
        <f t="shared" si="173"/>
        <v>0</v>
      </c>
      <c r="W429" s="5">
        <f t="shared" si="174"/>
        <v>0</v>
      </c>
      <c r="X429" s="5">
        <f t="shared" si="175"/>
        <v>-14.804264338207213</v>
      </c>
      <c r="Y429" s="5">
        <f t="shared" si="176"/>
        <v>3.3394874435511164</v>
      </c>
      <c r="Z429" s="5">
        <f>1</f>
        <v>1</v>
      </c>
      <c r="AA429" s="5">
        <f>IF(M429=0,0,const*($T429/omega)*O429*(wy*I429-wz*(H429-V429))/Z429)</f>
        <v>0</v>
      </c>
      <c r="AB429" s="5">
        <f>IF(M429=0,0,const*($T429/omega)*O429*(wz*(G429-U429)-wx*I429)/Z429)</f>
        <v>2.1864497561693805</v>
      </c>
      <c r="AC429" s="5">
        <f>IF(M429=0,0,const*($T429/omega)*O429*(wx*(H429-V429)-wy*(G429-U429))/Z429)</f>
        <v>9.6927389905440595</v>
      </c>
      <c r="AD429" s="5">
        <f t="shared" si="162"/>
        <v>0</v>
      </c>
      <c r="AE429" s="5">
        <f t="shared" si="162"/>
        <v>-12.617814582037832</v>
      </c>
      <c r="AF429" s="5">
        <f t="shared" si="177"/>
        <v>-19.141773565904824</v>
      </c>
      <c r="AG429">
        <f t="shared" si="188"/>
        <v>0</v>
      </c>
    </row>
    <row r="430" spans="1:33" x14ac:dyDescent="0.2">
      <c r="A430">
        <f t="shared" si="178"/>
        <v>3.9799999999999591</v>
      </c>
      <c r="B430" s="5">
        <f t="shared" si="179"/>
        <v>0</v>
      </c>
      <c r="C430" s="5">
        <f t="shared" si="180"/>
        <v>657.43172921545954</v>
      </c>
      <c r="D430" s="5">
        <f t="shared" si="181"/>
        <v>38.44320114795056</v>
      </c>
      <c r="E430" s="2">
        <f t="shared" si="163"/>
        <v>219.14390973848651</v>
      </c>
      <c r="F430" s="2">
        <f t="shared" si="182"/>
        <v>0</v>
      </c>
      <c r="G430" s="3">
        <f t="shared" si="183"/>
        <v>0</v>
      </c>
      <c r="H430" s="3">
        <f t="shared" si="184"/>
        <v>124.5302893418045</v>
      </c>
      <c r="I430" s="3">
        <f t="shared" si="185"/>
        <v>-28.310931034134342</v>
      </c>
      <c r="J430" s="2">
        <f t="shared" si="164"/>
        <v>127.70787673269437</v>
      </c>
      <c r="K430" s="2">
        <f t="shared" si="186"/>
        <v>87.05376737061647</v>
      </c>
      <c r="L430" s="5">
        <f t="shared" si="165"/>
        <v>27.40174999978812</v>
      </c>
      <c r="M430" s="3">
        <f t="shared" si="166"/>
        <v>19.014995643720912</v>
      </c>
      <c r="N430" s="2">
        <v>0</v>
      </c>
      <c r="O430" s="2">
        <f t="shared" si="167"/>
        <v>127.70787673269437</v>
      </c>
      <c r="P430" s="2">
        <f t="shared" si="168"/>
        <v>87.05376737061647</v>
      </c>
      <c r="Q430" s="5">
        <f t="shared" si="169"/>
        <v>1.076318366742596</v>
      </c>
      <c r="R430" s="5">
        <f t="shared" si="170"/>
        <v>0.16355750762715693</v>
      </c>
      <c r="S430" s="4">
        <f t="shared" si="187"/>
        <v>0.14889446234801351</v>
      </c>
      <c r="T430" s="5">
        <f t="shared" si="171"/>
        <v>0.107093453184075</v>
      </c>
      <c r="U430" s="4">
        <f t="shared" si="172"/>
        <v>0</v>
      </c>
      <c r="V430" s="4">
        <f t="shared" si="173"/>
        <v>0</v>
      </c>
      <c r="W430" s="5">
        <f t="shared" si="174"/>
        <v>0</v>
      </c>
      <c r="X430" s="5">
        <f t="shared" si="175"/>
        <v>-14.78093829280713</v>
      </c>
      <c r="Y430" s="5">
        <f t="shared" si="176"/>
        <v>3.3603240371415519</v>
      </c>
      <c r="Z430" s="5">
        <f>1</f>
        <v>1</v>
      </c>
      <c r="AA430" s="5">
        <f>IF(M430=0,0,const*($T430/omega)*O430*(wy*I430-wz*(H430-V430))/Z430)</f>
        <v>0</v>
      </c>
      <c r="AB430" s="5">
        <f>IF(M430=0,0,const*($T430/omega)*O430*(wz*(G430-U430)-wx*I430)/Z430)</f>
        <v>2.2002579409273695</v>
      </c>
      <c r="AC430" s="5">
        <f>IF(M430=0,0,const*($T430/omega)*O430*(wx*(H430-V430)-wy*(G430-U430))/Z430)</f>
        <v>9.6781966541449798</v>
      </c>
      <c r="AD430" s="5">
        <f t="shared" si="162"/>
        <v>0</v>
      </c>
      <c r="AE430" s="5">
        <f t="shared" si="162"/>
        <v>-12.58068035187976</v>
      </c>
      <c r="AF430" s="5">
        <f t="shared" si="177"/>
        <v>-19.135479308713467</v>
      </c>
      <c r="AG430">
        <f t="shared" si="188"/>
        <v>0</v>
      </c>
    </row>
    <row r="431" spans="1:33" x14ac:dyDescent="0.2">
      <c r="A431">
        <f t="shared" si="178"/>
        <v>3.9899999999999589</v>
      </c>
      <c r="B431" s="5">
        <f t="shared" si="179"/>
        <v>0</v>
      </c>
      <c r="C431" s="5">
        <f t="shared" si="180"/>
        <v>658.67640307485999</v>
      </c>
      <c r="D431" s="5">
        <f t="shared" si="181"/>
        <v>38.159135063643781</v>
      </c>
      <c r="E431" s="2">
        <f t="shared" si="163"/>
        <v>219.55880102495334</v>
      </c>
      <c r="F431" s="2">
        <f t="shared" si="182"/>
        <v>0</v>
      </c>
      <c r="G431" s="3">
        <f t="shared" si="183"/>
        <v>0</v>
      </c>
      <c r="H431" s="3">
        <f t="shared" si="184"/>
        <v>124.40448253828571</v>
      </c>
      <c r="I431" s="3">
        <f t="shared" si="185"/>
        <v>-28.502285827221478</v>
      </c>
      <c r="J431" s="2">
        <f t="shared" si="164"/>
        <v>127.62780094084229</v>
      </c>
      <c r="K431" s="2">
        <f t="shared" si="186"/>
        <v>86.999182645427595</v>
      </c>
      <c r="L431" s="5">
        <f t="shared" si="165"/>
        <v>27.418942310657616</v>
      </c>
      <c r="M431" s="3">
        <f t="shared" si="166"/>
        <v>19.009793117921014</v>
      </c>
      <c r="N431" s="2">
        <v>0</v>
      </c>
      <c r="O431" s="2">
        <f t="shared" si="167"/>
        <v>127.62780094084229</v>
      </c>
      <c r="P431" s="2">
        <f t="shared" si="168"/>
        <v>86.999182645427595</v>
      </c>
      <c r="Q431" s="5">
        <f t="shared" si="169"/>
        <v>1.0756434902376624</v>
      </c>
      <c r="R431" s="5">
        <f t="shared" si="170"/>
        <v>0.1635684979917813</v>
      </c>
      <c r="S431" s="4">
        <f t="shared" si="187"/>
        <v>0.1489471179303041</v>
      </c>
      <c r="T431" s="5">
        <f t="shared" si="171"/>
        <v>0.10710860074535998</v>
      </c>
      <c r="U431" s="4">
        <f t="shared" si="172"/>
        <v>0</v>
      </c>
      <c r="V431" s="4">
        <f t="shared" si="173"/>
        <v>0</v>
      </c>
      <c r="W431" s="5">
        <f t="shared" si="174"/>
        <v>0</v>
      </c>
      <c r="X431" s="5">
        <f t="shared" si="175"/>
        <v>-14.757738803706729</v>
      </c>
      <c r="Y431" s="5">
        <f t="shared" si="176"/>
        <v>3.3811425518150227</v>
      </c>
      <c r="Z431" s="5">
        <f>1</f>
        <v>1</v>
      </c>
      <c r="AA431" s="5">
        <f>IF(M431=0,0,const*($T431/omega)*O431*(wy*I431-wz*(H431-V431))/Z431)</f>
        <v>0</v>
      </c>
      <c r="AB431" s="5">
        <f>IF(M431=0,0,const*($T431/omega)*O431*(wz*(G431-U431)-wx*I431)/Z431)</f>
        <v>2.2140537578556203</v>
      </c>
      <c r="AC431" s="5">
        <f>IF(M431=0,0,const*($T431/omega)*O431*(wx*(H431-V431)-wy*(G431-U431))/Z431)</f>
        <v>9.6637235949305715</v>
      </c>
      <c r="AD431" s="5">
        <f t="shared" si="162"/>
        <v>0</v>
      </c>
      <c r="AE431" s="5">
        <f t="shared" si="162"/>
        <v>-12.54368504585111</v>
      </c>
      <c r="AF431" s="5">
        <f t="shared" si="177"/>
        <v>-19.129133853254405</v>
      </c>
      <c r="AG431">
        <f t="shared" si="188"/>
        <v>0</v>
      </c>
    </row>
    <row r="432" spans="1:33" x14ac:dyDescent="0.2">
      <c r="A432">
        <f t="shared" si="178"/>
        <v>3.9999999999999587</v>
      </c>
      <c r="B432" s="5">
        <f t="shared" si="179"/>
        <v>0</v>
      </c>
      <c r="C432" s="5">
        <f t="shared" si="180"/>
        <v>659.91982071599057</v>
      </c>
      <c r="D432" s="5">
        <f t="shared" si="181"/>
        <v>37.873155748678904</v>
      </c>
      <c r="E432" s="2">
        <f t="shared" si="163"/>
        <v>219.97327357199686</v>
      </c>
      <c r="F432" s="2">
        <f t="shared" si="182"/>
        <v>0</v>
      </c>
      <c r="G432" s="3">
        <f t="shared" si="183"/>
        <v>0</v>
      </c>
      <c r="H432" s="3">
        <f t="shared" si="184"/>
        <v>124.27904568782719</v>
      </c>
      <c r="I432" s="3">
        <f t="shared" si="185"/>
        <v>-28.693577165754022</v>
      </c>
      <c r="J432" s="2">
        <f t="shared" si="164"/>
        <v>127.54843224298807</v>
      </c>
      <c r="K432" s="2">
        <f t="shared" si="186"/>
        <v>86.945079920237262</v>
      </c>
      <c r="L432" s="5">
        <f t="shared" si="165"/>
        <v>27.436004109924511</v>
      </c>
      <c r="M432" s="3">
        <f t="shared" si="166"/>
        <v>19.004585352726572</v>
      </c>
      <c r="N432" s="2">
        <v>0</v>
      </c>
      <c r="O432" s="2">
        <f t="shared" si="167"/>
        <v>127.54843224298807</v>
      </c>
      <c r="P432" s="2">
        <f t="shared" si="168"/>
        <v>86.945079920237262</v>
      </c>
      <c r="Q432" s="5">
        <f t="shared" si="169"/>
        <v>1.0749745731009086</v>
      </c>
      <c r="R432" s="5">
        <f t="shared" si="170"/>
        <v>0.16357932117508706</v>
      </c>
      <c r="S432" s="4">
        <f t="shared" si="187"/>
        <v>0.14899897253555888</v>
      </c>
      <c r="T432" s="5">
        <f t="shared" si="171"/>
        <v>0.10712351474790137</v>
      </c>
      <c r="U432" s="4">
        <f t="shared" si="172"/>
        <v>0</v>
      </c>
      <c r="V432" s="4">
        <f t="shared" si="173"/>
        <v>0</v>
      </c>
      <c r="W432" s="5">
        <f t="shared" si="174"/>
        <v>0</v>
      </c>
      <c r="X432" s="5">
        <f t="shared" si="175"/>
        <v>-14.734665279852903</v>
      </c>
      <c r="Y432" s="5">
        <f t="shared" si="176"/>
        <v>3.4019432067495115</v>
      </c>
      <c r="Z432" s="5">
        <f>1</f>
        <v>1</v>
      </c>
      <c r="AA432" s="5">
        <f>IF(M432=0,0,const*($T432/omega)*O432*(wy*I432-wz*(H432-V432))/Z432)</f>
        <v>0</v>
      </c>
      <c r="AB432" s="5">
        <f>IF(M432=0,0,const*($T432/omega)*O432*(wz*(G432-U432)-wx*I432)/Z432)</f>
        <v>2.2278373003497713</v>
      </c>
      <c r="AC432" s="5">
        <f>IF(M432=0,0,const*($T432/omega)*O432*(wx*(H432-V432)-wy*(G432-U432))/Z432)</f>
        <v>9.6493194987784641</v>
      </c>
      <c r="AD432" s="5">
        <f t="shared" ref="AD432:AE495" si="189">W432+AA432</f>
        <v>0</v>
      </c>
      <c r="AE432" s="5">
        <f t="shared" si="189"/>
        <v>-12.506827979503132</v>
      </c>
      <c r="AF432" s="5">
        <f t="shared" si="177"/>
        <v>-19.122737294472024</v>
      </c>
      <c r="AG432">
        <f t="shared" si="188"/>
        <v>0</v>
      </c>
    </row>
    <row r="433" spans="1:33" x14ac:dyDescent="0.2">
      <c r="A433">
        <f t="shared" si="178"/>
        <v>4.0099999999999589</v>
      </c>
      <c r="B433" s="5">
        <f t="shared" si="179"/>
        <v>0</v>
      </c>
      <c r="C433" s="5">
        <f t="shared" si="180"/>
        <v>661.16198583146991</v>
      </c>
      <c r="D433" s="5">
        <f t="shared" si="181"/>
        <v>37.585263840156642</v>
      </c>
      <c r="E433" s="2">
        <f t="shared" si="163"/>
        <v>220.38732861048996</v>
      </c>
      <c r="F433" s="2">
        <f t="shared" si="182"/>
        <v>0</v>
      </c>
      <c r="G433" s="3">
        <f t="shared" si="183"/>
        <v>0</v>
      </c>
      <c r="H433" s="3">
        <f t="shared" si="184"/>
        <v>124.15397740803216</v>
      </c>
      <c r="I433" s="3">
        <f t="shared" si="185"/>
        <v>-28.884804538698742</v>
      </c>
      <c r="J433" s="2">
        <f t="shared" si="164"/>
        <v>127.46976911987011</v>
      </c>
      <c r="K433" s="2">
        <f t="shared" si="186"/>
        <v>86.891458159420651</v>
      </c>
      <c r="L433" s="5">
        <f t="shared" si="165"/>
        <v>27.452935197068278</v>
      </c>
      <c r="M433" s="3">
        <f t="shared" si="166"/>
        <v>18.999372271129943</v>
      </c>
      <c r="N433" s="2">
        <v>0</v>
      </c>
      <c r="O433" s="2">
        <f t="shared" si="167"/>
        <v>127.46976911987011</v>
      </c>
      <c r="P433" s="2">
        <f t="shared" si="168"/>
        <v>86.891458159420651</v>
      </c>
      <c r="Q433" s="5">
        <f t="shared" si="169"/>
        <v>1.0743116025280408</v>
      </c>
      <c r="R433" s="5">
        <f t="shared" si="170"/>
        <v>0.1635899769293693</v>
      </c>
      <c r="S433" s="4">
        <f t="shared" si="187"/>
        <v>0.1490500249770069</v>
      </c>
      <c r="T433" s="5">
        <f t="shared" si="171"/>
        <v>0.10713819499654831</v>
      </c>
      <c r="U433" s="4">
        <f t="shared" si="172"/>
        <v>0</v>
      </c>
      <c r="V433" s="4">
        <f t="shared" si="173"/>
        <v>0</v>
      </c>
      <c r="W433" s="5">
        <f t="shared" si="174"/>
        <v>0</v>
      </c>
      <c r="X433" s="5">
        <f t="shared" si="175"/>
        <v>-14.711717132954188</v>
      </c>
      <c r="Y433" s="5">
        <f t="shared" si="176"/>
        <v>3.4227262201791957</v>
      </c>
      <c r="Z433" s="5">
        <f>1</f>
        <v>1</v>
      </c>
      <c r="AA433" s="5">
        <f>IF(M433=0,0,const*($T433/omega)*O433*(wy*I433-wz*(H433-V433))/Z433)</f>
        <v>0</v>
      </c>
      <c r="AB433" s="5">
        <f>IF(M433=0,0,const*($T433/omega)*O433*(wz*(G433-U433)-wx*I433)/Z433)</f>
        <v>2.2416086613648938</v>
      </c>
      <c r="AC433" s="5">
        <f>IF(M433=0,0,const*($T433/omega)*O433*(wx*(H433-V433)-wy*(G433-U433))/Z433)</f>
        <v>9.6349840528740458</v>
      </c>
      <c r="AD433" s="5">
        <f t="shared" si="189"/>
        <v>0</v>
      </c>
      <c r="AE433" s="5">
        <f t="shared" si="189"/>
        <v>-12.470108471589295</v>
      </c>
      <c r="AF433" s="5">
        <f t="shared" si="177"/>
        <v>-19.116289726946757</v>
      </c>
      <c r="AG433">
        <f t="shared" si="188"/>
        <v>0</v>
      </c>
    </row>
    <row r="434" spans="1:33" x14ac:dyDescent="0.2">
      <c r="A434">
        <f t="shared" si="178"/>
        <v>4.0199999999999587</v>
      </c>
      <c r="B434" s="5">
        <f t="shared" si="179"/>
        <v>0</v>
      </c>
      <c r="C434" s="5">
        <f t="shared" si="180"/>
        <v>662.40290210012665</v>
      </c>
      <c r="D434" s="5">
        <f t="shared" si="181"/>
        <v>37.295459980283312</v>
      </c>
      <c r="E434" s="2">
        <f t="shared" si="163"/>
        <v>220.80096736670887</v>
      </c>
      <c r="F434" s="2">
        <f t="shared" si="182"/>
        <v>0</v>
      </c>
      <c r="G434" s="3">
        <f t="shared" si="183"/>
        <v>0</v>
      </c>
      <c r="H434" s="3">
        <f t="shared" si="184"/>
        <v>124.02927632331627</v>
      </c>
      <c r="I434" s="3">
        <f t="shared" si="185"/>
        <v>-29.075967435968209</v>
      </c>
      <c r="J434" s="2">
        <f t="shared" si="164"/>
        <v>127.39181004924541</v>
      </c>
      <c r="K434" s="2">
        <f t="shared" si="186"/>
        <v>86.838316325320648</v>
      </c>
      <c r="L434" s="5">
        <f t="shared" si="165"/>
        <v>27.469735376868346</v>
      </c>
      <c r="M434" s="3">
        <f t="shared" si="166"/>
        <v>18.994153796612686</v>
      </c>
      <c r="N434" s="2">
        <v>0</v>
      </c>
      <c r="O434" s="2">
        <f t="shared" si="167"/>
        <v>127.39181004924541</v>
      </c>
      <c r="P434" s="2">
        <f t="shared" si="168"/>
        <v>86.838316325320648</v>
      </c>
      <c r="Q434" s="5">
        <f t="shared" si="169"/>
        <v>1.0736545656896384</v>
      </c>
      <c r="R434" s="5">
        <f t="shared" si="170"/>
        <v>0.1636004650139147</v>
      </c>
      <c r="S434" s="4">
        <f t="shared" si="187"/>
        <v>0.14910027410137419</v>
      </c>
      <c r="T434" s="5">
        <f t="shared" si="171"/>
        <v>0.1071526413036665</v>
      </c>
      <c r="U434" s="4">
        <f t="shared" si="172"/>
        <v>0</v>
      </c>
      <c r="V434" s="4">
        <f t="shared" si="173"/>
        <v>0</v>
      </c>
      <c r="W434" s="5">
        <f t="shared" si="174"/>
        <v>0</v>
      </c>
      <c r="X434" s="5">
        <f t="shared" si="175"/>
        <v>-14.688893777462088</v>
      </c>
      <c r="Y434" s="5">
        <f t="shared" si="176"/>
        <v>3.4434918093897995</v>
      </c>
      <c r="Z434" s="5">
        <f>1</f>
        <v>1</v>
      </c>
      <c r="AA434" s="5">
        <f>IF(M434=0,0,const*($T434/omega)*O434*(wy*I434-wz*(H434-V434))/Z434)</f>
        <v>0</v>
      </c>
      <c r="AB434" s="5">
        <f>IF(M434=0,0,const*($T434/omega)*O434*(wz*(G434-U434)-wx*I434)/Z434)</f>
        <v>2.2553679334119003</v>
      </c>
      <c r="AC434" s="5">
        <f>IF(M434=0,0,const*($T434/omega)*O434*(wx*(H434-V434)-wy*(G434-U434))/Z434)</f>
        <v>9.6207169457017425</v>
      </c>
      <c r="AD434" s="5">
        <f t="shared" si="189"/>
        <v>0</v>
      </c>
      <c r="AE434" s="5">
        <f t="shared" si="189"/>
        <v>-12.433525844050187</v>
      </c>
      <c r="AF434" s="5">
        <f t="shared" si="177"/>
        <v>-19.109791244908457</v>
      </c>
      <c r="AG434">
        <f t="shared" si="188"/>
        <v>0</v>
      </c>
    </row>
    <row r="435" spans="1:33" x14ac:dyDescent="0.2">
      <c r="A435">
        <f t="shared" si="178"/>
        <v>4.0299999999999585</v>
      </c>
      <c r="B435" s="5">
        <f t="shared" si="179"/>
        <v>0</v>
      </c>
      <c r="C435" s="5">
        <f t="shared" si="180"/>
        <v>663.64257318706757</v>
      </c>
      <c r="D435" s="5">
        <f t="shared" si="181"/>
        <v>37.003744816361383</v>
      </c>
      <c r="E435" s="2">
        <f t="shared" si="163"/>
        <v>221.21419106235587</v>
      </c>
      <c r="F435" s="2">
        <f t="shared" si="182"/>
        <v>0</v>
      </c>
      <c r="G435" s="3">
        <f t="shared" si="183"/>
        <v>0</v>
      </c>
      <c r="H435" s="3">
        <f t="shared" si="184"/>
        <v>123.90494106487577</v>
      </c>
      <c r="I435" s="3">
        <f t="shared" si="185"/>
        <v>-29.267065348417294</v>
      </c>
      <c r="J435" s="2">
        <f t="shared" si="164"/>
        <v>127.31455350586934</v>
      </c>
      <c r="K435" s="2">
        <f t="shared" si="186"/>
        <v>86.785653378234045</v>
      </c>
      <c r="L435" s="5">
        <f t="shared" si="165"/>
        <v>27.486404459422008</v>
      </c>
      <c r="M435" s="3">
        <f t="shared" si="166"/>
        <v>18.988929853146495</v>
      </c>
      <c r="N435" s="2">
        <v>0</v>
      </c>
      <c r="O435" s="2">
        <f t="shared" si="167"/>
        <v>127.31455350586934</v>
      </c>
      <c r="P435" s="2">
        <f t="shared" si="168"/>
        <v>86.785653378234045</v>
      </c>
      <c r="Q435" s="5">
        <f t="shared" si="169"/>
        <v>1.0730034497309826</v>
      </c>
      <c r="R435" s="5">
        <f t="shared" si="170"/>
        <v>0.16361078519502406</v>
      </c>
      <c r="S435" s="4">
        <f t="shared" si="187"/>
        <v>0.14914971878899205</v>
      </c>
      <c r="T435" s="5">
        <f t="shared" si="171"/>
        <v>0.10716685348915465</v>
      </c>
      <c r="U435" s="4">
        <f t="shared" si="172"/>
        <v>0</v>
      </c>
      <c r="V435" s="4">
        <f t="shared" si="173"/>
        <v>0</v>
      </c>
      <c r="W435" s="5">
        <f t="shared" si="174"/>
        <v>0</v>
      </c>
      <c r="X435" s="5">
        <f t="shared" si="175"/>
        <v>-14.666194630552599</v>
      </c>
      <c r="Y435" s="5">
        <f t="shared" si="176"/>
        <v>3.4642401907139804</v>
      </c>
      <c r="Z435" s="5">
        <f>1</f>
        <v>1</v>
      </c>
      <c r="AA435" s="5">
        <f>IF(M435=0,0,const*($T435/omega)*O435*(wy*I435-wz*(H435-V435))/Z435)</f>
        <v>0</v>
      </c>
      <c r="AB435" s="5">
        <f>IF(M435=0,0,const*($T435/omega)*O435*(wz*(G435-U435)-wx*I435)/Z435)</f>
        <v>2.269115208553973</v>
      </c>
      <c r="AC435" s="5">
        <f>IF(M435=0,0,const*($T435/omega)*O435*(wx*(H435-V435)-wy*(G435-U435))/Z435)</f>
        <v>9.6065178670364251</v>
      </c>
      <c r="AD435" s="5">
        <f t="shared" si="189"/>
        <v>0</v>
      </c>
      <c r="AE435" s="5">
        <f t="shared" si="189"/>
        <v>-12.397079421998626</v>
      </c>
      <c r="AF435" s="5">
        <f t="shared" si="177"/>
        <v>-19.103241942249596</v>
      </c>
      <c r="AG435">
        <f t="shared" si="188"/>
        <v>0</v>
      </c>
    </row>
    <row r="436" spans="1:33" x14ac:dyDescent="0.2">
      <c r="A436">
        <f t="shared" si="178"/>
        <v>4.0399999999999583</v>
      </c>
      <c r="B436" s="5">
        <f t="shared" si="179"/>
        <v>0</v>
      </c>
      <c r="C436" s="5">
        <f t="shared" si="180"/>
        <v>664.88100274374517</v>
      </c>
      <c r="D436" s="5">
        <f t="shared" si="181"/>
        <v>36.710119000780097</v>
      </c>
      <c r="E436" s="2">
        <f t="shared" si="163"/>
        <v>221.62700091458171</v>
      </c>
      <c r="F436" s="2">
        <f t="shared" si="182"/>
        <v>0</v>
      </c>
      <c r="G436" s="3">
        <f t="shared" si="183"/>
        <v>0</v>
      </c>
      <c r="H436" s="3">
        <f t="shared" si="184"/>
        <v>123.78097027065579</v>
      </c>
      <c r="I436" s="3">
        <f t="shared" si="185"/>
        <v>-29.458097767839789</v>
      </c>
      <c r="J436" s="2">
        <f t="shared" si="164"/>
        <v>127.23799796147604</v>
      </c>
      <c r="K436" s="2">
        <f t="shared" si="186"/>
        <v>86.733468276398114</v>
      </c>
      <c r="L436" s="5">
        <f t="shared" si="165"/>
        <v>27.50294226016171</v>
      </c>
      <c r="M436" s="3">
        <f t="shared" si="166"/>
        <v>18.983700365194128</v>
      </c>
      <c r="N436" s="2">
        <v>0</v>
      </c>
      <c r="O436" s="2">
        <f t="shared" si="167"/>
        <v>127.23799796147604</v>
      </c>
      <c r="P436" s="2">
        <f t="shared" si="168"/>
        <v>86.733468276398114</v>
      </c>
      <c r="Q436" s="5">
        <f t="shared" si="169"/>
        <v>1.0723582417718922</v>
      </c>
      <c r="R436" s="5">
        <f t="shared" si="170"/>
        <v>0.16362093724603419</v>
      </c>
      <c r="S436" s="4">
        <f t="shared" si="187"/>
        <v>0.14919835795390179</v>
      </c>
      <c r="T436" s="5">
        <f t="shared" si="171"/>
        <v>0.10718083138046042</v>
      </c>
      <c r="U436" s="4">
        <f t="shared" si="172"/>
        <v>0</v>
      </c>
      <c r="V436" s="4">
        <f t="shared" si="173"/>
        <v>0</v>
      </c>
      <c r="W436" s="5">
        <f t="shared" si="174"/>
        <v>0</v>
      </c>
      <c r="X436" s="5">
        <f t="shared" si="175"/>
        <v>-14.643619112107919</v>
      </c>
      <c r="Y436" s="5">
        <f t="shared" si="176"/>
        <v>3.4849715795267611</v>
      </c>
      <c r="Z436" s="5">
        <f>1</f>
        <v>1</v>
      </c>
      <c r="AA436" s="5">
        <f>IF(M436=0,0,const*($T436/omega)*O436*(wy*I436-wz*(H436-V436))/Z436)</f>
        <v>0</v>
      </c>
      <c r="AB436" s="5">
        <f>IF(M436=0,0,const*($T436/omega)*O436*(wz*(G436-U436)-wx*I436)/Z436)</f>
        <v>2.2828505784030275</v>
      </c>
      <c r="AC436" s="5">
        <f>IF(M436=0,0,const*($T436/omega)*O436*(wx*(H436-V436)-wy*(G436-U436))/Z436)</f>
        <v>9.5923865079349309</v>
      </c>
      <c r="AD436" s="5">
        <f t="shared" si="189"/>
        <v>0</v>
      </c>
      <c r="AE436" s="5">
        <f t="shared" si="189"/>
        <v>-12.360768533704892</v>
      </c>
      <c r="AF436" s="5">
        <f t="shared" si="177"/>
        <v>-19.09664191253831</v>
      </c>
      <c r="AG436">
        <f t="shared" si="188"/>
        <v>0</v>
      </c>
    </row>
    <row r="437" spans="1:33" x14ac:dyDescent="0.2">
      <c r="A437">
        <f t="shared" si="178"/>
        <v>4.0499999999999581</v>
      </c>
      <c r="B437" s="5">
        <f t="shared" si="179"/>
        <v>0</v>
      </c>
      <c r="C437" s="5">
        <f t="shared" si="180"/>
        <v>666.11819440802515</v>
      </c>
      <c r="D437" s="5">
        <f t="shared" si="181"/>
        <v>36.414583191006066</v>
      </c>
      <c r="E437" s="2">
        <f t="shared" si="163"/>
        <v>222.03939813600837</v>
      </c>
      <c r="F437" s="2">
        <f t="shared" si="182"/>
        <v>0</v>
      </c>
      <c r="G437" s="3">
        <f t="shared" si="183"/>
        <v>0</v>
      </c>
      <c r="H437" s="3">
        <f t="shared" si="184"/>
        <v>123.65736258531874</v>
      </c>
      <c r="I437" s="3">
        <f t="shared" si="185"/>
        <v>-29.649064186965173</v>
      </c>
      <c r="J437" s="2">
        <f t="shared" si="164"/>
        <v>127.16214188475975</v>
      </c>
      <c r="K437" s="2">
        <f t="shared" si="186"/>
        <v>86.681759975978011</v>
      </c>
      <c r="L437" s="5">
        <f t="shared" si="165"/>
        <v>27.519348599871694</v>
      </c>
      <c r="M437" s="3">
        <f t="shared" si="166"/>
        <v>18.978465257710308</v>
      </c>
      <c r="N437" s="2">
        <v>0</v>
      </c>
      <c r="O437" s="2">
        <f t="shared" si="167"/>
        <v>127.16214188475975</v>
      </c>
      <c r="P437" s="2">
        <f t="shared" si="168"/>
        <v>86.681759975978011</v>
      </c>
      <c r="Q437" s="5">
        <f t="shared" si="169"/>
        <v>1.0717189289065654</v>
      </c>
      <c r="R437" s="5">
        <f t="shared" si="170"/>
        <v>0.16363092094733886</v>
      </c>
      <c r="S437" s="4">
        <f t="shared" si="187"/>
        <v>0.1492461905439551</v>
      </c>
      <c r="T437" s="5">
        <f t="shared" si="171"/>
        <v>0.1071945748125952</v>
      </c>
      <c r="U437" s="4">
        <f t="shared" si="172"/>
        <v>0</v>
      </c>
      <c r="V437" s="4">
        <f t="shared" si="173"/>
        <v>0</v>
      </c>
      <c r="W437" s="5">
        <f t="shared" si="174"/>
        <v>0</v>
      </c>
      <c r="X437" s="5">
        <f t="shared" si="175"/>
        <v>-14.621166644698356</v>
      </c>
      <c r="Y437" s="5">
        <f t="shared" si="176"/>
        <v>3.5056861902409979</v>
      </c>
      <c r="Z437" s="5">
        <f>1</f>
        <v>1</v>
      </c>
      <c r="AA437" s="5">
        <f>IF(M437=0,0,const*($T437/omega)*O437*(wy*I437-wz*(H437-V437))/Z437)</f>
        <v>0</v>
      </c>
      <c r="AB437" s="5">
        <f>IF(M437=0,0,const*($T437/omega)*O437*(wz*(G437-U437)-wx*I437)/Z437)</f>
        <v>2.2965741341161965</v>
      </c>
      <c r="AC437" s="5">
        <f>IF(M437=0,0,const*($T437/omega)*O437*(wx*(H437-V437)-wy*(G437-U437))/Z437)</f>
        <v>9.5783225607276581</v>
      </c>
      <c r="AD437" s="5">
        <f t="shared" si="189"/>
        <v>0</v>
      </c>
      <c r="AE437" s="5">
        <f t="shared" si="189"/>
        <v>-12.324592510582159</v>
      </c>
      <c r="AF437" s="5">
        <f t="shared" si="177"/>
        <v>-19.089991249031343</v>
      </c>
      <c r="AG437">
        <f t="shared" si="188"/>
        <v>0</v>
      </c>
    </row>
    <row r="438" spans="1:33" x14ac:dyDescent="0.2">
      <c r="A438">
        <f t="shared" si="178"/>
        <v>4.0599999999999579</v>
      </c>
      <c r="B438" s="5">
        <f t="shared" si="179"/>
        <v>0</v>
      </c>
      <c r="C438" s="5">
        <f t="shared" si="180"/>
        <v>667.35415180425287</v>
      </c>
      <c r="D438" s="5">
        <f t="shared" si="181"/>
        <v>36.11713804957396</v>
      </c>
      <c r="E438" s="2">
        <f t="shared" si="163"/>
        <v>222.45138393475096</v>
      </c>
      <c r="F438" s="2">
        <f t="shared" si="182"/>
        <v>0</v>
      </c>
      <c r="G438" s="3">
        <f t="shared" si="183"/>
        <v>0</v>
      </c>
      <c r="H438" s="3">
        <f t="shared" si="184"/>
        <v>123.53411666021292</v>
      </c>
      <c r="I438" s="3">
        <f t="shared" si="185"/>
        <v>-29.839964099455486</v>
      </c>
      <c r="J438" s="2">
        <f t="shared" si="164"/>
        <v>127.08698374135679</v>
      </c>
      <c r="K438" s="2">
        <f t="shared" si="186"/>
        <v>86.630527431054389</v>
      </c>
      <c r="L438" s="5">
        <f t="shared" si="165"/>
        <v>27.535623304704057</v>
      </c>
      <c r="M438" s="3">
        <f t="shared" si="166"/>
        <v>18.973224456142628</v>
      </c>
      <c r="N438" s="2">
        <v>0</v>
      </c>
      <c r="O438" s="2">
        <f t="shared" si="167"/>
        <v>127.08698374135679</v>
      </c>
      <c r="P438" s="2">
        <f t="shared" si="168"/>
        <v>86.630527431054389</v>
      </c>
      <c r="Q438" s="5">
        <f t="shared" si="169"/>
        <v>1.0710854982034286</v>
      </c>
      <c r="R438" s="5">
        <f t="shared" si="170"/>
        <v>0.16364073608640906</v>
      </c>
      <c r="S438" s="4">
        <f t="shared" si="187"/>
        <v>0.14929321554091096</v>
      </c>
      <c r="T438" s="5">
        <f t="shared" si="171"/>
        <v>0.10720808362814858</v>
      </c>
      <c r="U438" s="4">
        <f t="shared" si="172"/>
        <v>0</v>
      </c>
      <c r="V438" s="4">
        <f t="shared" si="173"/>
        <v>0</v>
      </c>
      <c r="W438" s="5">
        <f t="shared" si="174"/>
        <v>0</v>
      </c>
      <c r="X438" s="5">
        <f t="shared" si="175"/>
        <v>-14.598836653564405</v>
      </c>
      <c r="Y438" s="5">
        <f t="shared" si="176"/>
        <v>3.5263842363028872</v>
      </c>
      <c r="Z438" s="5">
        <f>1</f>
        <v>1</v>
      </c>
      <c r="AA438" s="5">
        <f>IF(M438=0,0,const*($T438/omega)*O438*(wy*I438-wz*(H438-V438))/Z438)</f>
        <v>0</v>
      </c>
      <c r="AB438" s="5">
        <f>IF(M438=0,0,const*($T438/omega)*O438*(wz*(G438-U438)-wx*I438)/Z438)</f>
        <v>2.3102859663923487</v>
      </c>
      <c r="AC438" s="5">
        <f>IF(M438=0,0,const*($T438/omega)*O438*(wx*(H438-V438)-wy*(G438-U438))/Z438)</f>
        <v>9.5643257190102666</v>
      </c>
      <c r="AD438" s="5">
        <f t="shared" si="189"/>
        <v>0</v>
      </c>
      <c r="AE438" s="5">
        <f t="shared" si="189"/>
        <v>-12.288550687172055</v>
      </c>
      <c r="AF438" s="5">
        <f t="shared" si="177"/>
        <v>-19.083290044686848</v>
      </c>
      <c r="AG438">
        <f t="shared" si="188"/>
        <v>0</v>
      </c>
    </row>
    <row r="439" spans="1:33" x14ac:dyDescent="0.2">
      <c r="A439">
        <f t="shared" si="178"/>
        <v>4.0699999999999577</v>
      </c>
      <c r="B439" s="5">
        <f t="shared" si="179"/>
        <v>0</v>
      </c>
      <c r="C439" s="5">
        <f t="shared" si="180"/>
        <v>668.58887854332056</v>
      </c>
      <c r="D439" s="5">
        <f t="shared" si="181"/>
        <v>35.817784244077174</v>
      </c>
      <c r="E439" s="2">
        <f t="shared" si="163"/>
        <v>222.86295951444018</v>
      </c>
      <c r="F439" s="2">
        <f t="shared" si="182"/>
        <v>0</v>
      </c>
      <c r="G439" s="3">
        <f t="shared" si="183"/>
        <v>0</v>
      </c>
      <c r="H439" s="3">
        <f t="shared" si="184"/>
        <v>123.41123115334119</v>
      </c>
      <c r="I439" s="3">
        <f t="shared" si="185"/>
        <v>-30.030796999902353</v>
      </c>
      <c r="J439" s="2">
        <f t="shared" si="164"/>
        <v>127.01252199382846</v>
      </c>
      <c r="K439" s="2">
        <f t="shared" si="186"/>
        <v>86.579769593611758</v>
      </c>
      <c r="L439" s="5">
        <f t="shared" si="165"/>
        <v>27.55176620619411</v>
      </c>
      <c r="M439" s="3">
        <f t="shared" si="166"/>
        <v>18.967977886432422</v>
      </c>
      <c r="N439" s="2">
        <v>0</v>
      </c>
      <c r="O439" s="2">
        <f t="shared" si="167"/>
        <v>127.01252199382846</v>
      </c>
      <c r="P439" s="2">
        <f t="shared" si="168"/>
        <v>86.579769593611758</v>
      </c>
      <c r="Q439" s="5">
        <f t="shared" si="169"/>
        <v>1.0704579367049922</v>
      </c>
      <c r="R439" s="5">
        <f t="shared" si="170"/>
        <v>0.16365038245781222</v>
      </c>
      <c r="S439" s="4">
        <f t="shared" si="187"/>
        <v>0.1493394319605281</v>
      </c>
      <c r="T439" s="5">
        <f t="shared" si="171"/>
        <v>0.10722135767730165</v>
      </c>
      <c r="U439" s="4">
        <f t="shared" si="172"/>
        <v>0</v>
      </c>
      <c r="V439" s="4">
        <f t="shared" si="173"/>
        <v>0</v>
      </c>
      <c r="W439" s="5">
        <f t="shared" si="174"/>
        <v>0</v>
      </c>
      <c r="X439" s="5">
        <f t="shared" si="175"/>
        <v>-14.576628566599034</v>
      </c>
      <c r="Y439" s="5">
        <f t="shared" si="176"/>
        <v>3.5470659301875198</v>
      </c>
      <c r="Z439" s="5">
        <f>1</f>
        <v>1</v>
      </c>
      <c r="AA439" s="5">
        <f>IF(M439=0,0,const*($T439/omega)*O439*(wy*I439-wz*(H439-V439))/Z439)</f>
        <v>0</v>
      </c>
      <c r="AB439" s="5">
        <f>IF(M439=0,0,const*($T439/omega)*O439*(wz*(G439-U439)-wx*I439)/Z439)</f>
        <v>2.3239861654686362</v>
      </c>
      <c r="AC439" s="5">
        <f>IF(M439=0,0,const*($T439/omega)*O439*(wx*(H439-V439)-wy*(G439-U439))/Z439)</f>
        <v>9.5503956776355086</v>
      </c>
      <c r="AD439" s="5">
        <f t="shared" si="189"/>
        <v>0</v>
      </c>
      <c r="AE439" s="5">
        <f t="shared" si="189"/>
        <v>-12.252642401130398</v>
      </c>
      <c r="AF439" s="5">
        <f t="shared" si="177"/>
        <v>-19.076538392176971</v>
      </c>
      <c r="AG439">
        <f t="shared" si="188"/>
        <v>0</v>
      </c>
    </row>
    <row r="440" spans="1:33" x14ac:dyDescent="0.2">
      <c r="A440">
        <f t="shared" si="178"/>
        <v>4.0799999999999574</v>
      </c>
      <c r="B440" s="5">
        <f t="shared" si="179"/>
        <v>0</v>
      </c>
      <c r="C440" s="5">
        <f t="shared" si="180"/>
        <v>669.82237822273396</v>
      </c>
      <c r="D440" s="5">
        <f t="shared" si="181"/>
        <v>35.516522447158543</v>
      </c>
      <c r="E440" s="2">
        <f t="shared" si="163"/>
        <v>223.27412607424466</v>
      </c>
      <c r="F440" s="2">
        <f t="shared" si="182"/>
        <v>0</v>
      </c>
      <c r="G440" s="3">
        <f t="shared" si="183"/>
        <v>0</v>
      </c>
      <c r="H440" s="3">
        <f t="shared" si="184"/>
        <v>123.28870472932989</v>
      </c>
      <c r="I440" s="3">
        <f t="shared" si="185"/>
        <v>-30.221562383824121</v>
      </c>
      <c r="J440" s="2">
        <f t="shared" si="164"/>
        <v>126.93875510164445</v>
      </c>
      <c r="K440" s="2">
        <f t="shared" si="186"/>
        <v>86.529485413527226</v>
      </c>
      <c r="L440" s="5">
        <f t="shared" si="165"/>
        <v>27.567777141275236</v>
      </c>
      <c r="M440" s="3">
        <f t="shared" si="166"/>
        <v>18.962725475015667</v>
      </c>
      <c r="N440" s="2">
        <v>0</v>
      </c>
      <c r="O440" s="2">
        <f t="shared" si="167"/>
        <v>126.93875510164445</v>
      </c>
      <c r="P440" s="2">
        <f t="shared" si="168"/>
        <v>86.529485413527226</v>
      </c>
      <c r="Q440" s="5">
        <f t="shared" si="169"/>
        <v>1.0698362314277106</v>
      </c>
      <c r="R440" s="5">
        <f t="shared" si="170"/>
        <v>0.16365985986323087</v>
      </c>
      <c r="S440" s="4">
        <f t="shared" si="187"/>
        <v>0.14938483885265399</v>
      </c>
      <c r="T440" s="5">
        <f t="shared" si="171"/>
        <v>0.10723439681783968</v>
      </c>
      <c r="U440" s="4">
        <f t="shared" si="172"/>
        <v>0</v>
      </c>
      <c r="V440" s="4">
        <f t="shared" si="173"/>
        <v>0</v>
      </c>
      <c r="W440" s="5">
        <f t="shared" si="174"/>
        <v>0</v>
      </c>
      <c r="X440" s="5">
        <f t="shared" si="175"/>
        <v>-14.554541814330118</v>
      </c>
      <c r="Y440" s="5">
        <f t="shared" si="176"/>
        <v>3.5677314833944651</v>
      </c>
      <c r="Z440" s="5">
        <f>1</f>
        <v>1</v>
      </c>
      <c r="AA440" s="5">
        <f>IF(M440=0,0,const*($T440/omega)*O440*(wy*I440-wz*(H440-V440))/Z440)</f>
        <v>0</v>
      </c>
      <c r="AB440" s="5">
        <f>IF(M440=0,0,const*($T440/omega)*O440*(wz*(G440-U440)-wx*I440)/Z440)</f>
        <v>2.3376748211170635</v>
      </c>
      <c r="AC440" s="5">
        <f>IF(M440=0,0,const*($T440/omega)*O440*(wx*(H440-V440)-wy*(G440-U440))/Z440)</f>
        <v>9.5365321327051085</v>
      </c>
      <c r="AD440" s="5">
        <f t="shared" si="189"/>
        <v>0</v>
      </c>
      <c r="AE440" s="5">
        <f t="shared" si="189"/>
        <v>-12.216866993213054</v>
      </c>
      <c r="AF440" s="5">
        <f t="shared" si="177"/>
        <v>-19.069736383900427</v>
      </c>
      <c r="AG440">
        <f t="shared" si="188"/>
        <v>0</v>
      </c>
    </row>
    <row r="441" spans="1:33" x14ac:dyDescent="0.2">
      <c r="A441">
        <f t="shared" si="178"/>
        <v>4.0899999999999572</v>
      </c>
      <c r="B441" s="5">
        <f t="shared" si="179"/>
        <v>0</v>
      </c>
      <c r="C441" s="5">
        <f t="shared" si="180"/>
        <v>671.05465442667753</v>
      </c>
      <c r="D441" s="5">
        <f t="shared" si="181"/>
        <v>35.213353336501108</v>
      </c>
      <c r="E441" s="2">
        <f t="shared" si="163"/>
        <v>223.68488480889252</v>
      </c>
      <c r="F441" s="2">
        <f t="shared" si="182"/>
        <v>0</v>
      </c>
      <c r="G441" s="3">
        <f t="shared" si="183"/>
        <v>0</v>
      </c>
      <c r="H441" s="3">
        <f t="shared" si="184"/>
        <v>123.16653605939776</v>
      </c>
      <c r="I441" s="3">
        <f t="shared" si="185"/>
        <v>-30.412259747663125</v>
      </c>
      <c r="J441" s="2">
        <f t="shared" si="164"/>
        <v>126.86568152116733</v>
      </c>
      <c r="K441" s="2">
        <f t="shared" si="186"/>
        <v>86.479673838559862</v>
      </c>
      <c r="L441" s="5">
        <f t="shared" si="165"/>
        <v>27.583655952292947</v>
      </c>
      <c r="M441" s="3">
        <f t="shared" si="166"/>
        <v>18.957467148823813</v>
      </c>
      <c r="N441" s="2">
        <v>0</v>
      </c>
      <c r="O441" s="2">
        <f t="shared" si="167"/>
        <v>126.86568152116733</v>
      </c>
      <c r="P441" s="2">
        <f t="shared" si="168"/>
        <v>86.479673838559862</v>
      </c>
      <c r="Q441" s="5">
        <f t="shared" si="169"/>
        <v>1.0692203693618505</v>
      </c>
      <c r="R441" s="5">
        <f t="shared" si="170"/>
        <v>0.16366916811148022</v>
      </c>
      <c r="S441" s="4">
        <f t="shared" si="187"/>
        <v>0.14942943530130953</v>
      </c>
      <c r="T441" s="5">
        <f t="shared" si="171"/>
        <v>0.10724720091516413</v>
      </c>
      <c r="U441" s="4">
        <f t="shared" si="172"/>
        <v>0</v>
      </c>
      <c r="V441" s="4">
        <f t="shared" si="173"/>
        <v>0</v>
      </c>
      <c r="W441" s="5">
        <f t="shared" si="174"/>
        <v>0</v>
      </c>
      <c r="X441" s="5">
        <f t="shared" si="175"/>
        <v>-14.532575829903095</v>
      </c>
      <c r="Y441" s="5">
        <f t="shared" si="176"/>
        <v>3.5883811064434101</v>
      </c>
      <c r="Z441" s="5">
        <f>1</f>
        <v>1</v>
      </c>
      <c r="AA441" s="5">
        <f>IF(M441=0,0,const*($T441/omega)*O441*(wy*I441-wz*(H441-V441))/Z441)</f>
        <v>0</v>
      </c>
      <c r="AB441" s="5">
        <f>IF(M441=0,0,const*($T441/omega)*O441*(wz*(G441-U441)-wx*I441)/Z441)</f>
        <v>2.3513520226411013</v>
      </c>
      <c r="AC441" s="5">
        <f>IF(M441=0,0,const*($T441/omega)*O441*(wx*(H441-V441)-wy*(G441-U441))/Z441)</f>
        <v>9.522734781561784</v>
      </c>
      <c r="AD441" s="5">
        <f t="shared" si="189"/>
        <v>0</v>
      </c>
      <c r="AE441" s="5">
        <f t="shared" si="189"/>
        <v>-12.181223807261993</v>
      </c>
      <c r="AF441" s="5">
        <f t="shared" si="177"/>
        <v>-19.062884111994805</v>
      </c>
      <c r="AG441">
        <f t="shared" si="188"/>
        <v>0</v>
      </c>
    </row>
    <row r="442" spans="1:33" x14ac:dyDescent="0.2">
      <c r="A442">
        <f t="shared" si="178"/>
        <v>4.099999999999957</v>
      </c>
      <c r="B442" s="5">
        <f t="shared" si="179"/>
        <v>0</v>
      </c>
      <c r="C442" s="5">
        <f t="shared" si="180"/>
        <v>672.28571072608111</v>
      </c>
      <c r="D442" s="5">
        <f t="shared" si="181"/>
        <v>34.908277594818877</v>
      </c>
      <c r="E442" s="2">
        <f t="shared" si="163"/>
        <v>224.09523690869369</v>
      </c>
      <c r="F442" s="2">
        <f t="shared" si="182"/>
        <v>0</v>
      </c>
      <c r="G442" s="3">
        <f t="shared" si="183"/>
        <v>0</v>
      </c>
      <c r="H442" s="3">
        <f t="shared" si="184"/>
        <v>123.04472382132514</v>
      </c>
      <c r="I442" s="3">
        <f t="shared" si="185"/>
        <v>-30.602888588783074</v>
      </c>
      <c r="J442" s="2">
        <f t="shared" si="164"/>
        <v>126.79329970563764</v>
      </c>
      <c r="K442" s="2">
        <f t="shared" si="186"/>
        <v>86.430333814340585</v>
      </c>
      <c r="L442" s="5">
        <f t="shared" si="165"/>
        <v>27.59940248701843</v>
      </c>
      <c r="M442" s="3">
        <f t="shared" si="166"/>
        <v>18.952202835284652</v>
      </c>
      <c r="N442" s="2">
        <v>0</v>
      </c>
      <c r="O442" s="2">
        <f t="shared" si="167"/>
        <v>126.79329970563764</v>
      </c>
      <c r="P442" s="2">
        <f t="shared" si="168"/>
        <v>86.430333814340585</v>
      </c>
      <c r="Q442" s="5">
        <f t="shared" si="169"/>
        <v>1.068610337471368</v>
      </c>
      <c r="R442" s="5">
        <f t="shared" si="170"/>
        <v>0.16367830701852512</v>
      </c>
      <c r="S442" s="4">
        <f t="shared" si="187"/>
        <v>0.14947322042476963</v>
      </c>
      <c r="T442" s="5">
        <f t="shared" si="171"/>
        <v>0.10725976984230368</v>
      </c>
      <c r="U442" s="4">
        <f t="shared" si="172"/>
        <v>0</v>
      </c>
      <c r="V442" s="4">
        <f t="shared" si="173"/>
        <v>0</v>
      </c>
      <c r="W442" s="5">
        <f t="shared" si="174"/>
        <v>0</v>
      </c>
      <c r="X442" s="5">
        <f t="shared" si="175"/>
        <v>-14.510730049063779</v>
      </c>
      <c r="Y442" s="5">
        <f t="shared" si="176"/>
        <v>3.6090150088698305</v>
      </c>
      <c r="Z442" s="5">
        <f>1</f>
        <v>1</v>
      </c>
      <c r="AA442" s="5">
        <f>IF(M442=0,0,const*($T442/omega)*O442*(wy*I442-wz*(H442-V442))/Z442)</f>
        <v>0</v>
      </c>
      <c r="AB442" s="5">
        <f>IF(M442=0,0,const*($T442/omega)*O442*(wz*(G442-U442)-wx*I442)/Z442)</f>
        <v>2.3650178588723141</v>
      </c>
      <c r="AC442" s="5">
        <f>IF(M442=0,0,const*($T442/omega)*O442*(wx*(H442-V442)-wy*(G442-U442))/Z442)</f>
        <v>9.5090033227813464</v>
      </c>
      <c r="AD442" s="5">
        <f t="shared" si="189"/>
        <v>0</v>
      </c>
      <c r="AE442" s="5">
        <f t="shared" si="189"/>
        <v>-12.145712190191466</v>
      </c>
      <c r="AF442" s="5">
        <f t="shared" si="177"/>
        <v>-19.055981668348821</v>
      </c>
      <c r="AG442">
        <f t="shared" si="188"/>
        <v>0</v>
      </c>
    </row>
    <row r="443" spans="1:33" x14ac:dyDescent="0.2">
      <c r="A443">
        <f t="shared" si="178"/>
        <v>4.1099999999999568</v>
      </c>
      <c r="B443" s="5">
        <f t="shared" si="179"/>
        <v>0</v>
      </c>
      <c r="C443" s="5">
        <f t="shared" si="180"/>
        <v>673.51555067868492</v>
      </c>
      <c r="D443" s="5">
        <f t="shared" si="181"/>
        <v>34.601295909847629</v>
      </c>
      <c r="E443" s="2">
        <f t="shared" si="163"/>
        <v>224.50518355956163</v>
      </c>
      <c r="F443" s="2">
        <f t="shared" si="182"/>
        <v>0</v>
      </c>
      <c r="G443" s="3">
        <f t="shared" si="183"/>
        <v>0</v>
      </c>
      <c r="H443" s="3">
        <f t="shared" si="184"/>
        <v>122.92326669942322</v>
      </c>
      <c r="I443" s="3">
        <f t="shared" si="185"/>
        <v>-30.793448405466563</v>
      </c>
      <c r="J443" s="2">
        <f t="shared" si="164"/>
        <v>126.72160810515963</v>
      </c>
      <c r="K443" s="2">
        <f t="shared" si="186"/>
        <v>86.381464284362394</v>
      </c>
      <c r="L443" s="5">
        <f t="shared" si="165"/>
        <v>27.615016598661402</v>
      </c>
      <c r="M443" s="3">
        <f t="shared" si="166"/>
        <v>18.946932462323144</v>
      </c>
      <c r="N443" s="2">
        <v>0</v>
      </c>
      <c r="O443" s="2">
        <f t="shared" si="167"/>
        <v>126.72160810515963</v>
      </c>
      <c r="P443" s="2">
        <f t="shared" si="168"/>
        <v>86.381464284362394</v>
      </c>
      <c r="Q443" s="5">
        <f t="shared" si="169"/>
        <v>1.0680061226937849</v>
      </c>
      <c r="R443" s="5">
        <f t="shared" si="170"/>
        <v>0.163687276407496</v>
      </c>
      <c r="S443" s="4">
        <f t="shared" si="187"/>
        <v>0.14951619337564021</v>
      </c>
      <c r="T443" s="5">
        <f t="shared" si="171"/>
        <v>0.10727210347992461</v>
      </c>
      <c r="U443" s="4">
        <f t="shared" si="172"/>
        <v>0</v>
      </c>
      <c r="V443" s="4">
        <f t="shared" si="173"/>
        <v>0</v>
      </c>
      <c r="W443" s="5">
        <f t="shared" si="174"/>
        <v>0</v>
      </c>
      <c r="X443" s="5">
        <f t="shared" si="175"/>
        <v>-14.489003910141331</v>
      </c>
      <c r="Y443" s="5">
        <f t="shared" si="176"/>
        <v>3.6296333992207015</v>
      </c>
      <c r="Z443" s="5">
        <f>1</f>
        <v>1</v>
      </c>
      <c r="AA443" s="5">
        <f>IF(M443=0,0,const*($T443/omega)*O443*(wy*I443-wz*(H443-V443))/Z443)</f>
        <v>0</v>
      </c>
      <c r="AB443" s="5">
        <f>IF(M443=0,0,const*($T443/omega)*O443*(wz*(G443-U443)-wx*I443)/Z443)</f>
        <v>2.3786724181670302</v>
      </c>
      <c r="AC443" s="5">
        <f>IF(M443=0,0,const*($T443/omega)*O443*(wx*(H443-V443)-wy*(G443-U443))/Z443)</f>
        <v>9.4953374561648953</v>
      </c>
      <c r="AD443" s="5">
        <f t="shared" si="189"/>
        <v>0</v>
      </c>
      <c r="AE443" s="5">
        <f t="shared" si="189"/>
        <v>-12.110331491974302</v>
      </c>
      <c r="AF443" s="5">
        <f t="shared" si="177"/>
        <v>-19.049029144614401</v>
      </c>
      <c r="AG443">
        <f t="shared" si="188"/>
        <v>0</v>
      </c>
    </row>
    <row r="444" spans="1:33" x14ac:dyDescent="0.2">
      <c r="A444">
        <f t="shared" si="178"/>
        <v>4.1199999999999566</v>
      </c>
      <c r="B444" s="5">
        <f t="shared" si="179"/>
        <v>0</v>
      </c>
      <c r="C444" s="5">
        <f t="shared" si="180"/>
        <v>674.7441778291045</v>
      </c>
      <c r="D444" s="5">
        <f t="shared" si="181"/>
        <v>34.292408974335736</v>
      </c>
      <c r="E444" s="2">
        <f t="shared" si="163"/>
        <v>224.91472594303482</v>
      </c>
      <c r="F444" s="2">
        <f t="shared" si="182"/>
        <v>0</v>
      </c>
      <c r="G444" s="3">
        <f t="shared" si="183"/>
        <v>0</v>
      </c>
      <c r="H444" s="3">
        <f t="shared" si="184"/>
        <v>122.80216338450349</v>
      </c>
      <c r="I444" s="3">
        <f t="shared" si="185"/>
        <v>-30.983938696912706</v>
      </c>
      <c r="J444" s="2">
        <f t="shared" si="164"/>
        <v>126.65060516668814</v>
      </c>
      <c r="K444" s="2">
        <f t="shared" si="186"/>
        <v>86.333064189971452</v>
      </c>
      <c r="L444" s="5">
        <f t="shared" si="165"/>
        <v>27.630498145882306</v>
      </c>
      <c r="M444" s="3">
        <f t="shared" si="166"/>
        <v>18.941655958362237</v>
      </c>
      <c r="N444" s="2">
        <v>0</v>
      </c>
      <c r="O444" s="2">
        <f t="shared" si="167"/>
        <v>126.65060516668814</v>
      </c>
      <c r="P444" s="2">
        <f t="shared" si="168"/>
        <v>86.333064189971452</v>
      </c>
      <c r="Q444" s="5">
        <f t="shared" si="169"/>
        <v>1.0674077119400807</v>
      </c>
      <c r="R444" s="5">
        <f t="shared" si="170"/>
        <v>0.16369607610870404</v>
      </c>
      <c r="S444" s="4">
        <f t="shared" si="187"/>
        <v>0.14955835334093062</v>
      </c>
      <c r="T444" s="5">
        <f t="shared" si="171"/>
        <v>0.10728420171634033</v>
      </c>
      <c r="U444" s="4">
        <f t="shared" si="172"/>
        <v>0</v>
      </c>
      <c r="V444" s="4">
        <f t="shared" si="173"/>
        <v>0</v>
      </c>
      <c r="W444" s="5">
        <f t="shared" si="174"/>
        <v>0</v>
      </c>
      <c r="X444" s="5">
        <f t="shared" si="175"/>
        <v>-14.467396854031474</v>
      </c>
      <c r="Y444" s="5">
        <f t="shared" si="176"/>
        <v>3.6502364850502693</v>
      </c>
      <c r="Z444" s="5">
        <f>1</f>
        <v>1</v>
      </c>
      <c r="AA444" s="5">
        <f>IF(M444=0,0,const*($T444/omega)*O444*(wy*I444-wz*(H444-V444))/Z444)</f>
        <v>0</v>
      </c>
      <c r="AB444" s="5">
        <f>IF(M444=0,0,const*($T444/omega)*O444*(wz*(G444-U444)-wx*I444)/Z444)</f>
        <v>2.3923157884030388</v>
      </c>
      <c r="AC444" s="5">
        <f>IF(M444=0,0,const*($T444/omega)*O444*(wx*(H444-V444)-wy*(G444-U444))/Z444)</f>
        <v>9.4817368827311217</v>
      </c>
      <c r="AD444" s="5">
        <f t="shared" si="189"/>
        <v>0</v>
      </c>
      <c r="AE444" s="5">
        <f t="shared" si="189"/>
        <v>-12.075081065628435</v>
      </c>
      <c r="AF444" s="5">
        <f t="shared" si="177"/>
        <v>-19.042026632218608</v>
      </c>
      <c r="AG444">
        <f t="shared" si="188"/>
        <v>0</v>
      </c>
    </row>
    <row r="445" spans="1:33" x14ac:dyDescent="0.2">
      <c r="A445">
        <f t="shared" si="178"/>
        <v>4.1299999999999564</v>
      </c>
      <c r="B445" s="5">
        <f t="shared" si="179"/>
        <v>0</v>
      </c>
      <c r="C445" s="5">
        <f t="shared" si="180"/>
        <v>675.9715957088963</v>
      </c>
      <c r="D445" s="5">
        <f t="shared" si="181"/>
        <v>33.981617486034999</v>
      </c>
      <c r="E445" s="2">
        <f t="shared" si="163"/>
        <v>225.32386523629876</v>
      </c>
      <c r="F445" s="2">
        <f t="shared" si="182"/>
        <v>0</v>
      </c>
      <c r="G445" s="3">
        <f t="shared" si="183"/>
        <v>0</v>
      </c>
      <c r="H445" s="3">
        <f t="shared" si="184"/>
        <v>122.6814125738472</v>
      </c>
      <c r="I445" s="3">
        <f t="shared" si="185"/>
        <v>-31.174358963234891</v>
      </c>
      <c r="J445" s="2">
        <f t="shared" si="164"/>
        <v>126.58028933401573</v>
      </c>
      <c r="K445" s="2">
        <f t="shared" si="186"/>
        <v>86.285132470358363</v>
      </c>
      <c r="L445" s="5">
        <f t="shared" si="165"/>
        <v>27.645846992803921</v>
      </c>
      <c r="M445" s="3">
        <f t="shared" si="166"/>
        <v>18.936373252323683</v>
      </c>
      <c r="N445" s="2">
        <v>0</v>
      </c>
      <c r="O445" s="2">
        <f t="shared" si="167"/>
        <v>126.58028933401573</v>
      </c>
      <c r="P445" s="2">
        <f t="shared" si="168"/>
        <v>86.285132470358363</v>
      </c>
      <c r="Q445" s="5">
        <f t="shared" si="169"/>
        <v>1.0668150920945834</v>
      </c>
      <c r="R445" s="5">
        <f t="shared" si="170"/>
        <v>0.1637047059596555</v>
      </c>
      <c r="S445" s="4">
        <f t="shared" si="187"/>
        <v>0.14959969954212246</v>
      </c>
      <c r="T445" s="5">
        <f t="shared" si="171"/>
        <v>0.10729606444752013</v>
      </c>
      <c r="U445" s="4">
        <f t="shared" si="172"/>
        <v>0</v>
      </c>
      <c r="V445" s="4">
        <f t="shared" si="173"/>
        <v>0</v>
      </c>
      <c r="W445" s="5">
        <f t="shared" si="174"/>
        <v>0</v>
      </c>
      <c r="X445" s="5">
        <f t="shared" si="175"/>
        <v>-14.445908324179783</v>
      </c>
      <c r="Y445" s="5">
        <f t="shared" si="176"/>
        <v>3.6708244729158417</v>
      </c>
      <c r="Z445" s="5">
        <f>1</f>
        <v>1</v>
      </c>
      <c r="AA445" s="5">
        <f>IF(M445=0,0,const*($T445/omega)*O445*(wy*I445-wz*(H445-V445))/Z445)</f>
        <v>0</v>
      </c>
      <c r="AB445" s="5">
        <f>IF(M445=0,0,const*($T445/omega)*O445*(wz*(G445-U445)-wx*I445)/Z445)</f>
        <v>2.4059480569763156</v>
      </c>
      <c r="AC445" s="5">
        <f>IF(M445=0,0,const*($T445/omega)*O445*(wx*(H445-V445)-wy*(G445-U445))/Z445)</f>
        <v>9.4682013047086819</v>
      </c>
      <c r="AD445" s="5">
        <f t="shared" si="189"/>
        <v>0</v>
      </c>
      <c r="AE445" s="5">
        <f t="shared" si="189"/>
        <v>-12.039960267203467</v>
      </c>
      <c r="AF445" s="5">
        <f t="shared" si="177"/>
        <v>-19.034974222375475</v>
      </c>
      <c r="AG445">
        <f t="shared" si="188"/>
        <v>0</v>
      </c>
    </row>
    <row r="446" spans="1:33" x14ac:dyDescent="0.2">
      <c r="A446">
        <f t="shared" si="178"/>
        <v>4.1399999999999562</v>
      </c>
      <c r="B446" s="5">
        <f t="shared" si="179"/>
        <v>0</v>
      </c>
      <c r="C446" s="5">
        <f t="shared" si="180"/>
        <v>677.19780783662134</v>
      </c>
      <c r="D446" s="5">
        <f t="shared" si="181"/>
        <v>33.668922147691532</v>
      </c>
      <c r="E446" s="2">
        <f t="shared" si="163"/>
        <v>225.7326026122071</v>
      </c>
      <c r="F446" s="2">
        <f t="shared" si="182"/>
        <v>0</v>
      </c>
      <c r="G446" s="3">
        <f t="shared" si="183"/>
        <v>0</v>
      </c>
      <c r="H446" s="3">
        <f t="shared" si="184"/>
        <v>122.56101297117516</v>
      </c>
      <c r="I446" s="3">
        <f t="shared" si="185"/>
        <v>-31.364708705458646</v>
      </c>
      <c r="J446" s="2">
        <f t="shared" si="164"/>
        <v>126.51065904776102</v>
      </c>
      <c r="K446" s="2">
        <f t="shared" si="186"/>
        <v>86.237668062550114</v>
      </c>
      <c r="L446" s="5">
        <f t="shared" si="165"/>
        <v>27.661063009022254</v>
      </c>
      <c r="M446" s="3">
        <f t="shared" si="166"/>
        <v>18.931084273628823</v>
      </c>
      <c r="N446" s="2">
        <v>0</v>
      </c>
      <c r="O446" s="2">
        <f t="shared" si="167"/>
        <v>126.51065904776102</v>
      </c>
      <c r="P446" s="2">
        <f t="shared" si="168"/>
        <v>86.237668062550114</v>
      </c>
      <c r="Q446" s="5">
        <f t="shared" si="169"/>
        <v>1.066228250014871</v>
      </c>
      <c r="R446" s="5">
        <f t="shared" si="170"/>
        <v>0.16371316580506526</v>
      </c>
      <c r="S446" s="4">
        <f t="shared" si="187"/>
        <v>0.14964023123523412</v>
      </c>
      <c r="T446" s="5">
        <f t="shared" si="171"/>
        <v>0.10730769157709723</v>
      </c>
      <c r="U446" s="4">
        <f t="shared" si="172"/>
        <v>0</v>
      </c>
      <c r="V446" s="4">
        <f t="shared" si="173"/>
        <v>0</v>
      </c>
      <c r="W446" s="5">
        <f t="shared" si="174"/>
        <v>0</v>
      </c>
      <c r="X446" s="5">
        <f t="shared" si="175"/>
        <v>-14.42453776656526</v>
      </c>
      <c r="Y446" s="5">
        <f t="shared" si="176"/>
        <v>3.6913975683736422</v>
      </c>
      <c r="Z446" s="5">
        <f>1</f>
        <v>1</v>
      </c>
      <c r="AA446" s="5">
        <f>IF(M446=0,0,const*($T446/omega)*O446*(wy*I446-wz*(H446-V446))/Z446)</f>
        <v>0</v>
      </c>
      <c r="AB446" s="5">
        <f>IF(M446=0,0,const*($T446/omega)*O446*(wz*(G446-U446)-wx*I446)/Z446)</f>
        <v>2.4195693107977863</v>
      </c>
      <c r="AC446" s="5">
        <f>IF(M446=0,0,const*($T446/omega)*O446*(wx*(H446-V446)-wy*(G446-U446))/Z446)</f>
        <v>9.4547304255287035</v>
      </c>
      <c r="AD446" s="5">
        <f t="shared" si="189"/>
        <v>0</v>
      </c>
      <c r="AE446" s="5">
        <f t="shared" si="189"/>
        <v>-12.004968455767473</v>
      </c>
      <c r="AF446" s="5">
        <f t="shared" si="177"/>
        <v>-19.027872006097653</v>
      </c>
      <c r="AG446">
        <f t="shared" si="188"/>
        <v>0</v>
      </c>
    </row>
    <row r="447" spans="1:33" x14ac:dyDescent="0.2">
      <c r="A447">
        <f t="shared" si="178"/>
        <v>4.1499999999999559</v>
      </c>
      <c r="B447" s="5">
        <f t="shared" si="179"/>
        <v>0</v>
      </c>
      <c r="C447" s="5">
        <f t="shared" si="180"/>
        <v>678.42281771791033</v>
      </c>
      <c r="D447" s="5">
        <f t="shared" si="181"/>
        <v>33.354323667036645</v>
      </c>
      <c r="E447" s="2">
        <f t="shared" si="163"/>
        <v>226.14093923930344</v>
      </c>
      <c r="F447" s="2">
        <f t="shared" si="182"/>
        <v>0</v>
      </c>
      <c r="G447" s="3">
        <f t="shared" si="183"/>
        <v>0</v>
      </c>
      <c r="H447" s="3">
        <f t="shared" si="184"/>
        <v>122.44096328661749</v>
      </c>
      <c r="I447" s="3">
        <f t="shared" si="185"/>
        <v>-31.554987425519624</v>
      </c>
      <c r="J447" s="2">
        <f t="shared" si="164"/>
        <v>126.44171274535755</v>
      </c>
      <c r="K447" s="2">
        <f t="shared" si="186"/>
        <v>86.190669901402558</v>
      </c>
      <c r="L447" s="5">
        <f t="shared" si="165"/>
        <v>27.676146069616838</v>
      </c>
      <c r="M447" s="3">
        <f t="shared" si="166"/>
        <v>18.925788952199369</v>
      </c>
      <c r="N447" s="2">
        <v>0</v>
      </c>
      <c r="O447" s="2">
        <f t="shared" si="167"/>
        <v>126.44171274535755</v>
      </c>
      <c r="P447" s="2">
        <f t="shared" si="168"/>
        <v>86.190669901402558</v>
      </c>
      <c r="Q447" s="5">
        <f t="shared" si="169"/>
        <v>1.0656471725316774</v>
      </c>
      <c r="R447" s="5">
        <f t="shared" si="170"/>
        <v>0.16372145549686937</v>
      </c>
      <c r="S447" s="4">
        <f t="shared" si="187"/>
        <v>0.14967994771088111</v>
      </c>
      <c r="T447" s="5">
        <f t="shared" si="171"/>
        <v>0.10731908301637588</v>
      </c>
      <c r="U447" s="4">
        <f t="shared" si="172"/>
        <v>0</v>
      </c>
      <c r="V447" s="4">
        <f t="shared" si="173"/>
        <v>0</v>
      </c>
      <c r="W447" s="5">
        <f t="shared" si="174"/>
        <v>0</v>
      </c>
      <c r="X447" s="5">
        <f t="shared" si="175"/>
        <v>-14.403284629683997</v>
      </c>
      <c r="Y447" s="5">
        <f t="shared" si="176"/>
        <v>3.7119559759746994</v>
      </c>
      <c r="Z447" s="5">
        <f>1</f>
        <v>1</v>
      </c>
      <c r="AA447" s="5">
        <f>IF(M447=0,0,const*($T447/omega)*O447*(wy*I447-wz*(H447-V447))/Z447)</f>
        <v>0</v>
      </c>
      <c r="AB447" s="5">
        <f>IF(M447=0,0,const*($T447/omega)*O447*(wz*(G447-U447)-wx*I447)/Z447)</f>
        <v>2.4331796362901175</v>
      </c>
      <c r="AC447" s="5">
        <f>IF(M447=0,0,const*($T447/omega)*O447*(wx*(H447-V447)-wy*(G447-U447))/Z447)</f>
        <v>9.4413239498173454</v>
      </c>
      <c r="AD447" s="5">
        <f t="shared" si="189"/>
        <v>0</v>
      </c>
      <c r="AE447" s="5">
        <f t="shared" si="189"/>
        <v>-11.970104993393878</v>
      </c>
      <c r="AF447" s="5">
        <f t="shared" si="177"/>
        <v>-19.020720074207954</v>
      </c>
      <c r="AG447">
        <f t="shared" si="188"/>
        <v>0</v>
      </c>
    </row>
    <row r="448" spans="1:33" x14ac:dyDescent="0.2">
      <c r="A448">
        <f t="shared" si="178"/>
        <v>4.1599999999999557</v>
      </c>
      <c r="B448" s="5">
        <f t="shared" si="179"/>
        <v>0</v>
      </c>
      <c r="C448" s="5">
        <f t="shared" si="180"/>
        <v>679.64662884552683</v>
      </c>
      <c r="D448" s="5">
        <f t="shared" si="181"/>
        <v>33.037822756777736</v>
      </c>
      <c r="E448" s="2">
        <f t="shared" si="163"/>
        <v>226.54887628184227</v>
      </c>
      <c r="F448" s="2">
        <f t="shared" si="182"/>
        <v>0</v>
      </c>
      <c r="G448" s="3">
        <f t="shared" si="183"/>
        <v>0</v>
      </c>
      <c r="H448" s="3">
        <f t="shared" si="184"/>
        <v>122.32126223668355</v>
      </c>
      <c r="I448" s="3">
        <f t="shared" si="185"/>
        <v>-31.745194626261704</v>
      </c>
      <c r="J448" s="2">
        <f t="shared" si="164"/>
        <v>126.37344886104336</v>
      </c>
      <c r="K448" s="2">
        <f t="shared" si="186"/>
        <v>86.144136919593279</v>
      </c>
      <c r="L448" s="5">
        <f t="shared" si="165"/>
        <v>27.691096055160376</v>
      </c>
      <c r="M448" s="3">
        <f t="shared" si="166"/>
        <v>18.920487218458174</v>
      </c>
      <c r="N448" s="2">
        <v>0</v>
      </c>
      <c r="O448" s="2">
        <f t="shared" si="167"/>
        <v>126.37344886104336</v>
      </c>
      <c r="P448" s="2">
        <f t="shared" si="168"/>
        <v>86.144136919593279</v>
      </c>
      <c r="Q448" s="5">
        <f t="shared" si="169"/>
        <v>1.0650718464488049</v>
      </c>
      <c r="R448" s="5">
        <f t="shared" si="170"/>
        <v>0.16372957489423687</v>
      </c>
      <c r="S448" s="4">
        <f t="shared" si="187"/>
        <v>0.1497188482943328</v>
      </c>
      <c r="T448" s="5">
        <f t="shared" si="171"/>
        <v>0.1073302386843379</v>
      </c>
      <c r="U448" s="4">
        <f t="shared" si="172"/>
        <v>0</v>
      </c>
      <c r="V448" s="4">
        <f t="shared" si="173"/>
        <v>0</v>
      </c>
      <c r="W448" s="5">
        <f t="shared" si="174"/>
        <v>0</v>
      </c>
      <c r="X448" s="5">
        <f t="shared" si="175"/>
        <v>-14.38214836453303</v>
      </c>
      <c r="Y448" s="5">
        <f t="shared" si="176"/>
        <v>3.7324998992607772</v>
      </c>
      <c r="Z448" s="5">
        <f>1</f>
        <v>1</v>
      </c>
      <c r="AA448" s="5">
        <f>IF(M448=0,0,const*($T448/omega)*O448*(wy*I448-wz*(H448-V448))/Z448)</f>
        <v>0</v>
      </c>
      <c r="AB448" s="5">
        <f>IF(M448=0,0,const*($T448/omega)*O448*(wz*(G448-U448)-wx*I448)/Z448)</f>
        <v>2.446779119384543</v>
      </c>
      <c r="AC448" s="5">
        <f>IF(M448=0,0,const*($T448/omega)*O448*(wx*(H448-V448)-wy*(G448-U448))/Z448)</f>
        <v>9.4279815833884815</v>
      </c>
      <c r="AD448" s="5">
        <f t="shared" si="189"/>
        <v>0</v>
      </c>
      <c r="AE448" s="5">
        <f t="shared" si="189"/>
        <v>-11.935369245148488</v>
      </c>
      <c r="AF448" s="5">
        <f t="shared" si="177"/>
        <v>-19.01351851735074</v>
      </c>
      <c r="AG448">
        <f t="shared" si="188"/>
        <v>0</v>
      </c>
    </row>
    <row r="449" spans="1:33" x14ac:dyDescent="0.2">
      <c r="A449">
        <f t="shared" si="178"/>
        <v>4.1699999999999555</v>
      </c>
      <c r="B449" s="5">
        <f t="shared" si="179"/>
        <v>0</v>
      </c>
      <c r="C449" s="5">
        <f t="shared" si="180"/>
        <v>680.86924469943142</v>
      </c>
      <c r="D449" s="5">
        <f t="shared" si="181"/>
        <v>32.719420134589257</v>
      </c>
      <c r="E449" s="2">
        <f t="shared" si="163"/>
        <v>226.95641489981048</v>
      </c>
      <c r="F449" s="2">
        <f t="shared" si="182"/>
        <v>0</v>
      </c>
      <c r="G449" s="3">
        <f t="shared" si="183"/>
        <v>0</v>
      </c>
      <c r="H449" s="3">
        <f t="shared" si="184"/>
        <v>122.20190854423207</v>
      </c>
      <c r="I449" s="3">
        <f t="shared" si="185"/>
        <v>-31.93532981143521</v>
      </c>
      <c r="J449" s="2">
        <f t="shared" si="164"/>
        <v>126.3058658258515</v>
      </c>
      <c r="K449" s="2">
        <f t="shared" si="186"/>
        <v>86.0980680476152</v>
      </c>
      <c r="L449" s="5">
        <f t="shared" si="165"/>
        <v>27.705912851727664</v>
      </c>
      <c r="M449" s="3">
        <f t="shared" si="166"/>
        <v>18.915179003329964</v>
      </c>
      <c r="N449" s="2">
        <v>0</v>
      </c>
      <c r="O449" s="2">
        <f t="shared" si="167"/>
        <v>126.3058658258515</v>
      </c>
      <c r="P449" s="2">
        <f t="shared" si="168"/>
        <v>86.0980680476152</v>
      </c>
      <c r="Q449" s="5">
        <f t="shared" si="169"/>
        <v>1.064502258543045</v>
      </c>
      <c r="R449" s="5">
        <f t="shared" si="170"/>
        <v>0.16373752386358065</v>
      </c>
      <c r="S449" s="4">
        <f t="shared" si="187"/>
        <v>0.14975693234556428</v>
      </c>
      <c r="T449" s="5">
        <f t="shared" si="171"/>
        <v>0.10734115850764801</v>
      </c>
      <c r="U449" s="4">
        <f t="shared" si="172"/>
        <v>0</v>
      </c>
      <c r="V449" s="4">
        <f t="shared" si="173"/>
        <v>0</v>
      </c>
      <c r="W449" s="5">
        <f t="shared" si="174"/>
        <v>0</v>
      </c>
      <c r="X449" s="5">
        <f t="shared" si="175"/>
        <v>-14.361128424594396</v>
      </c>
      <c r="Y449" s="5">
        <f t="shared" si="176"/>
        <v>3.7530295407603615</v>
      </c>
      <c r="Z449" s="5">
        <f>1</f>
        <v>1</v>
      </c>
      <c r="AA449" s="5">
        <f>IF(M449=0,0,const*($T449/omega)*O449*(wy*I449-wz*(H449-V449))/Z449)</f>
        <v>0</v>
      </c>
      <c r="AB449" s="5">
        <f>IF(M449=0,0,const*($T449/omega)*O449*(wz*(G449-U449)-wx*I449)/Z449)</f>
        <v>2.4603678455177151</v>
      </c>
      <c r="AC449" s="5">
        <f>IF(M449=0,0,const*($T449/omega)*O449*(wx*(H449-V449)-wy*(G449-U449))/Z449)</f>
        <v>9.4147030332364388</v>
      </c>
      <c r="AD449" s="5">
        <f t="shared" si="189"/>
        <v>0</v>
      </c>
      <c r="AE449" s="5">
        <f t="shared" si="189"/>
        <v>-11.900760579076682</v>
      </c>
      <c r="AF449" s="5">
        <f t="shared" si="177"/>
        <v>-19.006267426003198</v>
      </c>
      <c r="AG449">
        <f t="shared" si="188"/>
        <v>0</v>
      </c>
    </row>
    <row r="450" spans="1:33" x14ac:dyDescent="0.2">
      <c r="A450">
        <f t="shared" si="178"/>
        <v>4.1799999999999553</v>
      </c>
      <c r="B450" s="5">
        <f t="shared" si="179"/>
        <v>0</v>
      </c>
      <c r="C450" s="5">
        <f t="shared" si="180"/>
        <v>682.09066874684481</v>
      </c>
      <c r="D450" s="5">
        <f t="shared" si="181"/>
        <v>32.399116523103608</v>
      </c>
      <c r="E450" s="2">
        <f t="shared" si="163"/>
        <v>227.36355624894827</v>
      </c>
      <c r="F450" s="2">
        <f t="shared" si="182"/>
        <v>0</v>
      </c>
      <c r="G450" s="3">
        <f t="shared" si="183"/>
        <v>0</v>
      </c>
      <c r="H450" s="3">
        <f t="shared" si="184"/>
        <v>122.0829009384413</v>
      </c>
      <c r="I450" s="3">
        <f t="shared" si="185"/>
        <v>-32.125392485695244</v>
      </c>
      <c r="J450" s="2">
        <f t="shared" si="164"/>
        <v>126.23896206760112</v>
      </c>
      <c r="K450" s="2">
        <f t="shared" si="186"/>
        <v>86.052462213770355</v>
      </c>
      <c r="L450" s="5">
        <f t="shared" si="165"/>
        <v>27.720596350903978</v>
      </c>
      <c r="M450" s="3">
        <f t="shared" si="166"/>
        <v>18.909864238242093</v>
      </c>
      <c r="N450" s="2">
        <v>0</v>
      </c>
      <c r="O450" s="2">
        <f t="shared" si="167"/>
        <v>126.23896206760112</v>
      </c>
      <c r="P450" s="2">
        <f t="shared" si="168"/>
        <v>86.052462213770355</v>
      </c>
      <c r="Q450" s="5">
        <f t="shared" si="169"/>
        <v>1.063938395564102</v>
      </c>
      <c r="R450" s="5">
        <f t="shared" si="170"/>
        <v>0.16374530227856759</v>
      </c>
      <c r="S450" s="4">
        <f t="shared" si="187"/>
        <v>0.14979419925930504</v>
      </c>
      <c r="T450" s="5">
        <f t="shared" si="171"/>
        <v>0.10735184242065897</v>
      </c>
      <c r="U450" s="4">
        <f t="shared" si="172"/>
        <v>0</v>
      </c>
      <c r="V450" s="4">
        <f t="shared" si="173"/>
        <v>0</v>
      </c>
      <c r="W450" s="5">
        <f t="shared" si="174"/>
        <v>0</v>
      </c>
      <c r="X450" s="5">
        <f t="shared" si="175"/>
        <v>-14.340224265819307</v>
      </c>
      <c r="Y450" s="5">
        <f t="shared" si="176"/>
        <v>3.7735451019846811</v>
      </c>
      <c r="Z450" s="5">
        <f>1</f>
        <v>1</v>
      </c>
      <c r="AA450" s="5">
        <f>IF(M450=0,0,const*($T450/omega)*O450*(wy*I450-wz*(H450-V450))/Z450)</f>
        <v>0</v>
      </c>
      <c r="AB450" s="5">
        <f>IF(M450=0,0,const*($T450/omega)*O450*(wz*(G450-U450)-wx*I450)/Z450)</f>
        <v>2.4739458996286059</v>
      </c>
      <c r="AC450" s="5">
        <f>IF(M450=0,0,const*($T450/omega)*O450*(wx*(H450-V450)-wy*(G450-U450))/Z450)</f>
        <v>9.4014880075288758</v>
      </c>
      <c r="AD450" s="5">
        <f t="shared" si="189"/>
        <v>0</v>
      </c>
      <c r="AE450" s="5">
        <f t="shared" si="189"/>
        <v>-11.866278366190702</v>
      </c>
      <c r="AF450" s="5">
        <f t="shared" si="177"/>
        <v>-18.998966890486443</v>
      </c>
      <c r="AG450">
        <f t="shared" si="188"/>
        <v>0</v>
      </c>
    </row>
    <row r="451" spans="1:33" x14ac:dyDescent="0.2">
      <c r="A451">
        <f t="shared" si="178"/>
        <v>4.1899999999999551</v>
      </c>
      <c r="B451" s="5">
        <f t="shared" si="179"/>
        <v>0</v>
      </c>
      <c r="C451" s="5">
        <f t="shared" si="180"/>
        <v>683.31090444231086</v>
      </c>
      <c r="D451" s="5">
        <f t="shared" si="181"/>
        <v>32.076912649902127</v>
      </c>
      <c r="E451" s="2">
        <f t="shared" si="163"/>
        <v>227.77030148077029</v>
      </c>
      <c r="F451" s="2">
        <f t="shared" si="182"/>
        <v>0</v>
      </c>
      <c r="G451" s="3">
        <f t="shared" si="183"/>
        <v>0</v>
      </c>
      <c r="H451" s="3">
        <f t="shared" si="184"/>
        <v>121.96423815477939</v>
      </c>
      <c r="I451" s="3">
        <f t="shared" si="185"/>
        <v>-32.315382154600108</v>
      </c>
      <c r="J451" s="2">
        <f t="shared" si="164"/>
        <v>126.17273601088942</v>
      </c>
      <c r="K451" s="2">
        <f t="shared" si="186"/>
        <v>86.00731834416456</v>
      </c>
      <c r="L451" s="5">
        <f t="shared" si="165"/>
        <v>27.735146449792683</v>
      </c>
      <c r="M451" s="3">
        <f t="shared" si="166"/>
        <v>18.904542855125257</v>
      </c>
      <c r="N451" s="2">
        <v>0</v>
      </c>
      <c r="O451" s="2">
        <f t="shared" si="167"/>
        <v>126.17273601088942</v>
      </c>
      <c r="P451" s="2">
        <f t="shared" si="168"/>
        <v>86.00731834416456</v>
      </c>
      <c r="Q451" s="5">
        <f t="shared" si="169"/>
        <v>1.0633802442345257</v>
      </c>
      <c r="R451" s="5">
        <f t="shared" si="170"/>
        <v>0.16375291002012773</v>
      </c>
      <c r="S451" s="4">
        <f t="shared" si="187"/>
        <v>0.14983064846508273</v>
      </c>
      <c r="T451" s="5">
        <f t="shared" si="171"/>
        <v>0.10736229036541545</v>
      </c>
      <c r="U451" s="4">
        <f t="shared" si="172"/>
        <v>0</v>
      </c>
      <c r="V451" s="4">
        <f t="shared" si="173"/>
        <v>0</v>
      </c>
      <c r="W451" s="5">
        <f t="shared" si="174"/>
        <v>0</v>
      </c>
      <c r="X451" s="5">
        <f t="shared" si="175"/>
        <v>-14.319435346612538</v>
      </c>
      <c r="Y451" s="5">
        <f t="shared" si="176"/>
        <v>3.7940467834237817</v>
      </c>
      <c r="Z451" s="5">
        <f>1</f>
        <v>1</v>
      </c>
      <c r="AA451" s="5">
        <f>IF(M451=0,0,const*($T451/omega)*O451*(wy*I451-wz*(H451-V451))/Z451)</f>
        <v>0</v>
      </c>
      <c r="AB451" s="5">
        <f>IF(M451=0,0,const*($T451/omega)*O451*(wz*(G451-U451)-wx*I451)/Z451)</f>
        <v>2.4875133661554263</v>
      </c>
      <c r="AC451" s="5">
        <f>IF(M451=0,0,const*($T451/omega)*O451*(wx*(H451-V451)-wy*(G451-U451))/Z451)</f>
        <v>9.388336215599729</v>
      </c>
      <c r="AD451" s="5">
        <f t="shared" si="189"/>
        <v>0</v>
      </c>
      <c r="AE451" s="5">
        <f t="shared" si="189"/>
        <v>-11.831921980457112</v>
      </c>
      <c r="AF451" s="5">
        <f t="shared" si="177"/>
        <v>-18.99161700097649</v>
      </c>
      <c r="AG451">
        <f t="shared" si="188"/>
        <v>0</v>
      </c>
    </row>
    <row r="452" spans="1:33" x14ac:dyDescent="0.2">
      <c r="A452">
        <f t="shared" si="178"/>
        <v>4.1999999999999549</v>
      </c>
      <c r="B452" s="5">
        <f t="shared" si="179"/>
        <v>0</v>
      </c>
      <c r="C452" s="5">
        <f t="shared" si="180"/>
        <v>684.52995522775961</v>
      </c>
      <c r="D452" s="5">
        <f t="shared" si="181"/>
        <v>31.752809247506079</v>
      </c>
      <c r="E452" s="2">
        <f t="shared" si="163"/>
        <v>228.17665174258653</v>
      </c>
      <c r="F452" s="2">
        <f t="shared" si="182"/>
        <v>0</v>
      </c>
      <c r="G452" s="3">
        <f t="shared" si="183"/>
        <v>0</v>
      </c>
      <c r="H452" s="3">
        <f t="shared" si="184"/>
        <v>121.84591893497482</v>
      </c>
      <c r="I452" s="3">
        <f t="shared" si="185"/>
        <v>-32.505298324609875</v>
      </c>
      <c r="J452" s="2">
        <f t="shared" si="164"/>
        <v>126.10718607708421</v>
      </c>
      <c r="K452" s="2">
        <f t="shared" si="186"/>
        <v>85.962635362702244</v>
      </c>
      <c r="L452" s="5">
        <f t="shared" si="165"/>
        <v>27.749563051022296</v>
      </c>
      <c r="M452" s="3">
        <f t="shared" si="166"/>
        <v>18.899214786414191</v>
      </c>
      <c r="N452" s="2">
        <v>0</v>
      </c>
      <c r="O452" s="2">
        <f t="shared" si="167"/>
        <v>126.10718607708421</v>
      </c>
      <c r="P452" s="2">
        <f t="shared" si="168"/>
        <v>85.962635362702244</v>
      </c>
      <c r="Q452" s="5">
        <f t="shared" si="169"/>
        <v>1.0628277912496484</v>
      </c>
      <c r="R452" s="5">
        <f t="shared" si="170"/>
        <v>0.16376034697646258</v>
      </c>
      <c r="S452" s="4">
        <f t="shared" si="187"/>
        <v>0.1498662794272633</v>
      </c>
      <c r="T452" s="5">
        <f t="shared" si="171"/>
        <v>0.10737250229165721</v>
      </c>
      <c r="U452" s="4">
        <f t="shared" si="172"/>
        <v>0</v>
      </c>
      <c r="V452" s="4">
        <f t="shared" si="173"/>
        <v>0</v>
      </c>
      <c r="W452" s="5">
        <f t="shared" si="174"/>
        <v>0</v>
      </c>
      <c r="X452" s="5">
        <f t="shared" si="175"/>
        <v>-14.298761127816929</v>
      </c>
      <c r="Y452" s="5">
        <f t="shared" si="176"/>
        <v>3.8145347845426425</v>
      </c>
      <c r="Z452" s="5">
        <f>1</f>
        <v>1</v>
      </c>
      <c r="AA452" s="5">
        <f>IF(M452=0,0,const*($T452/omega)*O452*(wy*I452-wz*(H452-V452))/Z452)</f>
        <v>0</v>
      </c>
      <c r="AB452" s="5">
        <f>IF(M452=0,0,const*($T452/omega)*O452*(wz*(G452-U452)-wx*I452)/Z452)</f>
        <v>2.5010703290325815</v>
      </c>
      <c r="AC452" s="5">
        <f>IF(M452=0,0,const*($T452/omega)*O452*(wx*(H452-V452)-wy*(G452-U452))/Z452)</f>
        <v>9.375247367942201</v>
      </c>
      <c r="AD452" s="5">
        <f t="shared" si="189"/>
        <v>0</v>
      </c>
      <c r="AE452" s="5">
        <f t="shared" si="189"/>
        <v>-11.797690798784348</v>
      </c>
      <c r="AF452" s="5">
        <f t="shared" si="177"/>
        <v>-18.984217847515154</v>
      </c>
      <c r="AG452">
        <f t="shared" si="188"/>
        <v>0</v>
      </c>
    </row>
    <row r="453" spans="1:33" x14ac:dyDescent="0.2">
      <c r="A453">
        <f t="shared" si="178"/>
        <v>4.2099999999999547</v>
      </c>
      <c r="B453" s="5">
        <f t="shared" si="179"/>
        <v>0</v>
      </c>
      <c r="C453" s="5">
        <f t="shared" si="180"/>
        <v>685.74782453256944</v>
      </c>
      <c r="D453" s="5">
        <f t="shared" si="181"/>
        <v>31.426807053367604</v>
      </c>
      <c r="E453" s="2">
        <f t="shared" si="163"/>
        <v>228.58260817752316</v>
      </c>
      <c r="F453" s="2">
        <f t="shared" si="182"/>
        <v>0</v>
      </c>
      <c r="G453" s="3">
        <f t="shared" si="183"/>
        <v>0</v>
      </c>
      <c r="H453" s="3">
        <f t="shared" si="184"/>
        <v>121.72794202698698</v>
      </c>
      <c r="I453" s="3">
        <f t="shared" si="185"/>
        <v>-32.695140503085028</v>
      </c>
      <c r="J453" s="2">
        <f t="shared" si="164"/>
        <v>126.04231068431733</v>
      </c>
      <c r="K453" s="2">
        <f t="shared" si="186"/>
        <v>85.918412191082012</v>
      </c>
      <c r="L453" s="5">
        <f t="shared" si="165"/>
        <v>27.763846062752801</v>
      </c>
      <c r="M453" s="3">
        <f t="shared" si="166"/>
        <v>18.893879965048356</v>
      </c>
      <c r="N453" s="2">
        <v>0</v>
      </c>
      <c r="O453" s="2">
        <f t="shared" si="167"/>
        <v>126.04231068431733</v>
      </c>
      <c r="P453" s="2">
        <f t="shared" si="168"/>
        <v>85.918412191082012</v>
      </c>
      <c r="Q453" s="5">
        <f t="shared" si="169"/>
        <v>1.0622810232775304</v>
      </c>
      <c r="R453" s="5">
        <f t="shared" si="170"/>
        <v>0.16376761304305265</v>
      </c>
      <c r="S453" s="4">
        <f t="shared" si="187"/>
        <v>0.1499010916450868</v>
      </c>
      <c r="T453" s="5">
        <f t="shared" si="171"/>
        <v>0.10738247815682164</v>
      </c>
      <c r="U453" s="4">
        <f t="shared" si="172"/>
        <v>0</v>
      </c>
      <c r="V453" s="4">
        <f t="shared" si="173"/>
        <v>0</v>
      </c>
      <c r="W453" s="5">
        <f t="shared" si="174"/>
        <v>0</v>
      </c>
      <c r="X453" s="5">
        <f t="shared" si="175"/>
        <v>-14.278201072698103</v>
      </c>
      <c r="Y453" s="5">
        <f t="shared" si="176"/>
        <v>3.8350093037773409</v>
      </c>
      <c r="Z453" s="5">
        <f>1</f>
        <v>1</v>
      </c>
      <c r="AA453" s="5">
        <f>IF(M453=0,0,const*($T453/omega)*O453*(wy*I453-wz*(H453-V453))/Z453)</f>
        <v>0</v>
      </c>
      <c r="AB453" s="5">
        <f>IF(M453=0,0,const*($T453/omega)*O453*(wz*(G453-U453)-wx*I453)/Z453)</f>
        <v>2.5146168716876711</v>
      </c>
      <c r="AC453" s="5">
        <f>IF(M453=0,0,const*($T453/omega)*O453*(wx*(H453-V453)-wy*(G453-U453))/Z453)</f>
        <v>9.3622211762019329</v>
      </c>
      <c r="AD453" s="5">
        <f t="shared" si="189"/>
        <v>0</v>
      </c>
      <c r="AE453" s="5">
        <f t="shared" si="189"/>
        <v>-11.763584201010431</v>
      </c>
      <c r="AF453" s="5">
        <f t="shared" si="177"/>
        <v>-18.976769520020724</v>
      </c>
      <c r="AG453">
        <f t="shared" si="188"/>
        <v>0</v>
      </c>
    </row>
    <row r="454" spans="1:33" x14ac:dyDescent="0.2">
      <c r="A454">
        <f t="shared" si="178"/>
        <v>4.2199999999999545</v>
      </c>
      <c r="B454" s="5">
        <f t="shared" si="179"/>
        <v>0</v>
      </c>
      <c r="C454" s="5">
        <f t="shared" si="180"/>
        <v>686.96451577362927</v>
      </c>
      <c r="D454" s="5">
        <f t="shared" si="181"/>
        <v>31.09890680986075</v>
      </c>
      <c r="E454" s="2">
        <f t="shared" si="163"/>
        <v>228.98817192454308</v>
      </c>
      <c r="F454" s="2">
        <f t="shared" si="182"/>
        <v>0</v>
      </c>
      <c r="G454" s="3">
        <f t="shared" si="183"/>
        <v>0</v>
      </c>
      <c r="H454" s="3">
        <f t="shared" si="184"/>
        <v>121.61030618497688</v>
      </c>
      <c r="I454" s="3">
        <f t="shared" si="185"/>
        <v>-32.884908198285238</v>
      </c>
      <c r="J454" s="2">
        <f t="shared" si="164"/>
        <v>125.97810824747876</v>
      </c>
      <c r="K454" s="2">
        <f t="shared" si="186"/>
        <v>85.874647748792611</v>
      </c>
      <c r="L454" s="5">
        <f t="shared" si="165"/>
        <v>27.777995398681377</v>
      </c>
      <c r="M454" s="3">
        <f t="shared" si="166"/>
        <v>18.888538324472613</v>
      </c>
      <c r="N454" s="2">
        <v>0</v>
      </c>
      <c r="O454" s="2">
        <f t="shared" si="167"/>
        <v>125.97810824747876</v>
      </c>
      <c r="P454" s="2">
        <f t="shared" si="168"/>
        <v>85.874647748792611</v>
      </c>
      <c r="Q454" s="5">
        <f t="shared" si="169"/>
        <v>1.0617399269589094</v>
      </c>
      <c r="R454" s="5">
        <f t="shared" si="170"/>
        <v>0.16377470812266406</v>
      </c>
      <c r="S454" s="4">
        <f t="shared" si="187"/>
        <v>0.14993508465269906</v>
      </c>
      <c r="T454" s="5">
        <f t="shared" si="171"/>
        <v>0.10739221792604535</v>
      </c>
      <c r="U454" s="4">
        <f t="shared" si="172"/>
        <v>0</v>
      </c>
      <c r="V454" s="4">
        <f t="shared" si="173"/>
        <v>0</v>
      </c>
      <c r="W454" s="5">
        <f t="shared" si="174"/>
        <v>0</v>
      </c>
      <c r="X454" s="5">
        <f t="shared" si="175"/>
        <v>-14.257754646929305</v>
      </c>
      <c r="Y454" s="5">
        <f t="shared" si="176"/>
        <v>3.8554705385312662</v>
      </c>
      <c r="Z454" s="5">
        <f>1</f>
        <v>1</v>
      </c>
      <c r="AA454" s="5">
        <f>IF(M454=0,0,const*($T454/omega)*O454*(wy*I454-wz*(H454-V454))/Z454)</f>
        <v>0</v>
      </c>
      <c r="AB454" s="5">
        <f>IF(M454=0,0,const*($T454/omega)*O454*(wz*(G454-U454)-wx*I454)/Z454)</f>
        <v>2.5281530770385112</v>
      </c>
      <c r="AC454" s="5">
        <f>IF(M454=0,0,const*($T454/omega)*O454*(wx*(H454-V454)-wy*(G454-U454))/Z454)</f>
        <v>9.3492573531701861</v>
      </c>
      <c r="AD454" s="5">
        <f t="shared" si="189"/>
        <v>0</v>
      </c>
      <c r="AE454" s="5">
        <f t="shared" si="189"/>
        <v>-11.729601569890793</v>
      </c>
      <c r="AF454" s="5">
        <f t="shared" si="177"/>
        <v>-18.969272108298547</v>
      </c>
      <c r="AG454">
        <f t="shared" si="188"/>
        <v>0</v>
      </c>
    </row>
    <row r="455" spans="1:33" x14ac:dyDescent="0.2">
      <c r="A455">
        <f t="shared" si="178"/>
        <v>4.2299999999999542</v>
      </c>
      <c r="B455" s="5">
        <f t="shared" si="179"/>
        <v>0</v>
      </c>
      <c r="C455" s="5">
        <f t="shared" si="180"/>
        <v>688.18003235540061</v>
      </c>
      <c r="D455" s="5">
        <f t="shared" si="181"/>
        <v>30.769109264272483</v>
      </c>
      <c r="E455" s="2">
        <f t="shared" si="163"/>
        <v>229.39334411846687</v>
      </c>
      <c r="F455" s="2">
        <f t="shared" si="182"/>
        <v>0</v>
      </c>
      <c r="G455" s="3">
        <f t="shared" si="183"/>
        <v>0</v>
      </c>
      <c r="H455" s="3">
        <f t="shared" si="184"/>
        <v>121.49301016927797</v>
      </c>
      <c r="I455" s="3">
        <f t="shared" si="185"/>
        <v>-33.074600919368223</v>
      </c>
      <c r="J455" s="2">
        <f t="shared" si="164"/>
        <v>125.91457717821139</v>
      </c>
      <c r="K455" s="2">
        <f t="shared" si="186"/>
        <v>85.831340953109333</v>
      </c>
      <c r="L455" s="5">
        <f t="shared" si="165"/>
        <v>27.792010978047408</v>
      </c>
      <c r="M455" s="3">
        <f t="shared" si="166"/>
        <v>18.88318979863789</v>
      </c>
      <c r="N455" s="2">
        <v>0</v>
      </c>
      <c r="O455" s="2">
        <f t="shared" si="167"/>
        <v>125.91457717821139</v>
      </c>
      <c r="P455" s="2">
        <f t="shared" si="168"/>
        <v>85.831340953109333</v>
      </c>
      <c r="Q455" s="5">
        <f t="shared" si="169"/>
        <v>1.0612044889071564</v>
      </c>
      <c r="R455" s="5">
        <f t="shared" si="170"/>
        <v>0.16378163212535432</v>
      </c>
      <c r="S455" s="4">
        <f t="shared" si="187"/>
        <v>0.14996825801917946</v>
      </c>
      <c r="T455" s="5">
        <f t="shared" si="171"/>
        <v>0.10740172157216502</v>
      </c>
      <c r="U455" s="4">
        <f t="shared" si="172"/>
        <v>0</v>
      </c>
      <c r="V455" s="4">
        <f t="shared" si="173"/>
        <v>0</v>
      </c>
      <c r="W455" s="5">
        <f t="shared" si="174"/>
        <v>0</v>
      </c>
      <c r="X455" s="5">
        <f t="shared" si="175"/>
        <v>-14.237421318576407</v>
      </c>
      <c r="Y455" s="5">
        <f t="shared" si="176"/>
        <v>3.8759186851713721</v>
      </c>
      <c r="Z455" s="5">
        <f>1</f>
        <v>1</v>
      </c>
      <c r="AA455" s="5">
        <f>IF(M455=0,0,const*($T455/omega)*O455*(wy*I455-wz*(H455-V455))/Z455)</f>
        <v>0</v>
      </c>
      <c r="AB455" s="5">
        <f>IF(M455=0,0,const*($T455/omega)*O455*(wz*(G455-U455)-wx*I455)/Z455)</f>
        <v>2.5416790274901961</v>
      </c>
      <c r="AC455" s="5">
        <f>IF(M455=0,0,const*($T455/omega)*O455*(wx*(H455-V455)-wy*(G455-U455))/Z455)</f>
        <v>9.3363556127771243</v>
      </c>
      <c r="AD455" s="5">
        <f t="shared" si="189"/>
        <v>0</v>
      </c>
      <c r="AE455" s="5">
        <f t="shared" si="189"/>
        <v>-11.695742291086212</v>
      </c>
      <c r="AF455" s="5">
        <f t="shared" si="177"/>
        <v>-18.961725702051503</v>
      </c>
      <c r="AG455">
        <f t="shared" si="188"/>
        <v>0</v>
      </c>
    </row>
    <row r="456" spans="1:33" x14ac:dyDescent="0.2">
      <c r="A456">
        <f t="shared" si="178"/>
        <v>4.239999999999954</v>
      </c>
      <c r="B456" s="5">
        <f t="shared" si="179"/>
        <v>0</v>
      </c>
      <c r="C456" s="5">
        <f t="shared" si="180"/>
        <v>689.39437766997878</v>
      </c>
      <c r="D456" s="5">
        <f t="shared" si="181"/>
        <v>30.437415168793699</v>
      </c>
      <c r="E456" s="2">
        <f t="shared" si="163"/>
        <v>229.79812588999292</v>
      </c>
      <c r="F456" s="2">
        <f t="shared" si="182"/>
        <v>0</v>
      </c>
      <c r="G456" s="3">
        <f t="shared" si="183"/>
        <v>0</v>
      </c>
      <c r="H456" s="3">
        <f t="shared" si="184"/>
        <v>121.37605274636711</v>
      </c>
      <c r="I456" s="3">
        <f t="shared" si="185"/>
        <v>-33.264218176388738</v>
      </c>
      <c r="J456" s="2">
        <f t="shared" si="164"/>
        <v>125.85171588490671</v>
      </c>
      <c r="K456" s="2">
        <f t="shared" si="186"/>
        <v>85.788490719091143</v>
      </c>
      <c r="L456" s="5">
        <f t="shared" si="165"/>
        <v>27.805892725636898</v>
      </c>
      <c r="M456" s="3">
        <f t="shared" si="166"/>
        <v>18.877834322001803</v>
      </c>
      <c r="N456" s="2">
        <v>0</v>
      </c>
      <c r="O456" s="2">
        <f t="shared" si="167"/>
        <v>125.85171588490671</v>
      </c>
      <c r="P456" s="2">
        <f t="shared" si="168"/>
        <v>85.788490719091143</v>
      </c>
      <c r="Q456" s="5">
        <f t="shared" si="169"/>
        <v>1.06067469570824</v>
      </c>
      <c r="R456" s="5">
        <f t="shared" si="170"/>
        <v>0.16378838496847714</v>
      </c>
      <c r="S456" s="4">
        <f t="shared" si="187"/>
        <v>0.1500006113485641</v>
      </c>
      <c r="T456" s="5">
        <f t="shared" si="171"/>
        <v>0.10741098907571747</v>
      </c>
      <c r="U456" s="4">
        <f t="shared" si="172"/>
        <v>0</v>
      </c>
      <c r="V456" s="4">
        <f t="shared" si="173"/>
        <v>0</v>
      </c>
      <c r="W456" s="5">
        <f t="shared" si="174"/>
        <v>0</v>
      </c>
      <c r="X456" s="5">
        <f t="shared" si="175"/>
        <v>-14.217200558083105</v>
      </c>
      <c r="Y456" s="5">
        <f t="shared" si="176"/>
        <v>3.8963539390244932</v>
      </c>
      <c r="Z456" s="5">
        <f>1</f>
        <v>1</v>
      </c>
      <c r="AA456" s="5">
        <f>IF(M456=0,0,const*($T456/omega)*O456*(wy*I456-wz*(H456-V456))/Z456)</f>
        <v>0</v>
      </c>
      <c r="AB456" s="5">
        <f>IF(M456=0,0,const*($T456/omega)*O456*(wz*(G456-U456)-wx*I456)/Z456)</f>
        <v>2.5551948049322037</v>
      </c>
      <c r="AC456" s="5">
        <f>IF(M456=0,0,const*($T456/omega)*O456*(wx*(H456-V456)-wy*(G456-U456))/Z456)</f>
        <v>9.3235156700852304</v>
      </c>
      <c r="AD456" s="5">
        <f t="shared" si="189"/>
        <v>0</v>
      </c>
      <c r="AE456" s="5">
        <f t="shared" si="189"/>
        <v>-11.6620057531509</v>
      </c>
      <c r="AF456" s="5">
        <f t="shared" si="177"/>
        <v>-18.954130390890278</v>
      </c>
      <c r="AG456">
        <f t="shared" si="188"/>
        <v>0</v>
      </c>
    </row>
    <row r="457" spans="1:33" x14ac:dyDescent="0.2">
      <c r="A457">
        <f t="shared" si="178"/>
        <v>4.2499999999999538</v>
      </c>
      <c r="B457" s="5">
        <f t="shared" si="179"/>
        <v>0</v>
      </c>
      <c r="C457" s="5">
        <f t="shared" si="180"/>
        <v>690.60755509715477</v>
      </c>
      <c r="D457" s="5">
        <f t="shared" si="181"/>
        <v>30.103825280510268</v>
      </c>
      <c r="E457" s="2">
        <f t="shared" si="163"/>
        <v>230.20251836571825</v>
      </c>
      <c r="F457" s="2">
        <f t="shared" si="182"/>
        <v>0</v>
      </c>
      <c r="G457" s="3">
        <f t="shared" si="183"/>
        <v>0</v>
      </c>
      <c r="H457" s="3">
        <f t="shared" si="184"/>
        <v>121.2594326888356</v>
      </c>
      <c r="I457" s="3">
        <f t="shared" si="185"/>
        <v>-33.453759480297641</v>
      </c>
      <c r="J457" s="2">
        <f t="shared" si="164"/>
        <v>125.78952277270098</v>
      </c>
      <c r="K457" s="2">
        <f t="shared" si="186"/>
        <v>85.746095959578028</v>
      </c>
      <c r="L457" s="5">
        <f t="shared" si="165"/>
        <v>27.819640571786142</v>
      </c>
      <c r="M457" s="3">
        <f t="shared" si="166"/>
        <v>18.872471829529282</v>
      </c>
      <c r="N457" s="2">
        <v>0</v>
      </c>
      <c r="O457" s="2">
        <f t="shared" si="167"/>
        <v>125.78952277270098</v>
      </c>
      <c r="P457" s="2">
        <f t="shared" si="168"/>
        <v>85.746095959578028</v>
      </c>
      <c r="Q457" s="5">
        <f t="shared" si="169"/>
        <v>1.060150533920694</v>
      </c>
      <c r="R457" s="5">
        <f t="shared" si="170"/>
        <v>0.16379496657668657</v>
      </c>
      <c r="S457" s="4">
        <f t="shared" si="187"/>
        <v>0.15003214427986536</v>
      </c>
      <c r="T457" s="5">
        <f t="shared" si="171"/>
        <v>0.10742002042493896</v>
      </c>
      <c r="U457" s="4">
        <f t="shared" si="172"/>
        <v>0</v>
      </c>
      <c r="V457" s="4">
        <f t="shared" si="173"/>
        <v>0</v>
      </c>
      <c r="W457" s="5">
        <f t="shared" si="174"/>
        <v>0</v>
      </c>
      <c r="X457" s="5">
        <f t="shared" si="175"/>
        <v>-14.197091838256217</v>
      </c>
      <c r="Y457" s="5">
        <f t="shared" si="176"/>
        <v>3.9167764943736918</v>
      </c>
      <c r="Z457" s="5">
        <f>1</f>
        <v>1</v>
      </c>
      <c r="AA457" s="5">
        <f>IF(M457=0,0,const*($T457/omega)*O457*(wy*I457-wz*(H457-V457))/Z457)</f>
        <v>0</v>
      </c>
      <c r="AB457" s="5">
        <f>IF(M457=0,0,const*($T457/omega)*O457*(wz*(G457-U457)-wx*I457)/Z457)</f>
        <v>2.5687004907355195</v>
      </c>
      <c r="AC457" s="5">
        <f>IF(M457=0,0,const*($T457/omega)*O457*(wx*(H457-V457)-wy*(G457-U457))/Z457)</f>
        <v>9.3107372412827392</v>
      </c>
      <c r="AD457" s="5">
        <f t="shared" si="189"/>
        <v>0</v>
      </c>
      <c r="AE457" s="5">
        <f t="shared" si="189"/>
        <v>-11.628391347520697</v>
      </c>
      <c r="AF457" s="5">
        <f t="shared" si="177"/>
        <v>-18.946486264343569</v>
      </c>
      <c r="AG457">
        <f t="shared" si="188"/>
        <v>0</v>
      </c>
    </row>
    <row r="458" spans="1:33" x14ac:dyDescent="0.2">
      <c r="A458">
        <f t="shared" si="178"/>
        <v>4.2599999999999536</v>
      </c>
      <c r="B458" s="5">
        <f t="shared" si="179"/>
        <v>0</v>
      </c>
      <c r="C458" s="5">
        <f t="shared" si="180"/>
        <v>691.81956800447574</v>
      </c>
      <c r="D458" s="5">
        <f t="shared" si="181"/>
        <v>29.768340361394074</v>
      </c>
      <c r="E458" s="2">
        <f t="shared" si="163"/>
        <v>230.60652266815859</v>
      </c>
      <c r="F458" s="2">
        <f t="shared" si="182"/>
        <v>0</v>
      </c>
      <c r="G458" s="3">
        <f t="shared" si="183"/>
        <v>0</v>
      </c>
      <c r="H458" s="3">
        <f t="shared" si="184"/>
        <v>121.1431487753604</v>
      </c>
      <c r="I458" s="3">
        <f t="shared" si="185"/>
        <v>-33.643224342941075</v>
      </c>
      <c r="J458" s="2">
        <f t="shared" si="164"/>
        <v>125.72799624347223</v>
      </c>
      <c r="K458" s="2">
        <f t="shared" si="186"/>
        <v>85.704155585188971</v>
      </c>
      <c r="L458" s="5">
        <f t="shared" si="165"/>
        <v>27.833254452384846</v>
      </c>
      <c r="M458" s="3">
        <f t="shared" si="166"/>
        <v>18.867102256693183</v>
      </c>
      <c r="N458" s="2">
        <v>0</v>
      </c>
      <c r="O458" s="2">
        <f t="shared" si="167"/>
        <v>125.72799624347223</v>
      </c>
      <c r="P458" s="2">
        <f t="shared" si="168"/>
        <v>85.704155585188971</v>
      </c>
      <c r="Q458" s="5">
        <f t="shared" si="169"/>
        <v>1.0596319900755915</v>
      </c>
      <c r="R458" s="5">
        <f t="shared" si="170"/>
        <v>0.16380137688194008</v>
      </c>
      <c r="S458" s="4">
        <f t="shared" si="187"/>
        <v>0.15006285648708698</v>
      </c>
      <c r="T458" s="5">
        <f t="shared" si="171"/>
        <v>0.1074288156157636</v>
      </c>
      <c r="U458" s="4">
        <f t="shared" si="172"/>
        <v>0</v>
      </c>
      <c r="V458" s="4">
        <f t="shared" si="173"/>
        <v>0</v>
      </c>
      <c r="W458" s="5">
        <f t="shared" si="174"/>
        <v>0</v>
      </c>
      <c r="X458" s="5">
        <f t="shared" si="175"/>
        <v>-14.177094634251182</v>
      </c>
      <c r="Y458" s="5">
        <f t="shared" si="176"/>
        <v>3.9371865444546654</v>
      </c>
      <c r="Z458" s="5">
        <f>1</f>
        <v>1</v>
      </c>
      <c r="AA458" s="5">
        <f>IF(M458=0,0,const*($T458/omega)*O458*(wy*I458-wz*(H458-V458))/Z458)</f>
        <v>0</v>
      </c>
      <c r="AB458" s="5">
        <f>IF(M458=0,0,const*($T458/omega)*O458*(wz*(G458-U458)-wx*I458)/Z458)</f>
        <v>2.5821961657498123</v>
      </c>
      <c r="AC458" s="5">
        <f>IF(M458=0,0,const*($T458/omega)*O458*(wx*(H458-V458)-wy*(G458-U458))/Z458)</f>
        <v>9.298020043677198</v>
      </c>
      <c r="AD458" s="5">
        <f t="shared" si="189"/>
        <v>0</v>
      </c>
      <c r="AE458" s="5">
        <f t="shared" si="189"/>
        <v>-11.59489846850137</v>
      </c>
      <c r="AF458" s="5">
        <f t="shared" si="177"/>
        <v>-18.938793411868136</v>
      </c>
      <c r="AG458">
        <f t="shared" si="188"/>
        <v>0</v>
      </c>
    </row>
    <row r="459" spans="1:33" x14ac:dyDescent="0.2">
      <c r="A459">
        <f t="shared" si="178"/>
        <v>4.2699999999999534</v>
      </c>
      <c r="B459" s="5">
        <f t="shared" si="179"/>
        <v>0</v>
      </c>
      <c r="C459" s="5">
        <f t="shared" si="180"/>
        <v>693.03041974730593</v>
      </c>
      <c r="D459" s="5">
        <f t="shared" si="181"/>
        <v>29.430961178294069</v>
      </c>
      <c r="E459" s="2">
        <f t="shared" si="163"/>
        <v>231.01013991576863</v>
      </c>
      <c r="F459" s="2">
        <f t="shared" si="182"/>
        <v>0</v>
      </c>
      <c r="G459" s="3">
        <f t="shared" si="183"/>
        <v>0</v>
      </c>
      <c r="H459" s="3">
        <f t="shared" si="184"/>
        <v>121.02719979067538</v>
      </c>
      <c r="I459" s="3">
        <f t="shared" si="185"/>
        <v>-33.832612277059759</v>
      </c>
      <c r="J459" s="2">
        <f t="shared" si="164"/>
        <v>125.66713469583809</v>
      </c>
      <c r="K459" s="2">
        <f t="shared" si="186"/>
        <v>85.662668504320436</v>
      </c>
      <c r="L459" s="5">
        <f t="shared" si="165"/>
        <v>27.846734308878492</v>
      </c>
      <c r="M459" s="3">
        <f t="shared" si="166"/>
        <v>18.861725539474868</v>
      </c>
      <c r="N459" s="2">
        <v>0</v>
      </c>
      <c r="O459" s="2">
        <f t="shared" si="167"/>
        <v>125.66713469583809</v>
      </c>
      <c r="P459" s="2">
        <f t="shared" si="168"/>
        <v>85.662668504320436</v>
      </c>
      <c r="Q459" s="5">
        <f t="shared" si="169"/>
        <v>1.0591190506765276</v>
      </c>
      <c r="R459" s="5">
        <f t="shared" si="170"/>
        <v>0.16380761582350095</v>
      </c>
      <c r="S459" s="4">
        <f t="shared" si="187"/>
        <v>0.15009274767923503</v>
      </c>
      <c r="T459" s="5">
        <f t="shared" si="171"/>
        <v>0.10743737465182103</v>
      </c>
      <c r="U459" s="4">
        <f t="shared" si="172"/>
        <v>0</v>
      </c>
      <c r="V459" s="4">
        <f t="shared" si="173"/>
        <v>0</v>
      </c>
      <c r="W459" s="5">
        <f t="shared" si="174"/>
        <v>0</v>
      </c>
      <c r="X459" s="5">
        <f t="shared" si="175"/>
        <v>-14.157208423557698</v>
      </c>
      <c r="Y459" s="5">
        <f t="shared" si="176"/>
        <v>3.9575842814522009</v>
      </c>
      <c r="Z459" s="5">
        <f>1</f>
        <v>1</v>
      </c>
      <c r="AA459" s="5">
        <f>IF(M459=0,0,const*($T459/omega)*O459*(wy*I459-wz*(H459-V459))/Z459)</f>
        <v>0</v>
      </c>
      <c r="AB459" s="5">
        <f>IF(M459=0,0,const*($T459/omega)*O459*(wz*(G459-U459)-wx*I459)/Z459)</f>
        <v>2.5956819103006383</v>
      </c>
      <c r="AC459" s="5">
        <f>IF(M459=0,0,const*($T459/omega)*O459*(wx*(H459-V459)-wy*(G459-U459))/Z459)</f>
        <v>9.2853637956891024</v>
      </c>
      <c r="AD459" s="5">
        <f t="shared" si="189"/>
        <v>0</v>
      </c>
      <c r="AE459" s="5">
        <f t="shared" si="189"/>
        <v>-11.561526513257061</v>
      </c>
      <c r="AF459" s="5">
        <f t="shared" si="177"/>
        <v>-18.931051922858696</v>
      </c>
      <c r="AG459">
        <f t="shared" si="188"/>
        <v>0</v>
      </c>
    </row>
    <row r="460" spans="1:33" x14ac:dyDescent="0.2">
      <c r="A460">
        <f t="shared" si="178"/>
        <v>4.2799999999999532</v>
      </c>
      <c r="B460" s="5">
        <f t="shared" si="179"/>
        <v>0</v>
      </c>
      <c r="C460" s="5">
        <f t="shared" si="180"/>
        <v>694.24011366888703</v>
      </c>
      <c r="D460" s="5">
        <f t="shared" si="181"/>
        <v>29.09168850292733</v>
      </c>
      <c r="E460" s="2">
        <f t="shared" si="163"/>
        <v>231.41337122296235</v>
      </c>
      <c r="F460" s="2">
        <f t="shared" si="182"/>
        <v>0</v>
      </c>
      <c r="G460" s="3">
        <f t="shared" si="183"/>
        <v>0</v>
      </c>
      <c r="H460" s="3">
        <f t="shared" si="184"/>
        <v>120.91158452554281</v>
      </c>
      <c r="I460" s="3">
        <f t="shared" si="185"/>
        <v>-34.021922796288344</v>
      </c>
      <c r="J460" s="2">
        <f t="shared" si="164"/>
        <v>125.60693652515408</v>
      </c>
      <c r="K460" s="2">
        <f t="shared" si="186"/>
        <v>85.621633623145243</v>
      </c>
      <c r="L460" s="5">
        <f t="shared" si="165"/>
        <v>27.860080088270081</v>
      </c>
      <c r="M460" s="3">
        <f t="shared" si="166"/>
        <v>18.856341614364784</v>
      </c>
      <c r="N460" s="2">
        <v>0</v>
      </c>
      <c r="O460" s="2">
        <f t="shared" si="167"/>
        <v>125.60693652515408</v>
      </c>
      <c r="P460" s="2">
        <f t="shared" si="168"/>
        <v>85.621633623145243</v>
      </c>
      <c r="Q460" s="5">
        <f t="shared" si="169"/>
        <v>1.0586117021996038</v>
      </c>
      <c r="R460" s="5">
        <f t="shared" si="170"/>
        <v>0.16381368334793961</v>
      </c>
      <c r="S460" s="4">
        <f t="shared" si="187"/>
        <v>0.15012181760032503</v>
      </c>
      <c r="T460" s="5">
        <f t="shared" si="171"/>
        <v>0.10744569754443338</v>
      </c>
      <c r="U460" s="4">
        <f t="shared" si="172"/>
        <v>0</v>
      </c>
      <c r="V460" s="4">
        <f t="shared" si="173"/>
        <v>0</v>
      </c>
      <c r="W460" s="5">
        <f t="shared" si="174"/>
        <v>0</v>
      </c>
      <c r="X460" s="5">
        <f t="shared" si="175"/>
        <v>-14.137432685985505</v>
      </c>
      <c r="Y460" s="5">
        <f t="shared" si="176"/>
        <v>3.9779698964966728</v>
      </c>
      <c r="Z460" s="5">
        <f>1</f>
        <v>1</v>
      </c>
      <c r="AA460" s="5">
        <f>IF(M460=0,0,const*($T460/omega)*O460*(wy*I460-wz*(H460-V460))/Z460)</f>
        <v>0</v>
      </c>
      <c r="AB460" s="5">
        <f>IF(M460=0,0,const*($T460/omega)*O460*(wz*(G460-U460)-wx*I460)/Z460)</f>
        <v>2.6091578041866819</v>
      </c>
      <c r="AC460" s="5">
        <f>IF(M460=0,0,const*($T460/omega)*O460*(wx*(H460-V460)-wy*(G460-U460))/Z460)</f>
        <v>9.2727682168456091</v>
      </c>
      <c r="AD460" s="5">
        <f t="shared" si="189"/>
        <v>0</v>
      </c>
      <c r="AE460" s="5">
        <f t="shared" si="189"/>
        <v>-11.528274881798824</v>
      </c>
      <c r="AF460" s="5">
        <f t="shared" si="177"/>
        <v>-18.92326188665772</v>
      </c>
      <c r="AG460">
        <f t="shared" si="188"/>
        <v>0</v>
      </c>
    </row>
    <row r="461" spans="1:33" x14ac:dyDescent="0.2">
      <c r="A461">
        <f t="shared" si="178"/>
        <v>4.289999999999953</v>
      </c>
      <c r="B461" s="5">
        <f t="shared" si="179"/>
        <v>0</v>
      </c>
      <c r="C461" s="5">
        <f t="shared" si="180"/>
        <v>695.44865310039836</v>
      </c>
      <c r="D461" s="5">
        <f t="shared" si="181"/>
        <v>28.750523111870113</v>
      </c>
      <c r="E461" s="2">
        <f t="shared" si="163"/>
        <v>231.8162177001328</v>
      </c>
      <c r="F461" s="2">
        <f t="shared" si="182"/>
        <v>0</v>
      </c>
      <c r="G461" s="3">
        <f t="shared" si="183"/>
        <v>0</v>
      </c>
      <c r="H461" s="3">
        <f t="shared" si="184"/>
        <v>120.79630177672482</v>
      </c>
      <c r="I461" s="3">
        <f t="shared" si="185"/>
        <v>-34.21115541515492</v>
      </c>
      <c r="J461" s="2">
        <f t="shared" si="164"/>
        <v>125.54740012351293</v>
      </c>
      <c r="K461" s="2">
        <f t="shared" si="186"/>
        <v>85.581049845612085</v>
      </c>
      <c r="L461" s="5">
        <f t="shared" si="165"/>
        <v>27.873291743121221</v>
      </c>
      <c r="M461" s="3">
        <f t="shared" si="166"/>
        <v>18.850950418362991</v>
      </c>
      <c r="N461" s="2">
        <v>0</v>
      </c>
      <c r="O461" s="2">
        <f t="shared" si="167"/>
        <v>125.54740012351293</v>
      </c>
      <c r="P461" s="2">
        <f t="shared" si="168"/>
        <v>85.581049845612085</v>
      </c>
      <c r="Q461" s="5">
        <f t="shared" si="169"/>
        <v>1.0581099310934234</v>
      </c>
      <c r="R461" s="5">
        <f t="shared" si="170"/>
        <v>0.16381957940913427</v>
      </c>
      <c r="S461" s="4">
        <f t="shared" si="187"/>
        <v>0.15015006602938424</v>
      </c>
      <c r="T461" s="5">
        <f t="shared" si="171"/>
        <v>0.10745378431261129</v>
      </c>
      <c r="U461" s="4">
        <f t="shared" si="172"/>
        <v>0</v>
      </c>
      <c r="V461" s="4">
        <f t="shared" si="173"/>
        <v>0</v>
      </c>
      <c r="W461" s="5">
        <f t="shared" si="174"/>
        <v>0</v>
      </c>
      <c r="X461" s="5">
        <f t="shared" si="175"/>
        <v>-14.117766903650338</v>
      </c>
      <c r="Y461" s="5">
        <f t="shared" si="176"/>
        <v>3.9983435796606015</v>
      </c>
      <c r="Z461" s="5">
        <f>1</f>
        <v>1</v>
      </c>
      <c r="AA461" s="5">
        <f>IF(M461=0,0,const*($T461/omega)*O461*(wy*I461-wz*(H461-V461))/Z461)</f>
        <v>0</v>
      </c>
      <c r="AB461" s="5">
        <f>IF(M461=0,0,const*($T461/omega)*O461*(wz*(G461-U461)-wx*I461)/Z461)</f>
        <v>2.6226239266770368</v>
      </c>
      <c r="AC461" s="5">
        <f>IF(M461=0,0,const*($T461/omega)*O461*(wx*(H461-V461)-wy*(G461-U461))/Z461)</f>
        <v>9.2602330277743352</v>
      </c>
      <c r="AD461" s="5">
        <f t="shared" si="189"/>
        <v>0</v>
      </c>
      <c r="AE461" s="5">
        <f t="shared" si="189"/>
        <v>-11.495142976973302</v>
      </c>
      <c r="AF461" s="5">
        <f t="shared" si="177"/>
        <v>-18.915423392565064</v>
      </c>
      <c r="AG461">
        <f t="shared" si="188"/>
        <v>0</v>
      </c>
    </row>
    <row r="462" spans="1:33" x14ac:dyDescent="0.2">
      <c r="A462">
        <f t="shared" si="178"/>
        <v>4.2999999999999527</v>
      </c>
      <c r="B462" s="5">
        <f t="shared" si="179"/>
        <v>0</v>
      </c>
      <c r="C462" s="5">
        <f t="shared" si="180"/>
        <v>696.65604136101683</v>
      </c>
      <c r="D462" s="5">
        <f t="shared" si="181"/>
        <v>28.407465786548933</v>
      </c>
      <c r="E462" s="2">
        <f t="shared" si="163"/>
        <v>232.21868045367228</v>
      </c>
      <c r="F462" s="2">
        <f t="shared" si="182"/>
        <v>0</v>
      </c>
      <c r="G462" s="3">
        <f t="shared" si="183"/>
        <v>0</v>
      </c>
      <c r="H462" s="3">
        <f t="shared" si="184"/>
        <v>120.68135034695509</v>
      </c>
      <c r="I462" s="3">
        <f t="shared" si="185"/>
        <v>-34.400309649080569</v>
      </c>
      <c r="J462" s="2">
        <f t="shared" si="164"/>
        <v>125.48852387974425</v>
      </c>
      <c r="K462" s="2">
        <f t="shared" si="186"/>
        <v>85.540916073445288</v>
      </c>
      <c r="L462" s="5">
        <f t="shared" si="165"/>
        <v>27.886369231552564</v>
      </c>
      <c r="M462" s="3">
        <f t="shared" si="166"/>
        <v>18.845551888979738</v>
      </c>
      <c r="N462" s="2">
        <v>0</v>
      </c>
      <c r="O462" s="2">
        <f t="shared" si="167"/>
        <v>125.48852387974425</v>
      </c>
      <c r="P462" s="2">
        <f t="shared" si="168"/>
        <v>85.540916073445288</v>
      </c>
      <c r="Q462" s="5">
        <f t="shared" si="169"/>
        <v>1.0576137237790875</v>
      </c>
      <c r="R462" s="5">
        <f t="shared" si="170"/>
        <v>0.16382530396827069</v>
      </c>
      <c r="S462" s="4">
        <f t="shared" si="187"/>
        <v>0.15017749278045095</v>
      </c>
      <c r="T462" s="5">
        <f t="shared" si="171"/>
        <v>0.10746163498304932</v>
      </c>
      <c r="U462" s="4">
        <f t="shared" si="172"/>
        <v>0</v>
      </c>
      <c r="V462" s="4">
        <f t="shared" si="173"/>
        <v>0</v>
      </c>
      <c r="W462" s="5">
        <f t="shared" si="174"/>
        <v>0</v>
      </c>
      <c r="X462" s="5">
        <f t="shared" si="175"/>
        <v>-14.09821056096</v>
      </c>
      <c r="Y462" s="5">
        <f t="shared" si="176"/>
        <v>4.0187055199552502</v>
      </c>
      <c r="Z462" s="5">
        <f>1</f>
        <v>1</v>
      </c>
      <c r="AA462" s="5">
        <f>IF(M462=0,0,const*($T462/omega)*O462*(wy*I462-wz*(H462-V462))/Z462)</f>
        <v>0</v>
      </c>
      <c r="AB462" s="5">
        <f>IF(M462=0,0,const*($T462/omega)*O462*(wz*(G462-U462)-wx*I462)/Z462)</f>
        <v>2.6360803565085256</v>
      </c>
      <c r="AC462" s="5">
        <f>IF(M462=0,0,const*($T462/omega)*O462*(wx*(H462-V462)-wy*(G462-U462))/Z462)</f>
        <v>9.24775795019724</v>
      </c>
      <c r="AD462" s="5">
        <f t="shared" si="189"/>
        <v>0</v>
      </c>
      <c r="AE462" s="5">
        <f t="shared" si="189"/>
        <v>-11.462130204451475</v>
      </c>
      <c r="AF462" s="5">
        <f t="shared" si="177"/>
        <v>-18.907536529847508</v>
      </c>
      <c r="AG462">
        <f t="shared" si="188"/>
        <v>0</v>
      </c>
    </row>
    <row r="463" spans="1:33" x14ac:dyDescent="0.2">
      <c r="A463">
        <f t="shared" si="178"/>
        <v>4.3099999999999525</v>
      </c>
      <c r="B463" s="5">
        <f t="shared" si="179"/>
        <v>0</v>
      </c>
      <c r="C463" s="5">
        <f t="shared" si="180"/>
        <v>697.86228175797612</v>
      </c>
      <c r="D463" s="5">
        <f t="shared" si="181"/>
        <v>28.062517313231634</v>
      </c>
      <c r="E463" s="2">
        <f t="shared" si="163"/>
        <v>232.62076058599203</v>
      </c>
      <c r="F463" s="2">
        <f t="shared" si="182"/>
        <v>0</v>
      </c>
      <c r="G463" s="3">
        <f t="shared" si="183"/>
        <v>0</v>
      </c>
      <c r="H463" s="3">
        <f t="shared" si="184"/>
        <v>120.56672904491057</v>
      </c>
      <c r="I463" s="3">
        <f t="shared" si="185"/>
        <v>-34.589385014379047</v>
      </c>
      <c r="J463" s="2">
        <f t="shared" si="164"/>
        <v>125.43030617941515</v>
      </c>
      <c r="K463" s="2">
        <f t="shared" si="186"/>
        <v>85.501231206145292</v>
      </c>
      <c r="L463" s="5">
        <f t="shared" si="165"/>
        <v>27.899312517243558</v>
      </c>
      <c r="M463" s="3">
        <f t="shared" si="166"/>
        <v>18.840145964235933</v>
      </c>
      <c r="N463" s="2">
        <v>0</v>
      </c>
      <c r="O463" s="2">
        <f t="shared" si="167"/>
        <v>125.43030617941515</v>
      </c>
      <c r="P463" s="2">
        <f t="shared" si="168"/>
        <v>85.501231206145292</v>
      </c>
      <c r="Q463" s="5">
        <f t="shared" si="169"/>
        <v>1.0571230666502021</v>
      </c>
      <c r="R463" s="5">
        <f t="shared" si="170"/>
        <v>0.16383085699384087</v>
      </c>
      <c r="S463" s="4">
        <f t="shared" si="187"/>
        <v>0.15020409770256832</v>
      </c>
      <c r="T463" s="5">
        <f t="shared" si="171"/>
        <v>0.10746924959012034</v>
      </c>
      <c r="U463" s="4">
        <f t="shared" si="172"/>
        <v>0</v>
      </c>
      <c r="V463" s="4">
        <f t="shared" si="173"/>
        <v>0</v>
      </c>
      <c r="W463" s="5">
        <f t="shared" si="174"/>
        <v>0</v>
      </c>
      <c r="X463" s="5">
        <f t="shared" si="175"/>
        <v>-14.078763144600604</v>
      </c>
      <c r="Y463" s="5">
        <f t="shared" si="176"/>
        <v>4.0390559053272801</v>
      </c>
      <c r="Z463" s="5">
        <f>1</f>
        <v>1</v>
      </c>
      <c r="AA463" s="5">
        <f>IF(M463=0,0,const*($T463/omega)*O463*(wy*I463-wz*(H463-V463))/Z463)</f>
        <v>0</v>
      </c>
      <c r="AB463" s="5">
        <f>IF(M463=0,0,const*($T463/omega)*O463*(wz*(G463-U463)-wx*I463)/Z463)</f>
        <v>2.649527171883046</v>
      </c>
      <c r="AC463" s="5">
        <f>IF(M463=0,0,const*($T463/omega)*O463*(wx*(H463-V463)-wy*(G463-U463))/Z463)</f>
        <v>9.2353427069245662</v>
      </c>
      <c r="AD463" s="5">
        <f t="shared" si="189"/>
        <v>0</v>
      </c>
      <c r="AE463" s="5">
        <f t="shared" si="189"/>
        <v>-11.429235972717558</v>
      </c>
      <c r="AF463" s="5">
        <f t="shared" si="177"/>
        <v>-18.899601387748152</v>
      </c>
      <c r="AG463">
        <f t="shared" si="188"/>
        <v>0</v>
      </c>
    </row>
    <row r="464" spans="1:33" x14ac:dyDescent="0.2">
      <c r="A464">
        <f t="shared" si="178"/>
        <v>4.3199999999999523</v>
      </c>
      <c r="B464" s="5">
        <f t="shared" si="179"/>
        <v>0</v>
      </c>
      <c r="C464" s="5">
        <f t="shared" si="180"/>
        <v>699.06737758662666</v>
      </c>
      <c r="D464" s="5">
        <f t="shared" si="181"/>
        <v>27.715678483018454</v>
      </c>
      <c r="E464" s="2">
        <f t="shared" si="163"/>
        <v>233.02245919554221</v>
      </c>
      <c r="F464" s="2">
        <f t="shared" si="182"/>
        <v>0</v>
      </c>
      <c r="G464" s="3">
        <f t="shared" si="183"/>
        <v>0</v>
      </c>
      <c r="H464" s="3">
        <f t="shared" si="184"/>
        <v>120.4524366851834</v>
      </c>
      <c r="I464" s="3">
        <f t="shared" si="185"/>
        <v>-34.778381028256526</v>
      </c>
      <c r="J464" s="2">
        <f t="shared" si="164"/>
        <v>125.37274540483155</v>
      </c>
      <c r="K464" s="2">
        <f t="shared" si="186"/>
        <v>85.461994140989461</v>
      </c>
      <c r="L464" s="5">
        <f t="shared" si="165"/>
        <v>27.912121569431552</v>
      </c>
      <c r="M464" s="3">
        <f t="shared" si="166"/>
        <v>18.834732582663676</v>
      </c>
      <c r="N464" s="2">
        <v>0</v>
      </c>
      <c r="O464" s="2">
        <f t="shared" si="167"/>
        <v>125.37274540483155</v>
      </c>
      <c r="P464" s="2">
        <f t="shared" si="168"/>
        <v>85.461994140989461</v>
      </c>
      <c r="Q464" s="5">
        <f t="shared" si="169"/>
        <v>1.056637946072887</v>
      </c>
      <c r="R464" s="5">
        <f t="shared" si="170"/>
        <v>0.16383623846164119</v>
      </c>
      <c r="S464" s="4">
        <f t="shared" si="187"/>
        <v>0.15022988067977519</v>
      </c>
      <c r="T464" s="5">
        <f t="shared" si="171"/>
        <v>0.10747662817586943</v>
      </c>
      <c r="U464" s="4">
        <f t="shared" si="172"/>
        <v>0</v>
      </c>
      <c r="V464" s="4">
        <f t="shared" si="173"/>
        <v>0</v>
      </c>
      <c r="W464" s="5">
        <f t="shared" si="174"/>
        <v>0</v>
      </c>
      <c r="X464" s="5">
        <f t="shared" si="175"/>
        <v>-14.059424143522966</v>
      </c>
      <c r="Y464" s="5">
        <f t="shared" si="176"/>
        <v>4.0593949226554527</v>
      </c>
      <c r="Z464" s="5">
        <f>1</f>
        <v>1</v>
      </c>
      <c r="AA464" s="5">
        <f>IF(M464=0,0,const*($T464/omega)*O464*(wy*I464-wz*(H464-V464))/Z464)</f>
        <v>0</v>
      </c>
      <c r="AB464" s="5">
        <f>IF(M464=0,0,const*($T464/omega)*O464*(wz*(G464-U464)-wx*I464)/Z464)</f>
        <v>2.6629644504649717</v>
      </c>
      <c r="AC464" s="5">
        <f>IF(M464=0,0,const*($T464/omega)*O464*(wx*(H464-V464)-wy*(G464-U464))/Z464)</f>
        <v>9.2229870218489083</v>
      </c>
      <c r="AD464" s="5">
        <f t="shared" si="189"/>
        <v>0</v>
      </c>
      <c r="AE464" s="5">
        <f t="shared" si="189"/>
        <v>-11.396459693057995</v>
      </c>
      <c r="AF464" s="5">
        <f t="shared" si="177"/>
        <v>-18.891618055495638</v>
      </c>
      <c r="AG464">
        <f t="shared" si="188"/>
        <v>0</v>
      </c>
    </row>
    <row r="465" spans="1:33" x14ac:dyDescent="0.2">
      <c r="A465">
        <f t="shared" si="178"/>
        <v>4.3299999999999521</v>
      </c>
      <c r="B465" s="5">
        <f t="shared" si="179"/>
        <v>0</v>
      </c>
      <c r="C465" s="5">
        <f t="shared" si="180"/>
        <v>700.27133213049387</v>
      </c>
      <c r="D465" s="5">
        <f t="shared" si="181"/>
        <v>27.366950091833115</v>
      </c>
      <c r="E465" s="2">
        <f t="shared" si="163"/>
        <v>233.42377737683128</v>
      </c>
      <c r="F465" s="2">
        <f t="shared" si="182"/>
        <v>0</v>
      </c>
      <c r="G465" s="3">
        <f t="shared" si="183"/>
        <v>0</v>
      </c>
      <c r="H465" s="3">
        <f t="shared" si="184"/>
        <v>120.33847208825281</v>
      </c>
      <c r="I465" s="3">
        <f t="shared" si="185"/>
        <v>-34.96729720881148</v>
      </c>
      <c r="J465" s="2">
        <f t="shared" si="164"/>
        <v>125.31583993503996</v>
      </c>
      <c r="K465" s="2">
        <f t="shared" si="186"/>
        <v>85.423203773033364</v>
      </c>
      <c r="L465" s="5">
        <f t="shared" si="165"/>
        <v>27.924796362910268</v>
      </c>
      <c r="M465" s="3">
        <f t="shared" si="166"/>
        <v>18.82931168330672</v>
      </c>
      <c r="N465" s="2">
        <v>0</v>
      </c>
      <c r="O465" s="2">
        <f t="shared" si="167"/>
        <v>125.31583993503996</v>
      </c>
      <c r="P465" s="2">
        <f t="shared" si="168"/>
        <v>85.423203773033364</v>
      </c>
      <c r="Q465" s="5">
        <f t="shared" si="169"/>
        <v>1.0561583483857919</v>
      </c>
      <c r="R465" s="5">
        <f t="shared" si="170"/>
        <v>0.16384144835476955</v>
      </c>
      <c r="S465" s="4">
        <f t="shared" si="187"/>
        <v>0.15025484163109212</v>
      </c>
      <c r="T465" s="5">
        <f t="shared" si="171"/>
        <v>0.10748377079000669</v>
      </c>
      <c r="U465" s="4">
        <f t="shared" si="172"/>
        <v>0</v>
      </c>
      <c r="V465" s="4">
        <f t="shared" si="173"/>
        <v>0</v>
      </c>
      <c r="W465" s="5">
        <f t="shared" si="174"/>
        <v>0</v>
      </c>
      <c r="X465" s="5">
        <f t="shared" si="175"/>
        <v>-14.040193048929133</v>
      </c>
      <c r="Y465" s="5">
        <f t="shared" si="176"/>
        <v>4.0797227577473896</v>
      </c>
      <c r="Z465" s="5">
        <f>1</f>
        <v>1</v>
      </c>
      <c r="AA465" s="5">
        <f>IF(M465=0,0,const*($T465/omega)*O465*(wy*I465-wz*(H465-V465))/Z465)</f>
        <v>0</v>
      </c>
      <c r="AB465" s="5">
        <f>IF(M465=0,0,const*($T465/omega)*O465*(wz*(G465-U465)-wx*I465)/Z465)</f>
        <v>2.6763922693785753</v>
      </c>
      <c r="AC465" s="5">
        <f>IF(M465=0,0,const*($T465/omega)*O465*(wx*(H465-V465)-wy*(G465-U465))/Z465)</f>
        <v>9.2106906199392924</v>
      </c>
      <c r="AD465" s="5">
        <f t="shared" si="189"/>
        <v>0</v>
      </c>
      <c r="AE465" s="5">
        <f t="shared" si="189"/>
        <v>-11.363800779550559</v>
      </c>
      <c r="AF465" s="5">
        <f t="shared" si="177"/>
        <v>-18.883586622313317</v>
      </c>
      <c r="AG465">
        <f t="shared" si="188"/>
        <v>0</v>
      </c>
    </row>
    <row r="466" spans="1:33" x14ac:dyDescent="0.2">
      <c r="A466">
        <f t="shared" si="178"/>
        <v>4.3399999999999519</v>
      </c>
      <c r="B466" s="5">
        <f t="shared" si="179"/>
        <v>0</v>
      </c>
      <c r="C466" s="5">
        <f t="shared" si="180"/>
        <v>701.47414866133749</v>
      </c>
      <c r="D466" s="5">
        <f t="shared" si="181"/>
        <v>27.016332940413886</v>
      </c>
      <c r="E466" s="2">
        <f t="shared" si="163"/>
        <v>233.82471622044582</v>
      </c>
      <c r="F466" s="2">
        <f t="shared" si="182"/>
        <v>0</v>
      </c>
      <c r="G466" s="3">
        <f t="shared" si="183"/>
        <v>0</v>
      </c>
      <c r="H466" s="3">
        <f t="shared" si="184"/>
        <v>120.22483408045731</v>
      </c>
      <c r="I466" s="3">
        <f t="shared" si="185"/>
        <v>-35.15613307503461</v>
      </c>
      <c r="J466" s="2">
        <f t="shared" si="164"/>
        <v>125.25958814583031</v>
      </c>
      <c r="K466" s="2">
        <f t="shared" si="186"/>
        <v>85.38485899511268</v>
      </c>
      <c r="L466" s="5">
        <f t="shared" si="165"/>
        <v>27.937336878027558</v>
      </c>
      <c r="M466" s="3">
        <f t="shared" si="166"/>
        <v>18.823883205720932</v>
      </c>
      <c r="N466" s="2">
        <v>0</v>
      </c>
      <c r="O466" s="2">
        <f t="shared" si="167"/>
        <v>125.25958814583031</v>
      </c>
      <c r="P466" s="2">
        <f t="shared" si="168"/>
        <v>85.38485899511268</v>
      </c>
      <c r="Q466" s="5">
        <f t="shared" si="169"/>
        <v>1.0556842599001208</v>
      </c>
      <c r="R466" s="5">
        <f t="shared" si="170"/>
        <v>0.16384648666362139</v>
      </c>
      <c r="S466" s="4">
        <f t="shared" si="187"/>
        <v>0.15027898051050353</v>
      </c>
      <c r="T466" s="5">
        <f t="shared" si="171"/>
        <v>0.10749067748989952</v>
      </c>
      <c r="U466" s="4">
        <f t="shared" si="172"/>
        <v>0</v>
      </c>
      <c r="V466" s="4">
        <f t="shared" si="173"/>
        <v>0</v>
      </c>
      <c r="W466" s="5">
        <f t="shared" si="174"/>
        <v>0</v>
      </c>
      <c r="X466" s="5">
        <f t="shared" si="175"/>
        <v>-14.021069354259041</v>
      </c>
      <c r="Y466" s="5">
        <f t="shared" si="176"/>
        <v>4.1000395953363702</v>
      </c>
      <c r="Z466" s="5">
        <f>1</f>
        <v>1</v>
      </c>
      <c r="AA466" s="5">
        <f>IF(M466=0,0,const*($T466/omega)*O466*(wy*I466-wz*(H466-V466))/Z466)</f>
        <v>0</v>
      </c>
      <c r="AB466" s="5">
        <f>IF(M466=0,0,const*($T466/omega)*O466*(wz*(G466-U466)-wx*I466)/Z466)</f>
        <v>2.6898107052055051</v>
      </c>
      <c r="AC466" s="5">
        <f>IF(M466=0,0,const*($T466/omega)*O466*(wx*(H466-V466)-wy*(G466-U466))/Z466)</f>
        <v>9.1984532272354134</v>
      </c>
      <c r="AD466" s="5">
        <f t="shared" si="189"/>
        <v>0</v>
      </c>
      <c r="AE466" s="5">
        <f t="shared" si="189"/>
        <v>-11.331258649053535</v>
      </c>
      <c r="AF466" s="5">
        <f t="shared" si="177"/>
        <v>-18.875507177428215</v>
      </c>
      <c r="AG466">
        <f t="shared" si="188"/>
        <v>0</v>
      </c>
    </row>
    <row r="467" spans="1:33" x14ac:dyDescent="0.2">
      <c r="A467">
        <f t="shared" si="178"/>
        <v>4.3499999999999517</v>
      </c>
      <c r="B467" s="5">
        <f t="shared" si="179"/>
        <v>0</v>
      </c>
      <c r="C467" s="5">
        <f t="shared" si="180"/>
        <v>702.67583043920956</v>
      </c>
      <c r="D467" s="5">
        <f t="shared" si="181"/>
        <v>26.663827834304669</v>
      </c>
      <c r="E467" s="2">
        <f t="shared" si="163"/>
        <v>234.22527681306985</v>
      </c>
      <c r="F467" s="2">
        <f t="shared" si="182"/>
        <v>0</v>
      </c>
      <c r="G467" s="3">
        <f t="shared" si="183"/>
        <v>0</v>
      </c>
      <c r="H467" s="3">
        <f t="shared" si="184"/>
        <v>120.11152149396678</v>
      </c>
      <c r="I467" s="3">
        <f t="shared" si="185"/>
        <v>-35.344888146808891</v>
      </c>
      <c r="J467" s="2">
        <f t="shared" si="164"/>
        <v>125.20398840973907</v>
      </c>
      <c r="K467" s="2">
        <f t="shared" si="186"/>
        <v>85.346958697845309</v>
      </c>
      <c r="L467" s="5">
        <f t="shared" si="165"/>
        <v>27.949743100682603</v>
      </c>
      <c r="M467" s="3">
        <f t="shared" si="166"/>
        <v>18.818447089974747</v>
      </c>
      <c r="N467" s="2">
        <v>0</v>
      </c>
      <c r="O467" s="2">
        <f t="shared" si="167"/>
        <v>125.20398840973907</v>
      </c>
      <c r="P467" s="2">
        <f t="shared" si="168"/>
        <v>85.346958697845309</v>
      </c>
      <c r="Q467" s="5">
        <f t="shared" si="169"/>
        <v>1.0552156668996571</v>
      </c>
      <c r="R467" s="5">
        <f t="shared" si="170"/>
        <v>0.1638513533858855</v>
      </c>
      <c r="S467" s="4">
        <f t="shared" si="187"/>
        <v>0.15030229730693581</v>
      </c>
      <c r="T467" s="5">
        <f t="shared" si="171"/>
        <v>0.10749734834056394</v>
      </c>
      <c r="U467" s="4">
        <f t="shared" si="172"/>
        <v>0</v>
      </c>
      <c r="V467" s="4">
        <f t="shared" si="173"/>
        <v>0</v>
      </c>
      <c r="W467" s="5">
        <f t="shared" si="174"/>
        <v>0</v>
      </c>
      <c r="X467" s="5">
        <f t="shared" si="175"/>
        <v>-14.002052555177357</v>
      </c>
      <c r="Y467" s="5">
        <f t="shared" si="176"/>
        <v>4.1203456190782024</v>
      </c>
      <c r="Z467" s="5">
        <f>1</f>
        <v>1</v>
      </c>
      <c r="AA467" s="5">
        <f>IF(M467=0,0,const*($T467/omega)*O467*(wy*I467-wz*(H467-V467))/Z467)</f>
        <v>0</v>
      </c>
      <c r="AB467" s="5">
        <f>IF(M467=0,0,const*($T467/omega)*O467*(wz*(G467-U467)-wx*I467)/Z467)</f>
        <v>2.7032198339822853</v>
      </c>
      <c r="AC467" s="5">
        <f>IF(M467=0,0,const*($T467/omega)*O467*(wx*(H467-V467)-wy*(G467-U467))/Z467)</f>
        <v>9.1862745708418654</v>
      </c>
      <c r="AD467" s="5">
        <f t="shared" si="189"/>
        <v>0</v>
      </c>
      <c r="AE467" s="5">
        <f t="shared" si="189"/>
        <v>-11.298832721195073</v>
      </c>
      <c r="AF467" s="5">
        <f t="shared" si="177"/>
        <v>-18.867379810079932</v>
      </c>
      <c r="AG467">
        <f t="shared" si="188"/>
        <v>0</v>
      </c>
    </row>
    <row r="468" spans="1:33" x14ac:dyDescent="0.2">
      <c r="A468">
        <f t="shared" si="178"/>
        <v>4.3599999999999515</v>
      </c>
      <c r="B468" s="5">
        <f t="shared" si="179"/>
        <v>0</v>
      </c>
      <c r="C468" s="5">
        <f t="shared" si="180"/>
        <v>703.8763807125132</v>
      </c>
      <c r="D468" s="5">
        <f t="shared" si="181"/>
        <v>26.309435583846074</v>
      </c>
      <c r="E468" s="2">
        <f t="shared" si="163"/>
        <v>234.6254602375044</v>
      </c>
      <c r="F468" s="2">
        <f t="shared" si="182"/>
        <v>0</v>
      </c>
      <c r="G468" s="3">
        <f t="shared" si="183"/>
        <v>0</v>
      </c>
      <c r="H468" s="3">
        <f t="shared" si="184"/>
        <v>119.99853316675483</v>
      </c>
      <c r="I468" s="3">
        <f t="shared" si="185"/>
        <v>-35.533561944909692</v>
      </c>
      <c r="J468" s="2">
        <f t="shared" si="164"/>
        <v>125.14903909605336</v>
      </c>
      <c r="K468" s="2">
        <f t="shared" si="186"/>
        <v>85.309501769634181</v>
      </c>
      <c r="L468" s="5">
        <f t="shared" si="165"/>
        <v>27.96201502232233</v>
      </c>
      <c r="M468" s="3">
        <f t="shared" si="166"/>
        <v>18.813003276649582</v>
      </c>
      <c r="N468" s="2">
        <v>0</v>
      </c>
      <c r="O468" s="2">
        <f t="shared" si="167"/>
        <v>125.14903909605336</v>
      </c>
      <c r="P468" s="2">
        <f t="shared" si="168"/>
        <v>85.309501769634181</v>
      </c>
      <c r="Q468" s="5">
        <f t="shared" si="169"/>
        <v>1.0547525556407984</v>
      </c>
      <c r="R468" s="5">
        <f t="shared" si="170"/>
        <v>0.16385604852653823</v>
      </c>
      <c r="S468" s="4">
        <f t="shared" si="187"/>
        <v>0.15032479204423121</v>
      </c>
      <c r="T468" s="5">
        <f t="shared" si="171"/>
        <v>0.10750378341465534</v>
      </c>
      <c r="U468" s="4">
        <f t="shared" si="172"/>
        <v>0</v>
      </c>
      <c r="V468" s="4">
        <f t="shared" si="173"/>
        <v>0</v>
      </c>
      <c r="W468" s="5">
        <f t="shared" si="174"/>
        <v>0</v>
      </c>
      <c r="X468" s="5">
        <f t="shared" si="175"/>
        <v>-13.983142149560415</v>
      </c>
      <c r="Y468" s="5">
        <f t="shared" si="176"/>
        <v>4.1406410115481229</v>
      </c>
      <c r="Z468" s="5">
        <f>1</f>
        <v>1</v>
      </c>
      <c r="AA468" s="5">
        <f>IF(M468=0,0,const*($T468/omega)*O468*(wy*I468-wz*(H468-V468))/Z468)</f>
        <v>0</v>
      </c>
      <c r="AB468" s="5">
        <f>IF(M468=0,0,const*($T468/omega)*O468*(wz*(G468-U468)-wx*I468)/Z468)</f>
        <v>2.7166197311978664</v>
      </c>
      <c r="AC468" s="5">
        <f>IF(M468=0,0,const*($T468/omega)*O468*(wx*(H468-V468)-wy*(G468-U468))/Z468)</f>
        <v>9.1741543789225162</v>
      </c>
      <c r="AD468" s="5">
        <f t="shared" si="189"/>
        <v>0</v>
      </c>
      <c r="AE468" s="5">
        <f t="shared" si="189"/>
        <v>-11.266522418362548</v>
      </c>
      <c r="AF468" s="5">
        <f t="shared" si="177"/>
        <v>-18.85920460952936</v>
      </c>
      <c r="AG468">
        <f t="shared" si="188"/>
        <v>0</v>
      </c>
    </row>
    <row r="469" spans="1:33" x14ac:dyDescent="0.2">
      <c r="A469">
        <f t="shared" si="178"/>
        <v>4.3699999999999513</v>
      </c>
      <c r="B469" s="5">
        <f t="shared" si="179"/>
        <v>0</v>
      </c>
      <c r="C469" s="5">
        <f t="shared" si="180"/>
        <v>705.07580271805989</v>
      </c>
      <c r="D469" s="5">
        <f t="shared" si="181"/>
        <v>25.953157004166503</v>
      </c>
      <c r="E469" s="2">
        <f t="shared" si="163"/>
        <v>235.02526757268663</v>
      </c>
      <c r="F469" s="2">
        <f t="shared" si="182"/>
        <v>0</v>
      </c>
      <c r="G469" s="3">
        <f t="shared" si="183"/>
        <v>0</v>
      </c>
      <c r="H469" s="3">
        <f t="shared" si="184"/>
        <v>119.8858679425712</v>
      </c>
      <c r="I469" s="3">
        <f t="shared" si="185"/>
        <v>-35.722153991004987</v>
      </c>
      <c r="J469" s="2">
        <f t="shared" si="164"/>
        <v>125.09473857081557</v>
      </c>
      <c r="K469" s="2">
        <f t="shared" si="186"/>
        <v>85.27248709667046</v>
      </c>
      <c r="L469" s="5">
        <f t="shared" si="165"/>
        <v>27.974152639937319</v>
      </c>
      <c r="M469" s="3">
        <f t="shared" si="166"/>
        <v>18.807551706840236</v>
      </c>
      <c r="N469" s="2">
        <v>0</v>
      </c>
      <c r="O469" s="2">
        <f t="shared" si="167"/>
        <v>125.09473857081557</v>
      </c>
      <c r="P469" s="2">
        <f t="shared" si="168"/>
        <v>85.27248709667046</v>
      </c>
      <c r="Q469" s="5">
        <f t="shared" si="169"/>
        <v>1.0542949123525969</v>
      </c>
      <c r="R469" s="5">
        <f t="shared" si="170"/>
        <v>0.16386057209783736</v>
      </c>
      <c r="S469" s="4">
        <f t="shared" si="187"/>
        <v>0.1503464647811176</v>
      </c>
      <c r="T469" s="5">
        <f t="shared" si="171"/>
        <v>0.1075099827924581</v>
      </c>
      <c r="U469" s="4">
        <f t="shared" si="172"/>
        <v>0</v>
      </c>
      <c r="V469" s="4">
        <f t="shared" si="173"/>
        <v>0</v>
      </c>
      <c r="W469" s="5">
        <f t="shared" si="174"/>
        <v>0</v>
      </c>
      <c r="X469" s="5">
        <f t="shared" si="175"/>
        <v>-13.964337637483313</v>
      </c>
      <c r="Y469" s="5">
        <f t="shared" si="176"/>
        <v>4.1609259542377641</v>
      </c>
      <c r="Z469" s="5">
        <f>1</f>
        <v>1</v>
      </c>
      <c r="AA469" s="5">
        <f>IF(M469=0,0,const*($T469/omega)*O469*(wy*I469-wz*(H469-V469))/Z469)</f>
        <v>0</v>
      </c>
      <c r="AB469" s="5">
        <f>IF(M469=0,0,const*($T469/omega)*O469*(wz*(G469-U469)-wx*I469)/Z469)</f>
        <v>2.7300104717912084</v>
      </c>
      <c r="AC469" s="5">
        <f>IF(M469=0,0,const*($T469/omega)*O469*(wx*(H469-V469)-wy*(G469-U469))/Z469)</f>
        <v>9.1620923806949151</v>
      </c>
      <c r="AD469" s="5">
        <f t="shared" si="189"/>
        <v>0</v>
      </c>
      <c r="AE469" s="5">
        <f t="shared" si="189"/>
        <v>-11.234327165692104</v>
      </c>
      <c r="AF469" s="5">
        <f t="shared" si="177"/>
        <v>-18.850981665067319</v>
      </c>
      <c r="AG469">
        <f t="shared" si="188"/>
        <v>0</v>
      </c>
    </row>
    <row r="470" spans="1:33" x14ac:dyDescent="0.2">
      <c r="A470">
        <f t="shared" si="178"/>
        <v>4.379999999999951</v>
      </c>
      <c r="B470" s="5">
        <f t="shared" si="179"/>
        <v>0</v>
      </c>
      <c r="C470" s="5">
        <f t="shared" si="180"/>
        <v>706.27409968112727</v>
      </c>
      <c r="D470" s="5">
        <f t="shared" si="181"/>
        <v>25.594992915173201</v>
      </c>
      <c r="E470" s="2">
        <f t="shared" si="163"/>
        <v>235.42469989370909</v>
      </c>
      <c r="F470" s="2">
        <f t="shared" si="182"/>
        <v>0</v>
      </c>
      <c r="G470" s="3">
        <f t="shared" si="183"/>
        <v>0</v>
      </c>
      <c r="H470" s="3">
        <f t="shared" si="184"/>
        <v>119.77352467091427</v>
      </c>
      <c r="I470" s="3">
        <f t="shared" si="185"/>
        <v>-35.910663807655659</v>
      </c>
      <c r="J470" s="2">
        <f t="shared" si="164"/>
        <v>125.04108519682873</v>
      </c>
      <c r="K470" s="2">
        <f t="shared" si="186"/>
        <v>85.2359135629371</v>
      </c>
      <c r="L470" s="5">
        <f t="shared" si="165"/>
        <v>27.986155956056923</v>
      </c>
      <c r="M470" s="3">
        <f t="shared" si="166"/>
        <v>18.802092322155275</v>
      </c>
      <c r="N470" s="2">
        <v>0</v>
      </c>
      <c r="O470" s="2">
        <f t="shared" si="167"/>
        <v>125.04108519682873</v>
      </c>
      <c r="P470" s="2">
        <f t="shared" si="168"/>
        <v>85.2359135629371</v>
      </c>
      <c r="Q470" s="5">
        <f t="shared" si="169"/>
        <v>1.0538427232368024</v>
      </c>
      <c r="R470" s="5">
        <f t="shared" si="170"/>
        <v>0.16386492411931494</v>
      </c>
      <c r="S470" s="4">
        <f t="shared" si="187"/>
        <v>0.15036731561117425</v>
      </c>
      <c r="T470" s="5">
        <f t="shared" si="171"/>
        <v>0.10751594656187489</v>
      </c>
      <c r="U470" s="4">
        <f t="shared" si="172"/>
        <v>0</v>
      </c>
      <c r="V470" s="4">
        <f t="shared" si="173"/>
        <v>0</v>
      </c>
      <c r="W470" s="5">
        <f t="shared" si="174"/>
        <v>0</v>
      </c>
      <c r="X470" s="5">
        <f t="shared" si="175"/>
        <v>-13.945638521207158</v>
      </c>
      <c r="Y470" s="5">
        <f t="shared" si="176"/>
        <v>4.1812006275521734</v>
      </c>
      <c r="Z470" s="5">
        <f>1</f>
        <v>1</v>
      </c>
      <c r="AA470" s="5">
        <f>IF(M470=0,0,const*($T470/omega)*O470*(wy*I470-wz*(H470-V470))/Z470)</f>
        <v>0</v>
      </c>
      <c r="AB470" s="5">
        <f>IF(M470=0,0,const*($T470/omega)*O470*(wz*(G470-U470)-wx*I470)/Z470)</f>
        <v>2.7433921301489117</v>
      </c>
      <c r="AC470" s="5">
        <f>IF(M470=0,0,const*($T470/omega)*O470*(wx*(H470-V470)-wy*(G470-U470))/Z470)</f>
        <v>9.1500883064248111</v>
      </c>
      <c r="AD470" s="5">
        <f t="shared" si="189"/>
        <v>0</v>
      </c>
      <c r="AE470" s="5">
        <f t="shared" si="189"/>
        <v>-11.202246391058246</v>
      </c>
      <c r="AF470" s="5">
        <f t="shared" si="177"/>
        <v>-18.842711066023014</v>
      </c>
      <c r="AG470">
        <f t="shared" si="188"/>
        <v>0</v>
      </c>
    </row>
    <row r="471" spans="1:33" x14ac:dyDescent="0.2">
      <c r="A471">
        <f t="shared" si="178"/>
        <v>4.3899999999999508</v>
      </c>
      <c r="B471" s="5">
        <f t="shared" si="179"/>
        <v>0</v>
      </c>
      <c r="C471" s="5">
        <f t="shared" si="180"/>
        <v>707.47127481551684</v>
      </c>
      <c r="D471" s="5">
        <f t="shared" si="181"/>
        <v>25.234944141543341</v>
      </c>
      <c r="E471" s="2">
        <f t="shared" si="163"/>
        <v>235.82375827183895</v>
      </c>
      <c r="F471" s="2">
        <f t="shared" si="182"/>
        <v>0</v>
      </c>
      <c r="G471" s="3">
        <f t="shared" si="183"/>
        <v>0</v>
      </c>
      <c r="H471" s="3">
        <f t="shared" si="184"/>
        <v>119.66150220700369</v>
      </c>
      <c r="I471" s="3">
        <f t="shared" si="185"/>
        <v>-36.099090918315888</v>
      </c>
      <c r="J471" s="2">
        <f t="shared" si="164"/>
        <v>124.98807733366246</v>
      </c>
      <c r="K471" s="2">
        <f t="shared" si="186"/>
        <v>85.199780050212993</v>
      </c>
      <c r="L471" s="5">
        <f t="shared" si="165"/>
        <v>27.99802497874385</v>
      </c>
      <c r="M471" s="3">
        <f t="shared" si="166"/>
        <v>18.796625064717404</v>
      </c>
      <c r="N471" s="2">
        <v>0</v>
      </c>
      <c r="O471" s="2">
        <f t="shared" si="167"/>
        <v>124.98807733366246</v>
      </c>
      <c r="P471" s="2">
        <f t="shared" si="168"/>
        <v>85.199780050212993</v>
      </c>
      <c r="Q471" s="5">
        <f t="shared" si="169"/>
        <v>1.0533959744679144</v>
      </c>
      <c r="R471" s="5">
        <f t="shared" si="170"/>
        <v>0.16386910461776927</v>
      </c>
      <c r="S471" s="4">
        <f t="shared" si="187"/>
        <v>0.15038734466279366</v>
      </c>
      <c r="T471" s="5">
        <f t="shared" si="171"/>
        <v>0.10752167481841485</v>
      </c>
      <c r="U471" s="4">
        <f t="shared" si="172"/>
        <v>0</v>
      </c>
      <c r="V471" s="4">
        <f t="shared" si="173"/>
        <v>0</v>
      </c>
      <c r="W471" s="5">
        <f t="shared" si="174"/>
        <v>0</v>
      </c>
      <c r="X471" s="5">
        <f t="shared" si="175"/>
        <v>-13.927044305166431</v>
      </c>
      <c r="Y471" s="5">
        <f t="shared" si="176"/>
        <v>4.2014652108068784</v>
      </c>
      <c r="Z471" s="5">
        <f>1</f>
        <v>1</v>
      </c>
      <c r="AA471" s="5">
        <f>IF(M471=0,0,const*($T471/omega)*O471*(wy*I471-wz*(H471-V471))/Z471)</f>
        <v>0</v>
      </c>
      <c r="AB471" s="5">
        <f>IF(M471=0,0,const*($T471/omega)*O471*(wz*(G471-U471)-wx*I471)/Z471)</f>
        <v>2.756764780102877</v>
      </c>
      <c r="AC471" s="5">
        <f>IF(M471=0,0,const*($T471/omega)*O471*(wx*(H471-V471)-wy*(G471-U471))/Z471)</f>
        <v>9.1381418874206961</v>
      </c>
      <c r="AD471" s="5">
        <f t="shared" si="189"/>
        <v>0</v>
      </c>
      <c r="AE471" s="5">
        <f t="shared" si="189"/>
        <v>-11.170279525063554</v>
      </c>
      <c r="AF471" s="5">
        <f t="shared" si="177"/>
        <v>-18.834392901772425</v>
      </c>
      <c r="AG471">
        <f t="shared" si="188"/>
        <v>0</v>
      </c>
    </row>
    <row r="472" spans="1:33" x14ac:dyDescent="0.2">
      <c r="A472">
        <f t="shared" si="178"/>
        <v>4.3999999999999506</v>
      </c>
      <c r="B472" s="5">
        <f t="shared" si="179"/>
        <v>0</v>
      </c>
      <c r="C472" s="5">
        <f t="shared" si="180"/>
        <v>708.66733132361071</v>
      </c>
      <c r="D472" s="5">
        <f t="shared" si="181"/>
        <v>24.873011512715095</v>
      </c>
      <c r="E472" s="2">
        <f t="shared" si="163"/>
        <v>236.22244377453691</v>
      </c>
      <c r="F472" s="2">
        <f t="shared" si="182"/>
        <v>0</v>
      </c>
      <c r="G472" s="3">
        <f t="shared" si="183"/>
        <v>0</v>
      </c>
      <c r="H472" s="3">
        <f t="shared" si="184"/>
        <v>119.54979941175306</v>
      </c>
      <c r="I472" s="3">
        <f t="shared" si="185"/>
        <v>-36.287434847333614</v>
      </c>
      <c r="J472" s="2">
        <f t="shared" si="164"/>
        <v>124.93571333765966</v>
      </c>
      <c r="K472" s="2">
        <f t="shared" si="186"/>
        <v>85.164085438077478</v>
      </c>
      <c r="L472" s="5">
        <f t="shared" si="165"/>
        <v>28.009759721588036</v>
      </c>
      <c r="M472" s="3">
        <f t="shared" si="166"/>
        <v>18.791149877163804</v>
      </c>
      <c r="N472" s="2">
        <v>0</v>
      </c>
      <c r="O472" s="2">
        <f t="shared" si="167"/>
        <v>124.93571333765966</v>
      </c>
      <c r="P472" s="2">
        <f t="shared" si="168"/>
        <v>85.164085438077478</v>
      </c>
      <c r="Q472" s="5">
        <f t="shared" si="169"/>
        <v>1.0529546521932374</v>
      </c>
      <c r="R472" s="5">
        <f t="shared" si="170"/>
        <v>0.16387311362725604</v>
      </c>
      <c r="S472" s="4">
        <f t="shared" si="187"/>
        <v>0.150406552099139</v>
      </c>
      <c r="T472" s="5">
        <f t="shared" si="171"/>
        <v>0.10752716766518113</v>
      </c>
      <c r="U472" s="4">
        <f t="shared" si="172"/>
        <v>0</v>
      </c>
      <c r="V472" s="4">
        <f t="shared" si="173"/>
        <v>0</v>
      </c>
      <c r="W472" s="5">
        <f t="shared" si="174"/>
        <v>0</v>
      </c>
      <c r="X472" s="5">
        <f t="shared" si="175"/>
        <v>-13.908554495956487</v>
      </c>
      <c r="Y472" s="5">
        <f t="shared" si="176"/>
        <v>4.2217198822250133</v>
      </c>
      <c r="Z472" s="5">
        <f>1</f>
        <v>1</v>
      </c>
      <c r="AA472" s="5">
        <f>IF(M472=0,0,const*($T472/omega)*O472*(wy*I472-wz*(H472-V472))/Z472)</f>
        <v>0</v>
      </c>
      <c r="AB472" s="5">
        <f>IF(M472=0,0,const*($T472/omega)*O472*(wz*(G472-U472)-wx*I472)/Z472)</f>
        <v>2.7701284949280112</v>
      </c>
      <c r="AC472" s="5">
        <f>IF(M472=0,0,const*($T472/omega)*O472*(wx*(H472-V472)-wy*(G472-U472))/Z472)</f>
        <v>9.1262528560284633</v>
      </c>
      <c r="AD472" s="5">
        <f t="shared" si="189"/>
        <v>0</v>
      </c>
      <c r="AE472" s="5">
        <f t="shared" si="189"/>
        <v>-11.138426001028476</v>
      </c>
      <c r="AF472" s="5">
        <f t="shared" si="177"/>
        <v>-18.826027261746525</v>
      </c>
      <c r="AG472">
        <f t="shared" si="188"/>
        <v>0</v>
      </c>
    </row>
    <row r="473" spans="1:33" x14ac:dyDescent="0.2">
      <c r="A473">
        <f t="shared" si="178"/>
        <v>4.4099999999999504</v>
      </c>
      <c r="B473" s="5">
        <f t="shared" si="179"/>
        <v>0</v>
      </c>
      <c r="C473" s="5">
        <f t="shared" si="180"/>
        <v>709.86227239642824</v>
      </c>
      <c r="D473" s="5">
        <f t="shared" si="181"/>
        <v>24.50919586287867</v>
      </c>
      <c r="E473" s="2">
        <f t="shared" si="163"/>
        <v>236.62075746547609</v>
      </c>
      <c r="F473" s="2">
        <f t="shared" si="182"/>
        <v>0</v>
      </c>
      <c r="G473" s="3">
        <f t="shared" si="183"/>
        <v>0</v>
      </c>
      <c r="H473" s="3">
        <f t="shared" si="184"/>
        <v>119.43841515174277</v>
      </c>
      <c r="I473" s="3">
        <f t="shared" si="185"/>
        <v>-36.475695119951077</v>
      </c>
      <c r="J473" s="2">
        <f t="shared" si="164"/>
        <v>124.88399156194392</v>
      </c>
      <c r="K473" s="2">
        <f t="shared" si="186"/>
        <v>85.128828603915409</v>
      </c>
      <c r="L473" s="5">
        <f t="shared" si="165"/>
        <v>28.021360203699899</v>
      </c>
      <c r="M473" s="3">
        <f t="shared" si="166"/>
        <v>18.785666702646463</v>
      </c>
      <c r="N473" s="2">
        <v>0</v>
      </c>
      <c r="O473" s="2">
        <f t="shared" si="167"/>
        <v>124.88399156194392</v>
      </c>
      <c r="P473" s="2">
        <f t="shared" si="168"/>
        <v>85.128828603915409</v>
      </c>
      <c r="Q473" s="5">
        <f t="shared" si="169"/>
        <v>1.0525187425329434</v>
      </c>
      <c r="R473" s="5">
        <f t="shared" si="170"/>
        <v>0.16387695118907869</v>
      </c>
      <c r="S473" s="4">
        <f t="shared" si="187"/>
        <v>0.15042493811809782</v>
      </c>
      <c r="T473" s="5">
        <f t="shared" si="171"/>
        <v>0.10753242521285768</v>
      </c>
      <c r="U473" s="4">
        <f t="shared" si="172"/>
        <v>0</v>
      </c>
      <c r="V473" s="4">
        <f t="shared" si="173"/>
        <v>0</v>
      </c>
      <c r="W473" s="5">
        <f t="shared" si="174"/>
        <v>0</v>
      </c>
      <c r="X473" s="5">
        <f t="shared" si="175"/>
        <v>-13.890168602321209</v>
      </c>
      <c r="Y473" s="5">
        <f t="shared" si="176"/>
        <v>4.2419648189344938</v>
      </c>
      <c r="Z473" s="5">
        <f>1</f>
        <v>1</v>
      </c>
      <c r="AA473" s="5">
        <f>IF(M473=0,0,const*($T473/omega)*O473*(wy*I473-wz*(H473-V473))/Z473)</f>
        <v>0</v>
      </c>
      <c r="AB473" s="5">
        <f>IF(M473=0,0,const*($T473/omega)*O473*(wz*(G473-U473)-wx*I473)/Z473)</f>
        <v>2.7834833473399776</v>
      </c>
      <c r="AC473" s="5">
        <f>IF(M473=0,0,const*($T473/omega)*O473*(wx*(H473-V473)-wy*(G473-U473))/Z473)</f>
        <v>9.1144209456261294</v>
      </c>
      <c r="AD473" s="5">
        <f t="shared" si="189"/>
        <v>0</v>
      </c>
      <c r="AE473" s="5">
        <f t="shared" si="189"/>
        <v>-11.106685254981231</v>
      </c>
      <c r="AF473" s="5">
        <f t="shared" si="177"/>
        <v>-18.817614235439375</v>
      </c>
      <c r="AG473">
        <f t="shared" si="188"/>
        <v>0</v>
      </c>
    </row>
    <row r="474" spans="1:33" x14ac:dyDescent="0.2">
      <c r="A474">
        <f t="shared" si="178"/>
        <v>4.4199999999999502</v>
      </c>
      <c r="B474" s="5">
        <f t="shared" si="179"/>
        <v>0</v>
      </c>
      <c r="C474" s="5">
        <f t="shared" si="180"/>
        <v>711.05610121368284</v>
      </c>
      <c r="D474" s="5">
        <f t="shared" si="181"/>
        <v>24.143498030967386</v>
      </c>
      <c r="E474" s="2">
        <f t="shared" si="163"/>
        <v>237.01870040456095</v>
      </c>
      <c r="F474" s="2">
        <f t="shared" si="182"/>
        <v>0</v>
      </c>
      <c r="G474" s="3">
        <f t="shared" si="183"/>
        <v>0</v>
      </c>
      <c r="H474" s="3">
        <f t="shared" si="184"/>
        <v>119.32734829919296</v>
      </c>
      <c r="I474" s="3">
        <f t="shared" si="185"/>
        <v>-36.66387126230547</v>
      </c>
      <c r="J474" s="2">
        <f t="shared" si="164"/>
        <v>124.83291035642732</v>
      </c>
      <c r="K474" s="2">
        <f t="shared" si="186"/>
        <v>85.094008422922499</v>
      </c>
      <c r="L474" s="5">
        <f t="shared" si="165"/>
        <v>28.032826449702917</v>
      </c>
      <c r="M474" s="3">
        <f t="shared" si="166"/>
        <v>18.780175484832469</v>
      </c>
      <c r="N474" s="2">
        <v>0</v>
      </c>
      <c r="O474" s="2">
        <f t="shared" si="167"/>
        <v>124.83291035642732</v>
      </c>
      <c r="P474" s="2">
        <f t="shared" si="168"/>
        <v>85.094008422922499</v>
      </c>
      <c r="Q474" s="5">
        <f t="shared" si="169"/>
        <v>1.0520882315801385</v>
      </c>
      <c r="R474" s="5">
        <f t="shared" si="170"/>
        <v>0.16388061735177784</v>
      </c>
      <c r="S474" s="4">
        <f t="shared" si="187"/>
        <v>0.15044250295223152</v>
      </c>
      <c r="T474" s="5">
        <f t="shared" si="171"/>
        <v>0.10753744757969527</v>
      </c>
      <c r="U474" s="4">
        <f t="shared" si="172"/>
        <v>0</v>
      </c>
      <c r="V474" s="4">
        <f t="shared" si="173"/>
        <v>0</v>
      </c>
      <c r="W474" s="5">
        <f t="shared" si="174"/>
        <v>0</v>
      </c>
      <c r="X474" s="5">
        <f t="shared" si="175"/>
        <v>-13.871886135140763</v>
      </c>
      <c r="Y474" s="5">
        <f t="shared" si="176"/>
        <v>4.2622001969652485</v>
      </c>
      <c r="Z474" s="5">
        <f>1</f>
        <v>1</v>
      </c>
      <c r="AA474" s="5">
        <f>IF(M474=0,0,const*($T474/omega)*O474*(wy*I474-wz*(H474-V474))/Z474)</f>
        <v>0</v>
      </c>
      <c r="AB474" s="5">
        <f>IF(M474=0,0,const*($T474/omega)*O474*(wz*(G474-U474)-wx*I474)/Z474)</f>
        <v>2.7968294094929766</v>
      </c>
      <c r="AC474" s="5">
        <f>IF(M474=0,0,const*($T474/omega)*O474*(wx*(H474-V474)-wy*(G474-U474))/Z474)</f>
        <v>9.1026458906186107</v>
      </c>
      <c r="AD474" s="5">
        <f t="shared" si="189"/>
        <v>0</v>
      </c>
      <c r="AE474" s="5">
        <f t="shared" si="189"/>
        <v>-11.075056725647785</v>
      </c>
      <c r="AF474" s="5">
        <f t="shared" si="177"/>
        <v>-18.809153912416139</v>
      </c>
      <c r="AG474">
        <f t="shared" si="188"/>
        <v>0</v>
      </c>
    </row>
    <row r="475" spans="1:33" x14ac:dyDescent="0.2">
      <c r="A475">
        <f t="shared" si="178"/>
        <v>4.42999999999995</v>
      </c>
      <c r="B475" s="5">
        <f t="shared" si="179"/>
        <v>0</v>
      </c>
      <c r="C475" s="5">
        <f t="shared" si="180"/>
        <v>712.2488209438385</v>
      </c>
      <c r="D475" s="5">
        <f t="shared" si="181"/>
        <v>23.775918860648712</v>
      </c>
      <c r="E475" s="2">
        <f t="shared" si="163"/>
        <v>237.41627364794616</v>
      </c>
      <c r="F475" s="2">
        <f t="shared" si="182"/>
        <v>0</v>
      </c>
      <c r="G475" s="3">
        <f t="shared" si="183"/>
        <v>0</v>
      </c>
      <c r="H475" s="3">
        <f t="shared" si="184"/>
        <v>119.21659773193649</v>
      </c>
      <c r="I475" s="3">
        <f t="shared" si="185"/>
        <v>-36.851962801429629</v>
      </c>
      <c r="J475" s="2">
        <f t="shared" si="164"/>
        <v>124.7824680678192</v>
      </c>
      <c r="K475" s="2">
        <f t="shared" si="186"/>
        <v>85.059623768111237</v>
      </c>
      <c r="L475" s="5">
        <f t="shared" si="165"/>
        <v>28.044158489725632</v>
      </c>
      <c r="M475" s="3">
        <f t="shared" si="166"/>
        <v>18.774676167904314</v>
      </c>
      <c r="N475" s="2">
        <v>0</v>
      </c>
      <c r="O475" s="2">
        <f t="shared" si="167"/>
        <v>124.7824680678192</v>
      </c>
      <c r="P475" s="2">
        <f t="shared" si="168"/>
        <v>85.059623768111237</v>
      </c>
      <c r="Q475" s="5">
        <f t="shared" si="169"/>
        <v>1.051663105400936</v>
      </c>
      <c r="R475" s="5">
        <f t="shared" si="170"/>
        <v>0.16388411217111998</v>
      </c>
      <c r="S475" s="4">
        <f t="shared" si="187"/>
        <v>0.15045924686872109</v>
      </c>
      <c r="T475" s="5">
        <f t="shared" si="171"/>
        <v>0.10754223489149677</v>
      </c>
      <c r="U475" s="4">
        <f t="shared" si="172"/>
        <v>0</v>
      </c>
      <c r="V475" s="4">
        <f t="shared" si="173"/>
        <v>0</v>
      </c>
      <c r="W475" s="5">
        <f t="shared" si="174"/>
        <v>0</v>
      </c>
      <c r="X475" s="5">
        <f t="shared" si="175"/>
        <v>-13.853706607419511</v>
      </c>
      <c r="Y475" s="5">
        <f t="shared" si="176"/>
        <v>4.2824261912465067</v>
      </c>
      <c r="Z475" s="5">
        <f>1</f>
        <v>1</v>
      </c>
      <c r="AA475" s="5">
        <f>IF(M475=0,0,const*($T475/omega)*O475*(wy*I475-wz*(H475-V475))/Z475)</f>
        <v>0</v>
      </c>
      <c r="AB475" s="5">
        <f>IF(M475=0,0,const*($T475/omega)*O475*(wz*(G475-U475)-wx*I475)/Z475)</f>
        <v>2.81016675297758</v>
      </c>
      <c r="AC475" s="5">
        <f>IF(M475=0,0,const*($T475/omega)*O475*(wx*(H475-V475)-wy*(G475-U475))/Z475)</f>
        <v>9.0909274264325912</v>
      </c>
      <c r="AD475" s="5">
        <f t="shared" si="189"/>
        <v>0</v>
      </c>
      <c r="AE475" s="5">
        <f t="shared" si="189"/>
        <v>-11.043539854441931</v>
      </c>
      <c r="AF475" s="5">
        <f t="shared" si="177"/>
        <v>-18.800646382320902</v>
      </c>
      <c r="AG475">
        <f t="shared" si="188"/>
        <v>0</v>
      </c>
    </row>
    <row r="476" spans="1:33" x14ac:dyDescent="0.2">
      <c r="A476">
        <f t="shared" si="178"/>
        <v>4.4399999999999498</v>
      </c>
      <c r="B476" s="5">
        <f t="shared" si="179"/>
        <v>0</v>
      </c>
      <c r="C476" s="5">
        <f t="shared" si="180"/>
        <v>713.44043474416515</v>
      </c>
      <c r="D476" s="5">
        <f t="shared" si="181"/>
        <v>23.4064592003153</v>
      </c>
      <c r="E476" s="2">
        <f t="shared" si="163"/>
        <v>237.81347824805505</v>
      </c>
      <c r="F476" s="2">
        <f t="shared" si="182"/>
        <v>0</v>
      </c>
      <c r="G476" s="3">
        <f t="shared" si="183"/>
        <v>0</v>
      </c>
      <c r="H476" s="3">
        <f t="shared" si="184"/>
        <v>119.10616233339206</v>
      </c>
      <c r="I476" s="3">
        <f t="shared" si="185"/>
        <v>-37.039969265252836</v>
      </c>
      <c r="J476" s="2">
        <f t="shared" si="164"/>
        <v>124.73266303963536</v>
      </c>
      <c r="K476" s="2">
        <f t="shared" si="186"/>
        <v>85.025673510317205</v>
      </c>
      <c r="L476" s="5">
        <f t="shared" si="165"/>
        <v>28.055356359392928</v>
      </c>
      <c r="M476" s="3">
        <f t="shared" si="166"/>
        <v>18.769168696560126</v>
      </c>
      <c r="N476" s="2">
        <v>0</v>
      </c>
      <c r="O476" s="2">
        <f t="shared" si="167"/>
        <v>124.73266303963536</v>
      </c>
      <c r="P476" s="2">
        <f t="shared" si="168"/>
        <v>85.025673510317205</v>
      </c>
      <c r="Q476" s="5">
        <f t="shared" si="169"/>
        <v>1.0512433500345335</v>
      </c>
      <c r="R476" s="5">
        <f t="shared" si="170"/>
        <v>0.16388743571008516</v>
      </c>
      <c r="S476" s="4">
        <f t="shared" si="187"/>
        <v>0.15047517016930834</v>
      </c>
      <c r="T476" s="5">
        <f t="shared" si="171"/>
        <v>0.10754678728160154</v>
      </c>
      <c r="U476" s="4">
        <f t="shared" si="172"/>
        <v>0</v>
      </c>
      <c r="V476" s="4">
        <f t="shared" si="173"/>
        <v>0</v>
      </c>
      <c r="W476" s="5">
        <f t="shared" si="174"/>
        <v>0</v>
      </c>
      <c r="X476" s="5">
        <f t="shared" si="175"/>
        <v>-13.835629534274045</v>
      </c>
      <c r="Y476" s="5">
        <f t="shared" si="176"/>
        <v>4.302642975604134</v>
      </c>
      <c r="Z476" s="5">
        <f>1</f>
        <v>1</v>
      </c>
      <c r="AA476" s="5">
        <f>IF(M476=0,0,const*($T476/omega)*O476*(wy*I476-wz*(H476-V476))/Z476)</f>
        <v>0</v>
      </c>
      <c r="AB476" s="5">
        <f>IF(M476=0,0,const*($T476/omega)*O476*(wz*(G476-U476)-wx*I476)/Z476)</f>
        <v>2.8234954488185906</v>
      </c>
      <c r="AC476" s="5">
        <f>IF(M476=0,0,const*($T476/omega)*O476*(wx*(H476-V476)-wy*(G476-U476))/Z476)</f>
        <v>9.0792652895114418</v>
      </c>
      <c r="AD476" s="5">
        <f t="shared" si="189"/>
        <v>0</v>
      </c>
      <c r="AE476" s="5">
        <f t="shared" si="189"/>
        <v>-11.012134085455454</v>
      </c>
      <c r="AF476" s="5">
        <f t="shared" si="177"/>
        <v>-18.792091734884423</v>
      </c>
      <c r="AG476">
        <f t="shared" si="188"/>
        <v>0</v>
      </c>
    </row>
    <row r="477" spans="1:33" x14ac:dyDescent="0.2">
      <c r="A477">
        <f t="shared" si="178"/>
        <v>4.4499999999999496</v>
      </c>
      <c r="B477" s="5">
        <f t="shared" si="179"/>
        <v>0</v>
      </c>
      <c r="C477" s="5">
        <f t="shared" si="180"/>
        <v>714.63094576079482</v>
      </c>
      <c r="D477" s="5">
        <f t="shared" si="181"/>
        <v>23.035119903076026</v>
      </c>
      <c r="E477" s="2">
        <f t="shared" si="163"/>
        <v>238.21031525359828</v>
      </c>
      <c r="F477" s="2">
        <f t="shared" si="182"/>
        <v>0</v>
      </c>
      <c r="G477" s="3">
        <f t="shared" si="183"/>
        <v>0</v>
      </c>
      <c r="H477" s="3">
        <f t="shared" si="184"/>
        <v>118.99604099253752</v>
      </c>
      <c r="I477" s="3">
        <f t="shared" si="185"/>
        <v>-37.227890182601683</v>
      </c>
      <c r="J477" s="2">
        <f t="shared" si="164"/>
        <v>124.68349361220803</v>
      </c>
      <c r="K477" s="2">
        <f t="shared" si="186"/>
        <v>84.992156518205874</v>
      </c>
      <c r="L477" s="5">
        <f t="shared" si="165"/>
        <v>28.066420099816753</v>
      </c>
      <c r="M477" s="3">
        <f t="shared" si="166"/>
        <v>18.763653016013951</v>
      </c>
      <c r="N477" s="2">
        <v>0</v>
      </c>
      <c r="O477" s="2">
        <f t="shared" si="167"/>
        <v>124.68349361220803</v>
      </c>
      <c r="P477" s="2">
        <f t="shared" si="168"/>
        <v>84.992156518205874</v>
      </c>
      <c r="Q477" s="5">
        <f t="shared" si="169"/>
        <v>1.0508289514932987</v>
      </c>
      <c r="R477" s="5">
        <f t="shared" si="170"/>
        <v>0.16389058803885409</v>
      </c>
      <c r="S477" s="4">
        <f t="shared" si="187"/>
        <v>0.15049027319023375</v>
      </c>
      <c r="T477" s="5">
        <f t="shared" si="171"/>
        <v>0.10755110489086926</v>
      </c>
      <c r="U477" s="4">
        <f t="shared" si="172"/>
        <v>0</v>
      </c>
      <c r="V477" s="4">
        <f t="shared" si="173"/>
        <v>0</v>
      </c>
      <c r="W477" s="5">
        <f t="shared" si="174"/>
        <v>0</v>
      </c>
      <c r="X477" s="5">
        <f t="shared" si="175"/>
        <v>-13.81765443292135</v>
      </c>
      <c r="Y477" s="5">
        <f t="shared" si="176"/>
        <v>4.3228507227580328</v>
      </c>
      <c r="Z477" s="5">
        <f>1</f>
        <v>1</v>
      </c>
      <c r="AA477" s="5">
        <f>IF(M477=0,0,const*($T477/omega)*O477*(wy*I477-wz*(H477-V477))/Z477)</f>
        <v>0</v>
      </c>
      <c r="AB477" s="5">
        <f>IF(M477=0,0,const*($T477/omega)*O477*(wz*(G477-U477)-wx*I477)/Z477)</f>
        <v>2.8368155674729612</v>
      </c>
      <c r="AC477" s="5">
        <f>IF(M477=0,0,const*($T477/omega)*O477*(wx*(H477-V477)-wy*(G477-U477))/Z477)</f>
        <v>9.0676592173102275</v>
      </c>
      <c r="AD477" s="5">
        <f t="shared" si="189"/>
        <v>0</v>
      </c>
      <c r="AE477" s="5">
        <f t="shared" si="189"/>
        <v>-10.980838865448389</v>
      </c>
      <c r="AF477" s="5">
        <f t="shared" si="177"/>
        <v>-18.78349005993174</v>
      </c>
      <c r="AG477">
        <f t="shared" si="188"/>
        <v>0</v>
      </c>
    </row>
    <row r="478" spans="1:33" x14ac:dyDescent="0.2">
      <c r="A478">
        <f t="shared" si="178"/>
        <v>4.4599999999999493</v>
      </c>
      <c r="B478" s="5">
        <f t="shared" si="179"/>
        <v>0</v>
      </c>
      <c r="C478" s="5">
        <f t="shared" si="180"/>
        <v>715.82035712877689</v>
      </c>
      <c r="D478" s="5">
        <f t="shared" si="181"/>
        <v>22.661901826747012</v>
      </c>
      <c r="E478" s="2">
        <f t="shared" si="163"/>
        <v>238.60678570959229</v>
      </c>
      <c r="F478" s="2">
        <f t="shared" si="182"/>
        <v>0</v>
      </c>
      <c r="G478" s="3">
        <f t="shared" si="183"/>
        <v>0</v>
      </c>
      <c r="H478" s="3">
        <f t="shared" si="184"/>
        <v>118.88623260388303</v>
      </c>
      <c r="I478" s="3">
        <f t="shared" si="185"/>
        <v>-37.415725083201004</v>
      </c>
      <c r="J478" s="2">
        <f t="shared" si="164"/>
        <v>124.63495812269629</v>
      </c>
      <c r="K478" s="2">
        <f t="shared" si="186"/>
        <v>84.959071658279669</v>
      </c>
      <c r="L478" s="5">
        <f t="shared" si="165"/>
        <v>28.07734975758617</v>
      </c>
      <c r="M478" s="3">
        <f t="shared" si="166"/>
        <v>18.758129071995949</v>
      </c>
      <c r="N478" s="2">
        <v>0</v>
      </c>
      <c r="O478" s="2">
        <f t="shared" si="167"/>
        <v>124.63495812269629</v>
      </c>
      <c r="P478" s="2">
        <f t="shared" si="168"/>
        <v>84.959071658279669</v>
      </c>
      <c r="Q478" s="5">
        <f t="shared" si="169"/>
        <v>1.0504198957628548</v>
      </c>
      <c r="R478" s="5">
        <f t="shared" si="170"/>
        <v>0.16389356923479423</v>
      </c>
      <c r="S478" s="4">
        <f t="shared" si="187"/>
        <v>0.15050455630217005</v>
      </c>
      <c r="T478" s="5">
        <f t="shared" si="171"/>
        <v>0.10755518786766297</v>
      </c>
      <c r="U478" s="4">
        <f t="shared" si="172"/>
        <v>0</v>
      </c>
      <c r="V478" s="4">
        <f t="shared" si="173"/>
        <v>0</v>
      </c>
      <c r="W478" s="5">
        <f t="shared" si="174"/>
        <v>0</v>
      </c>
      <c r="X478" s="5">
        <f t="shared" si="175"/>
        <v>-13.799780822667081</v>
      </c>
      <c r="Y478" s="5">
        <f t="shared" si="176"/>
        <v>4.3430496043195896</v>
      </c>
      <c r="Z478" s="5">
        <f>1</f>
        <v>1</v>
      </c>
      <c r="AA478" s="5">
        <f>IF(M478=0,0,const*($T478/omega)*O478*(wy*I478-wz*(H478-V478))/Z478)</f>
        <v>0</v>
      </c>
      <c r="AB478" s="5">
        <f>IF(M478=0,0,const*($T478/omega)*O478*(wz*(G478-U478)-wx*I478)/Z478)</f>
        <v>2.8501271788277385</v>
      </c>
      <c r="AC478" s="5">
        <f>IF(M478=0,0,const*($T478/omega)*O478*(wx*(H478-V478)-wy*(G478-U478))/Z478)</f>
        <v>9.0561089482907544</v>
      </c>
      <c r="AD478" s="5">
        <f t="shared" si="189"/>
        <v>0</v>
      </c>
      <c r="AE478" s="5">
        <f t="shared" si="189"/>
        <v>-10.949653643839342</v>
      </c>
      <c r="AF478" s="5">
        <f t="shared" si="177"/>
        <v>-18.774841447389655</v>
      </c>
      <c r="AG478">
        <f t="shared" si="188"/>
        <v>0</v>
      </c>
    </row>
    <row r="479" spans="1:33" x14ac:dyDescent="0.2">
      <c r="A479">
        <f t="shared" si="178"/>
        <v>4.4699999999999491</v>
      </c>
      <c r="B479" s="5">
        <f t="shared" si="179"/>
        <v>0</v>
      </c>
      <c r="C479" s="5">
        <f t="shared" si="180"/>
        <v>717.00867197213347</v>
      </c>
      <c r="D479" s="5">
        <f t="shared" si="181"/>
        <v>22.286805833842632</v>
      </c>
      <c r="E479" s="2">
        <f t="shared" si="163"/>
        <v>239.00289065737783</v>
      </c>
      <c r="F479" s="2">
        <f t="shared" si="182"/>
        <v>0</v>
      </c>
      <c r="G479" s="3">
        <f t="shared" si="183"/>
        <v>0</v>
      </c>
      <c r="H479" s="3">
        <f t="shared" si="184"/>
        <v>118.77673606744463</v>
      </c>
      <c r="I479" s="3">
        <f t="shared" si="185"/>
        <v>-37.603473497674898</v>
      </c>
      <c r="J479" s="2">
        <f t="shared" si="164"/>
        <v>124.58705490509735</v>
      </c>
      <c r="K479" s="2">
        <f t="shared" si="186"/>
        <v>84.926417794885708</v>
      </c>
      <c r="L479" s="5">
        <f t="shared" si="165"/>
        <v>28.088145384756775</v>
      </c>
      <c r="M479" s="3">
        <f t="shared" si="166"/>
        <v>18.752596810752596</v>
      </c>
      <c r="N479" s="2">
        <v>0</v>
      </c>
      <c r="O479" s="2">
        <f t="shared" si="167"/>
        <v>124.58705490509735</v>
      </c>
      <c r="P479" s="2">
        <f t="shared" si="168"/>
        <v>84.926417794885708</v>
      </c>
      <c r="Q479" s="5">
        <f t="shared" si="169"/>
        <v>1.0500161688021776</v>
      </c>
      <c r="R479" s="5">
        <f t="shared" si="170"/>
        <v>0.16389637938244506</v>
      </c>
      <c r="S479" s="4">
        <f t="shared" si="187"/>
        <v>0.15051801991015162</v>
      </c>
      <c r="T479" s="5">
        <f t="shared" si="171"/>
        <v>0.10755903636783121</v>
      </c>
      <c r="U479" s="4">
        <f t="shared" si="172"/>
        <v>0</v>
      </c>
      <c r="V479" s="4">
        <f t="shared" si="173"/>
        <v>0</v>
      </c>
      <c r="W479" s="5">
        <f t="shared" si="174"/>
        <v>0</v>
      </c>
      <c r="X479" s="5">
        <f t="shared" si="175"/>
        <v>-13.782008224893991</v>
      </c>
      <c r="Y479" s="5">
        <f t="shared" si="176"/>
        <v>4.3632397907891791</v>
      </c>
      <c r="Z479" s="5">
        <f>1</f>
        <v>1</v>
      </c>
      <c r="AA479" s="5">
        <f>IF(M479=0,0,const*($T479/omega)*O479*(wy*I479-wz*(H479-V479))/Z479)</f>
        <v>0</v>
      </c>
      <c r="AB479" s="5">
        <f>IF(M479=0,0,const*($T479/omega)*O479*(wz*(G479-U479)-wx*I479)/Z479)</f>
        <v>2.8634303521980602</v>
      </c>
      <c r="AC479" s="5">
        <f>IF(M479=0,0,const*($T479/omega)*O479*(wx*(H479-V479)-wy*(G479-U479))/Z479)</f>
        <v>9.044614221916726</v>
      </c>
      <c r="AD479" s="5">
        <f t="shared" si="189"/>
        <v>0</v>
      </c>
      <c r="AE479" s="5">
        <f t="shared" si="189"/>
        <v>-10.918577872695931</v>
      </c>
      <c r="AF479" s="5">
        <f t="shared" si="177"/>
        <v>-18.766145987294095</v>
      </c>
      <c r="AG479">
        <f t="shared" si="188"/>
        <v>0</v>
      </c>
    </row>
    <row r="480" spans="1:33" x14ac:dyDescent="0.2">
      <c r="A480">
        <f t="shared" si="178"/>
        <v>4.4799999999999489</v>
      </c>
      <c r="B480" s="5">
        <f t="shared" si="179"/>
        <v>0</v>
      </c>
      <c r="C480" s="5">
        <f t="shared" si="180"/>
        <v>718.19589340391428</v>
      </c>
      <c r="D480" s="5">
        <f t="shared" si="181"/>
        <v>21.909832791566519</v>
      </c>
      <c r="E480" s="2">
        <f t="shared" ref="E480:E543" si="190">SQRT(B480^2+C480^2)/3</f>
        <v>239.39863113463809</v>
      </c>
      <c r="F480" s="2">
        <f t="shared" si="182"/>
        <v>0</v>
      </c>
      <c r="G480" s="3">
        <f t="shared" si="183"/>
        <v>0</v>
      </c>
      <c r="H480" s="3">
        <f t="shared" si="184"/>
        <v>118.66755028871768</v>
      </c>
      <c r="I480" s="3">
        <f t="shared" si="185"/>
        <v>-37.79113495754784</v>
      </c>
      <c r="J480" s="2">
        <f t="shared" ref="J480:J543" si="191">SQRT(G480^2+H480^2+I480^2)</f>
        <v>124.53978229025829</v>
      </c>
      <c r="K480" s="2">
        <f t="shared" si="186"/>
        <v>84.894193790223781</v>
      </c>
      <c r="L480" s="5">
        <f t="shared" ref="L480:L543" si="192">1/(0.00002*J480/(circ/(2*PI()*12)))</f>
        <v>28.098807038839503</v>
      </c>
      <c r="M480" s="3">
        <f t="shared" ref="M480:M543" si="193">romega*EXP(-A480/L480)</f>
        <v>18.74705617904689</v>
      </c>
      <c r="N480" s="2">
        <v>0</v>
      </c>
      <c r="O480" s="2">
        <f t="shared" ref="O480:O543" si="194">IF(D480&gt;=hwind,SQRT((G480-vxw)^2+(H480-vyw)^2+I480^2),J480)</f>
        <v>124.53978229025829</v>
      </c>
      <c r="P480" s="2">
        <f t="shared" ref="P480:P543" si="195">J480/1.467</f>
        <v>84.894193790223781</v>
      </c>
      <c r="Q480" s="5">
        <f t="shared" ref="Q480:Q543" si="196">(P480/100)*Re_100*0.00001</f>
        <v>1.0496177565436942</v>
      </c>
      <c r="R480" s="5">
        <f t="shared" ref="R480:R543" si="197">IF(Q480&lt;=ReLow,CdL,IF(Q480&lt;ReHigh,CdL+(CdH-CdL)*(Q480-ReLow)/(ReHigh-ReLow),CdH))+CdS*S480</f>
        <v>0.16389901857350264</v>
      </c>
      <c r="S480" s="4">
        <f t="shared" si="187"/>
        <v>0.15053066445350063</v>
      </c>
      <c r="T480" s="5">
        <f t="shared" ref="T480:T543" si="198">ClAmp*S480^0.4</f>
        <v>0.10756265055468964</v>
      </c>
      <c r="U480" s="4">
        <f t="shared" ref="U480:U543" si="199">IF(D480&gt;=hwind,vxw,0)</f>
        <v>0</v>
      </c>
      <c r="V480" s="4">
        <f t="shared" ref="V480:V543" si="200">IF(D480&gt;=hwind,vyw,0)</f>
        <v>0</v>
      </c>
      <c r="W480" s="5">
        <f t="shared" ref="W480:W543" si="201">-const*$R480*$O480*(G480-U480)</f>
        <v>0</v>
      </c>
      <c r="X480" s="5">
        <f t="shared" ref="X480:X543" si="202">-const*$R480*$O480*(H480-V480)</f>
        <v>-13.764336163050462</v>
      </c>
      <c r="Y480" s="5">
        <f t="shared" ref="Y480:Y543" si="203">-const*$R480*$O480*I480</f>
        <v>4.3834214515537306</v>
      </c>
      <c r="Z480" s="5">
        <f>1</f>
        <v>1</v>
      </c>
      <c r="AA480" s="5">
        <f>IF(M480=0,0,const*($T480/omega)*O480*(wy*I480-wz*(H480-V480))/Z480)</f>
        <v>0</v>
      </c>
      <c r="AB480" s="5">
        <f>IF(M480=0,0,const*($T480/omega)*O480*(wz*(G480-U480)-wx*I480)/Z480)</f>
        <v>2.8767251563251888</v>
      </c>
      <c r="AC480" s="5">
        <f>IF(M480=0,0,const*($T480/omega)*O480*(wx*(H480-V480)-wy*(G480-U480))/Z480)</f>
        <v>9.0331747786489167</v>
      </c>
      <c r="AD480" s="5">
        <f t="shared" si="189"/>
        <v>0</v>
      </c>
      <c r="AE480" s="5">
        <f t="shared" si="189"/>
        <v>-10.887611006725272</v>
      </c>
      <c r="AF480" s="5">
        <f t="shared" ref="AF480:AF543" si="204">Y480+AC480-32.174</f>
        <v>-18.757403769797353</v>
      </c>
      <c r="AG480">
        <f t="shared" si="188"/>
        <v>0</v>
      </c>
    </row>
    <row r="481" spans="1:33" x14ac:dyDescent="0.2">
      <c r="A481">
        <f t="shared" ref="A481:A544" si="205">A480+dt</f>
        <v>4.4899999999999487</v>
      </c>
      <c r="B481" s="5">
        <f t="shared" ref="B481:B544" si="206">B480+G480*dt+0.5*AD480*dt*dt</f>
        <v>0</v>
      </c>
      <c r="C481" s="5">
        <f t="shared" ref="C481:C544" si="207">C480+H480*dt+0.5*AE480*dt*dt</f>
        <v>719.38202452625114</v>
      </c>
      <c r="D481" s="5">
        <f t="shared" ref="D481:D544" si="208">D480+I480*dt+0.5*AF480*dt*dt</f>
        <v>21.530983571802551</v>
      </c>
      <c r="E481" s="2">
        <f t="shared" si="190"/>
        <v>239.79400817541705</v>
      </c>
      <c r="F481" s="2">
        <f t="shared" ref="F481:F544" si="209">ATAN2(C481,B481)*180/PI()</f>
        <v>0</v>
      </c>
      <c r="G481" s="3">
        <f t="shared" ref="G481:G544" si="210">G480+AD480*dt</f>
        <v>0</v>
      </c>
      <c r="H481" s="3">
        <f t="shared" ref="H481:H544" si="211">H480+AE480*dt</f>
        <v>118.55867417865042</v>
      </c>
      <c r="I481" s="3">
        <f t="shared" ref="I481:I544" si="212">I480+AF480*dt</f>
        <v>-37.97870899524581</v>
      </c>
      <c r="J481" s="2">
        <f t="shared" si="191"/>
        <v>124.49313860588846</v>
      </c>
      <c r="K481" s="2">
        <f t="shared" ref="K481:K544" si="213">J481/1.467</f>
        <v>84.862398504354772</v>
      </c>
      <c r="L481" s="5">
        <f t="shared" si="192"/>
        <v>28.109334782788814</v>
      </c>
      <c r="M481" s="3">
        <f t="shared" si="193"/>
        <v>18.741507124158481</v>
      </c>
      <c r="N481" s="2">
        <v>0</v>
      </c>
      <c r="O481" s="2">
        <f t="shared" si="194"/>
        <v>124.49313860588846</v>
      </c>
      <c r="P481" s="2">
        <f t="shared" si="195"/>
        <v>84.862398504354772</v>
      </c>
      <c r="Q481" s="5">
        <f t="shared" si="196"/>
        <v>1.0492246448933855</v>
      </c>
      <c r="R481" s="5">
        <f t="shared" si="197"/>
        <v>0.16390148690680334</v>
      </c>
      <c r="S481" s="4">
        <f t="shared" ref="S481:S544" si="214">(M481/O481)</f>
        <v>0.15054249040574849</v>
      </c>
      <c r="T481" s="5">
        <f t="shared" si="198"/>
        <v>0.10756603059900181</v>
      </c>
      <c r="U481" s="4">
        <f t="shared" si="199"/>
        <v>0</v>
      </c>
      <c r="V481" s="4">
        <f t="shared" si="200"/>
        <v>0</v>
      </c>
      <c r="W481" s="5">
        <f t="shared" si="201"/>
        <v>0</v>
      </c>
      <c r="X481" s="5">
        <f t="shared" si="202"/>
        <v>-13.746764162639172</v>
      </c>
      <c r="Y481" s="5">
        <f t="shared" si="203"/>
        <v>4.4035947548843453</v>
      </c>
      <c r="Z481" s="5">
        <f>1</f>
        <v>1</v>
      </c>
      <c r="AA481" s="5">
        <f>IF(M481=0,0,const*($T481/omega)*O481*(wy*I481-wz*(H481-V481))/Z481)</f>
        <v>0</v>
      </c>
      <c r="AB481" s="5">
        <f>IF(M481=0,0,const*($T481/omega)*O481*(wz*(G481-U481)-wx*I481)/Z481)</f>
        <v>2.8900116593745904</v>
      </c>
      <c r="AC481" s="5">
        <f>IF(M481=0,0,const*($T481/omega)*O481*(wx*(H481-V481)-wy*(G481-U481))/Z481)</f>
        <v>9.0217903599404661</v>
      </c>
      <c r="AD481" s="5">
        <f t="shared" si="189"/>
        <v>0</v>
      </c>
      <c r="AE481" s="5">
        <f t="shared" si="189"/>
        <v>-10.856752503264582</v>
      </c>
      <c r="AF481" s="5">
        <f t="shared" si="204"/>
        <v>-18.748614885175186</v>
      </c>
      <c r="AG481">
        <f t="shared" si="188"/>
        <v>0</v>
      </c>
    </row>
    <row r="482" spans="1:33" x14ac:dyDescent="0.2">
      <c r="A482">
        <f t="shared" si="205"/>
        <v>4.4999999999999485</v>
      </c>
      <c r="B482" s="5">
        <f t="shared" si="206"/>
        <v>0</v>
      </c>
      <c r="C482" s="5">
        <f t="shared" si="207"/>
        <v>720.56706843041252</v>
      </c>
      <c r="D482" s="5">
        <f t="shared" si="208"/>
        <v>21.150259051105834</v>
      </c>
      <c r="E482" s="2">
        <f t="shared" si="190"/>
        <v>240.18902281013752</v>
      </c>
      <c r="F482" s="2">
        <f t="shared" si="209"/>
        <v>0</v>
      </c>
      <c r="G482" s="3">
        <f t="shared" si="210"/>
        <v>0</v>
      </c>
      <c r="H482" s="3">
        <f t="shared" si="211"/>
        <v>118.45010665361778</v>
      </c>
      <c r="I482" s="3">
        <f t="shared" si="212"/>
        <v>-38.166195144097564</v>
      </c>
      <c r="J482" s="2">
        <f t="shared" si="191"/>
        <v>124.44712217657251</v>
      </c>
      <c r="K482" s="2">
        <f t="shared" si="213"/>
        <v>84.831030795209614</v>
      </c>
      <c r="L482" s="5">
        <f t="shared" si="192"/>
        <v>28.119728684990221</v>
      </c>
      <c r="M482" s="3">
        <f t="shared" si="193"/>
        <v>18.735949593883824</v>
      </c>
      <c r="N482" s="2">
        <v>0</v>
      </c>
      <c r="O482" s="2">
        <f t="shared" si="194"/>
        <v>124.44712217657251</v>
      </c>
      <c r="P482" s="2">
        <f t="shared" si="195"/>
        <v>84.831030795209614</v>
      </c>
      <c r="Q482" s="5">
        <f t="shared" si="196"/>
        <v>1.048836819730899</v>
      </c>
      <c r="R482" s="5">
        <f t="shared" si="197"/>
        <v>0.1639037844883065</v>
      </c>
      <c r="S482" s="4">
        <f t="shared" si="214"/>
        <v>0.15055349827455403</v>
      </c>
      <c r="T482" s="5">
        <f t="shared" si="198"/>
        <v>0.10756917667895914</v>
      </c>
      <c r="U482" s="4">
        <f t="shared" si="199"/>
        <v>0</v>
      </c>
      <c r="V482" s="4">
        <f t="shared" si="200"/>
        <v>0</v>
      </c>
      <c r="W482" s="5">
        <f t="shared" si="201"/>
        <v>0</v>
      </c>
      <c r="X482" s="5">
        <f t="shared" si="202"/>
        <v>-13.729291751205867</v>
      </c>
      <c r="Y482" s="5">
        <f t="shared" si="203"/>
        <v>4.4237598679339634</v>
      </c>
      <c r="Z482" s="5">
        <f>1</f>
        <v>1</v>
      </c>
      <c r="AA482" s="5">
        <f>IF(M482=0,0,const*($T482/omega)*O482*(wy*I482-wz*(H482-V482))/Z482)</f>
        <v>0</v>
      </c>
      <c r="AB482" s="5">
        <f>IF(M482=0,0,const*($T482/omega)*O482*(wz*(G482-U482)-wx*I482)/Z482)</f>
        <v>2.903289928934051</v>
      </c>
      <c r="AC482" s="5">
        <f>IF(M482=0,0,const*($T482/omega)*O482*(wx*(H482-V482)-wy*(G482-U482))/Z482)</f>
        <v>9.0104607082321753</v>
      </c>
      <c r="AD482" s="5">
        <f t="shared" si="189"/>
        <v>0</v>
      </c>
      <c r="AE482" s="5">
        <f t="shared" si="189"/>
        <v>-10.826001822271817</v>
      </c>
      <c r="AF482" s="5">
        <f t="shared" si="204"/>
        <v>-18.739779423833859</v>
      </c>
      <c r="AG482">
        <f t="shared" ref="AG482:AG545" si="215">IF($D482*$D483&lt;0,1,0)</f>
        <v>0</v>
      </c>
    </row>
    <row r="483" spans="1:33" x14ac:dyDescent="0.2">
      <c r="A483">
        <f t="shared" si="205"/>
        <v>4.5099999999999483</v>
      </c>
      <c r="B483" s="5">
        <f t="shared" si="206"/>
        <v>0</v>
      </c>
      <c r="C483" s="5">
        <f t="shared" si="207"/>
        <v>721.75102819685765</v>
      </c>
      <c r="D483" s="5">
        <f t="shared" si="208"/>
        <v>20.767660110693669</v>
      </c>
      <c r="E483" s="2">
        <f t="shared" si="190"/>
        <v>240.58367606561922</v>
      </c>
      <c r="F483" s="2">
        <f t="shared" si="209"/>
        <v>0</v>
      </c>
      <c r="G483" s="3">
        <f t="shared" si="210"/>
        <v>0</v>
      </c>
      <c r="H483" s="3">
        <f t="shared" si="211"/>
        <v>118.34184663539506</v>
      </c>
      <c r="I483" s="3">
        <f t="shared" si="212"/>
        <v>-38.3535929383359</v>
      </c>
      <c r="J483" s="2">
        <f t="shared" si="191"/>
        <v>124.40173132378398</v>
      </c>
      <c r="K483" s="2">
        <f t="shared" si="213"/>
        <v>84.800089518598483</v>
      </c>
      <c r="L483" s="5">
        <f t="shared" si="192"/>
        <v>28.129988819247291</v>
      </c>
      <c r="M483" s="3">
        <f t="shared" si="193"/>
        <v>18.730383536536291</v>
      </c>
      <c r="N483" s="2">
        <v>0</v>
      </c>
      <c r="O483" s="2">
        <f t="shared" si="194"/>
        <v>124.40173132378398</v>
      </c>
      <c r="P483" s="2">
        <f t="shared" si="195"/>
        <v>84.800089518598483</v>
      </c>
      <c r="Q483" s="5">
        <f t="shared" si="196"/>
        <v>1.048454266909661</v>
      </c>
      <c r="R483" s="5">
        <f t="shared" si="197"/>
        <v>0.1639059114310768</v>
      </c>
      <c r="S483" s="4">
        <f t="shared" si="214"/>
        <v>0.15056368860161745</v>
      </c>
      <c r="T483" s="5">
        <f t="shared" si="198"/>
        <v>0.10757208898016034</v>
      </c>
      <c r="U483" s="4">
        <f t="shared" si="199"/>
        <v>0</v>
      </c>
      <c r="V483" s="4">
        <f t="shared" si="200"/>
        <v>0</v>
      </c>
      <c r="W483" s="5">
        <f t="shared" si="201"/>
        <v>0</v>
      </c>
      <c r="X483" s="5">
        <f t="shared" si="202"/>
        <v>-13.711918458328272</v>
      </c>
      <c r="Y483" s="5">
        <f t="shared" si="203"/>
        <v>4.4439169567351016</v>
      </c>
      <c r="Z483" s="5">
        <f>1</f>
        <v>1</v>
      </c>
      <c r="AA483" s="5">
        <f>IF(M483=0,0,const*($T483/omega)*O483*(wy*I483-wz*(H483-V483))/Z483)</f>
        <v>0</v>
      </c>
      <c r="AB483" s="5">
        <f>IF(M483=0,0,const*($T483/omega)*O483*(wz*(G483-U483)-wx*I483)/Z483)</f>
        <v>2.9165600320118434</v>
      </c>
      <c r="AC483" s="5">
        <f>IF(M483=0,0,const*($T483/omega)*O483*(wx*(H483-V483)-wy*(G483-U483))/Z483)</f>
        <v>8.999185566947931</v>
      </c>
      <c r="AD483" s="5">
        <f t="shared" si="189"/>
        <v>0</v>
      </c>
      <c r="AE483" s="5">
        <f t="shared" si="189"/>
        <v>-10.79535842631643</v>
      </c>
      <c r="AF483" s="5">
        <f t="shared" si="204"/>
        <v>-18.730897476316969</v>
      </c>
      <c r="AG483">
        <f t="shared" si="215"/>
        <v>0</v>
      </c>
    </row>
    <row r="484" spans="1:33" x14ac:dyDescent="0.2">
      <c r="A484">
        <f t="shared" si="205"/>
        <v>4.5199999999999481</v>
      </c>
      <c r="B484" s="5">
        <f t="shared" si="206"/>
        <v>0</v>
      </c>
      <c r="C484" s="5">
        <f t="shared" si="207"/>
        <v>722.93390689529031</v>
      </c>
      <c r="D484" s="5">
        <f t="shared" si="208"/>
        <v>20.383187636436492</v>
      </c>
      <c r="E484" s="2">
        <f t="shared" si="190"/>
        <v>240.97796896509678</v>
      </c>
      <c r="F484" s="2">
        <f t="shared" si="209"/>
        <v>0</v>
      </c>
      <c r="G484" s="3">
        <f t="shared" si="210"/>
        <v>0</v>
      </c>
      <c r="H484" s="3">
        <f t="shared" si="211"/>
        <v>118.23389305113189</v>
      </c>
      <c r="I484" s="3">
        <f t="shared" si="212"/>
        <v>-38.54090191309907</v>
      </c>
      <c r="J484" s="2">
        <f t="shared" si="191"/>
        <v>124.35696436589959</v>
      </c>
      <c r="K484" s="2">
        <f t="shared" si="213"/>
        <v>84.769573528220576</v>
      </c>
      <c r="L484" s="5">
        <f t="shared" si="192"/>
        <v>28.1401152647679</v>
      </c>
      <c r="M484" s="3">
        <f t="shared" si="193"/>
        <v>18.724808900946279</v>
      </c>
      <c r="N484" s="2">
        <v>0</v>
      </c>
      <c r="O484" s="2">
        <f t="shared" si="194"/>
        <v>124.35696436589959</v>
      </c>
      <c r="P484" s="2">
        <f t="shared" si="195"/>
        <v>84.769573528220576</v>
      </c>
      <c r="Q484" s="5">
        <f t="shared" si="196"/>
        <v>1.0480769722569983</v>
      </c>
      <c r="R484" s="5">
        <f t="shared" si="197"/>
        <v>0.16390786785526526</v>
      </c>
      <c r="S484" s="4">
        <f t="shared" si="214"/>
        <v>0.15057306196259068</v>
      </c>
      <c r="T484" s="5">
        <f t="shared" si="198"/>
        <v>0.10757476769558999</v>
      </c>
      <c r="U484" s="4">
        <f t="shared" si="199"/>
        <v>0</v>
      </c>
      <c r="V484" s="4">
        <f t="shared" si="200"/>
        <v>0</v>
      </c>
      <c r="W484" s="5">
        <f t="shared" si="201"/>
        <v>0</v>
      </c>
      <c r="X484" s="5">
        <f t="shared" si="202"/>
        <v>-13.694643815605122</v>
      </c>
      <c r="Y484" s="5">
        <f t="shared" si="203"/>
        <v>4.4640661861976385</v>
      </c>
      <c r="Z484" s="5">
        <f>1</f>
        <v>1</v>
      </c>
      <c r="AA484" s="5">
        <f>IF(M484=0,0,const*($T484/omega)*O484*(wy*I484-wz*(H484-V484))/Z484)</f>
        <v>0</v>
      </c>
      <c r="AB484" s="5">
        <f>IF(M484=0,0,const*($T484/omega)*O484*(wz*(G484-U484)-wx*I484)/Z484)</f>
        <v>2.9298220350349284</v>
      </c>
      <c r="AC484" s="5">
        <f>IF(M484=0,0,const*($T484/omega)*O484*(wx*(H484-V484)-wy*(G484-U484))/Z484)</f>
        <v>8.9879646804901405</v>
      </c>
      <c r="AD484" s="5">
        <f t="shared" si="189"/>
        <v>0</v>
      </c>
      <c r="AE484" s="5">
        <f t="shared" si="189"/>
        <v>-10.764821780570195</v>
      </c>
      <c r="AF484" s="5">
        <f t="shared" si="204"/>
        <v>-18.721969133312221</v>
      </c>
      <c r="AG484">
        <f t="shared" si="215"/>
        <v>0</v>
      </c>
    </row>
    <row r="485" spans="1:33" x14ac:dyDescent="0.2">
      <c r="A485">
        <f t="shared" si="205"/>
        <v>4.5299999999999478</v>
      </c>
      <c r="B485" s="5">
        <f t="shared" si="206"/>
        <v>0</v>
      </c>
      <c r="C485" s="5">
        <f t="shared" si="207"/>
        <v>724.1157075847126</v>
      </c>
      <c r="D485" s="5">
        <f t="shared" si="208"/>
        <v>19.996842518848837</v>
      </c>
      <c r="E485" s="2">
        <f t="shared" si="190"/>
        <v>241.37190252823754</v>
      </c>
      <c r="F485" s="2">
        <f t="shared" si="209"/>
        <v>0</v>
      </c>
      <c r="G485" s="3">
        <f t="shared" si="210"/>
        <v>0</v>
      </c>
      <c r="H485" s="3">
        <f t="shared" si="211"/>
        <v>118.12624483332618</v>
      </c>
      <c r="I485" s="3">
        <f t="shared" si="212"/>
        <v>-38.728121604432189</v>
      </c>
      <c r="J485" s="2">
        <f t="shared" si="191"/>
        <v>124.31281961821399</v>
      </c>
      <c r="K485" s="2">
        <f t="shared" si="213"/>
        <v>84.739481675674156</v>
      </c>
      <c r="L485" s="5">
        <f t="shared" si="192"/>
        <v>28.150108106150007</v>
      </c>
      <c r="M485" s="3">
        <f t="shared" si="193"/>
        <v>18.719225636461275</v>
      </c>
      <c r="N485" s="2">
        <v>0</v>
      </c>
      <c r="O485" s="2">
        <f t="shared" si="194"/>
        <v>124.31281961821399</v>
      </c>
      <c r="P485" s="2">
        <f t="shared" si="195"/>
        <v>84.739481675674156</v>
      </c>
      <c r="Q485" s="5">
        <f t="shared" si="196"/>
        <v>1.0477049215742618</v>
      </c>
      <c r="R485" s="5">
        <f t="shared" si="197"/>
        <v>0.1639096538880899</v>
      </c>
      <c r="S485" s="4">
        <f t="shared" si="214"/>
        <v>0.15058161896698369</v>
      </c>
      <c r="T485" s="5">
        <f t="shared" si="198"/>
        <v>0.10757721302559639</v>
      </c>
      <c r="U485" s="4">
        <f t="shared" si="199"/>
        <v>0</v>
      </c>
      <c r="V485" s="4">
        <f t="shared" si="200"/>
        <v>0</v>
      </c>
      <c r="W485" s="5">
        <f t="shared" si="201"/>
        <v>0</v>
      </c>
      <c r="X485" s="5">
        <f t="shared" si="202"/>
        <v>-13.677467356645289</v>
      </c>
      <c r="Y485" s="5">
        <f t="shared" si="203"/>
        <v>4.4842077201066575</v>
      </c>
      <c r="Z485" s="5">
        <f>1</f>
        <v>1</v>
      </c>
      <c r="AA485" s="5">
        <f>IF(M485=0,0,const*($T485/omega)*O485*(wy*I485-wz*(H485-V485))/Z485)</f>
        <v>0</v>
      </c>
      <c r="AB485" s="5">
        <f>IF(M485=0,0,const*($T485/omega)*O485*(wz*(G485-U485)-wx*I485)/Z485)</f>
        <v>2.9430760038472039</v>
      </c>
      <c r="AC485" s="5">
        <f>IF(M485=0,0,const*($T485/omega)*O485*(wx*(H485-V485)-wy*(G485-U485))/Z485)</f>
        <v>8.9767977942352655</v>
      </c>
      <c r="AD485" s="5">
        <f t="shared" si="189"/>
        <v>0</v>
      </c>
      <c r="AE485" s="5">
        <f t="shared" si="189"/>
        <v>-10.734391352798085</v>
      </c>
      <c r="AF485" s="5">
        <f t="shared" si="204"/>
        <v>-18.712994485658076</v>
      </c>
      <c r="AG485">
        <f t="shared" si="215"/>
        <v>0</v>
      </c>
    </row>
    <row r="486" spans="1:33" x14ac:dyDescent="0.2">
      <c r="A486">
        <f t="shared" si="205"/>
        <v>4.5399999999999476</v>
      </c>
      <c r="B486" s="5">
        <f t="shared" si="206"/>
        <v>0</v>
      </c>
      <c r="C486" s="5">
        <f t="shared" si="207"/>
        <v>725.29643331347825</v>
      </c>
      <c r="D486" s="5">
        <f t="shared" si="208"/>
        <v>19.608625653080232</v>
      </c>
      <c r="E486" s="2">
        <f t="shared" si="190"/>
        <v>241.76547777115942</v>
      </c>
      <c r="F486" s="2">
        <f t="shared" si="209"/>
        <v>0</v>
      </c>
      <c r="G486" s="3">
        <f t="shared" si="210"/>
        <v>0</v>
      </c>
      <c r="H486" s="3">
        <f t="shared" si="211"/>
        <v>118.0189009197982</v>
      </c>
      <c r="I486" s="3">
        <f t="shared" si="212"/>
        <v>-38.915251549288769</v>
      </c>
      <c r="J486" s="2">
        <f t="shared" si="191"/>
        <v>124.26929539295524</v>
      </c>
      <c r="K486" s="2">
        <f t="shared" si="213"/>
        <v>84.709812810467099</v>
      </c>
      <c r="L486" s="5">
        <f t="shared" si="192"/>
        <v>28.15996743336672</v>
      </c>
      <c r="M486" s="3">
        <f t="shared" si="193"/>
        <v>18.713633692945905</v>
      </c>
      <c r="N486" s="2">
        <v>0</v>
      </c>
      <c r="O486" s="2">
        <f t="shared" si="194"/>
        <v>124.26929539295524</v>
      </c>
      <c r="P486" s="2">
        <f t="shared" si="195"/>
        <v>84.709812810467099</v>
      </c>
      <c r="Q486" s="5">
        <f t="shared" si="196"/>
        <v>1.0473381006369573</v>
      </c>
      <c r="R486" s="5">
        <f t="shared" si="197"/>
        <v>0.16391126966381528</v>
      </c>
      <c r="S486" s="4">
        <f t="shared" si="214"/>
        <v>0.15058936025806718</v>
      </c>
      <c r="T486" s="5">
        <f t="shared" si="198"/>
        <v>0.1075794251778688</v>
      </c>
      <c r="U486" s="4">
        <f t="shared" si="199"/>
        <v>0</v>
      </c>
      <c r="V486" s="4">
        <f t="shared" si="200"/>
        <v>0</v>
      </c>
      <c r="W486" s="5">
        <f t="shared" si="201"/>
        <v>0</v>
      </c>
      <c r="X486" s="5">
        <f t="shared" si="202"/>
        <v>-13.660388617057045</v>
      </c>
      <c r="Y486" s="5">
        <f t="shared" si="203"/>
        <v>4.5043417211203494</v>
      </c>
      <c r="Z486" s="5">
        <f>1</f>
        <v>1</v>
      </c>
      <c r="AA486" s="5">
        <f>IF(M486=0,0,const*($T486/omega)*O486*(wy*I486-wz*(H486-V486))/Z486)</f>
        <v>0</v>
      </c>
      <c r="AB486" s="5">
        <f>IF(M486=0,0,const*($T486/omega)*O486*(wz*(G486-U486)-wx*I486)/Z486)</f>
        <v>2.9563220037077964</v>
      </c>
      <c r="AC486" s="5">
        <f>IF(M486=0,0,const*($T486/omega)*O486*(wx*(H486-V486)-wy*(G486-U486))/Z486)</f>
        <v>8.9656846545293991</v>
      </c>
      <c r="AD486" s="5">
        <f t="shared" si="189"/>
        <v>0</v>
      </c>
      <c r="AE486" s="5">
        <f t="shared" si="189"/>
        <v>-10.704066613349248</v>
      </c>
      <c r="AF486" s="5">
        <f t="shared" si="204"/>
        <v>-18.703973624350251</v>
      </c>
      <c r="AG486">
        <f t="shared" si="215"/>
        <v>0</v>
      </c>
    </row>
    <row r="487" spans="1:33" x14ac:dyDescent="0.2">
      <c r="A487">
        <f t="shared" si="205"/>
        <v>4.5499999999999474</v>
      </c>
      <c r="B487" s="5">
        <f t="shared" si="206"/>
        <v>0</v>
      </c>
      <c r="C487" s="5">
        <f t="shared" si="207"/>
        <v>726.47608711934561</v>
      </c>
      <c r="D487" s="5">
        <f t="shared" si="208"/>
        <v>19.218537938906124</v>
      </c>
      <c r="E487" s="2">
        <f t="shared" si="190"/>
        <v>242.15869570644853</v>
      </c>
      <c r="F487" s="2">
        <f t="shared" si="209"/>
        <v>0</v>
      </c>
      <c r="G487" s="3">
        <f t="shared" si="210"/>
        <v>0</v>
      </c>
      <c r="H487" s="3">
        <f t="shared" si="211"/>
        <v>117.91186025366471</v>
      </c>
      <c r="I487" s="3">
        <f t="shared" si="212"/>
        <v>-39.102291285532274</v>
      </c>
      <c r="J487" s="2">
        <f t="shared" si="191"/>
        <v>124.22638999930075</v>
      </c>
      <c r="K487" s="2">
        <f t="shared" si="213"/>
        <v>84.680565780027777</v>
      </c>
      <c r="L487" s="5">
        <f t="shared" si="192"/>
        <v>28.169693341750868</v>
      </c>
      <c r="M487" s="3">
        <f t="shared" si="193"/>
        <v>18.708033020781976</v>
      </c>
      <c r="N487" s="2">
        <v>0</v>
      </c>
      <c r="O487" s="2">
        <f t="shared" si="194"/>
        <v>124.22638999930075</v>
      </c>
      <c r="P487" s="2">
        <f t="shared" si="195"/>
        <v>84.680565780027777</v>
      </c>
      <c r="Q487" s="5">
        <f t="shared" si="196"/>
        <v>1.0469764951948803</v>
      </c>
      <c r="R487" s="5">
        <f t="shared" si="197"/>
        <v>0.16391271532373147</v>
      </c>
      <c r="S487" s="4">
        <f t="shared" si="214"/>
        <v>0.1505962865127714</v>
      </c>
      <c r="T487" s="5">
        <f t="shared" si="198"/>
        <v>0.10758140436741385</v>
      </c>
      <c r="U487" s="4">
        <f t="shared" si="199"/>
        <v>0</v>
      </c>
      <c r="V487" s="4">
        <f t="shared" si="200"/>
        <v>0</v>
      </c>
      <c r="W487" s="5">
        <f t="shared" si="201"/>
        <v>0</v>
      </c>
      <c r="X487" s="5">
        <f t="shared" si="202"/>
        <v>-13.643407134437432</v>
      </c>
      <c r="Y487" s="5">
        <f t="shared" si="203"/>
        <v>4.524468350767969</v>
      </c>
      <c r="Z487" s="5">
        <f>1</f>
        <v>1</v>
      </c>
      <c r="AA487" s="5">
        <f>IF(M487=0,0,const*($T487/omega)*O487*(wy*I487-wz*(H487-V487))/Z487)</f>
        <v>0</v>
      </c>
      <c r="AB487" s="5">
        <f>IF(M487=0,0,const*($T487/omega)*O487*(wz*(G487-U487)-wx*I487)/Z487)</f>
        <v>2.9695600992893985</v>
      </c>
      <c r="AC487" s="5">
        <f>IF(M487=0,0,const*($T487/omega)*O487*(wx*(H487-V487)-wy*(G487-U487))/Z487)</f>
        <v>8.9546250086839105</v>
      </c>
      <c r="AD487" s="5">
        <f t="shared" si="189"/>
        <v>0</v>
      </c>
      <c r="AE487" s="5">
        <f t="shared" si="189"/>
        <v>-10.673847035148032</v>
      </c>
      <c r="AF487" s="5">
        <f t="shared" si="204"/>
        <v>-18.694906640548119</v>
      </c>
      <c r="AG487">
        <f t="shared" si="215"/>
        <v>0</v>
      </c>
    </row>
    <row r="488" spans="1:33" x14ac:dyDescent="0.2">
      <c r="A488">
        <f t="shared" si="205"/>
        <v>4.5599999999999472</v>
      </c>
      <c r="B488" s="5">
        <f t="shared" si="206"/>
        <v>0</v>
      </c>
      <c r="C488" s="5">
        <f t="shared" si="207"/>
        <v>727.6546720295305</v>
      </c>
      <c r="D488" s="5">
        <f t="shared" si="208"/>
        <v>18.826580280718773</v>
      </c>
      <c r="E488" s="2">
        <f t="shared" si="190"/>
        <v>242.55155734317682</v>
      </c>
      <c r="F488" s="2">
        <f t="shared" si="209"/>
        <v>0</v>
      </c>
      <c r="G488" s="3">
        <f t="shared" si="210"/>
        <v>0</v>
      </c>
      <c r="H488" s="3">
        <f t="shared" si="211"/>
        <v>117.80512178331324</v>
      </c>
      <c r="I488" s="3">
        <f t="shared" si="212"/>
        <v>-39.289240351937757</v>
      </c>
      <c r="J488" s="2">
        <f t="shared" si="191"/>
        <v>124.18410174339385</v>
      </c>
      <c r="K488" s="2">
        <f t="shared" si="213"/>
        <v>84.651739429716329</v>
      </c>
      <c r="L488" s="5">
        <f t="shared" si="192"/>
        <v>28.17928593197885</v>
      </c>
      <c r="M488" s="3">
        <f t="shared" si="193"/>
        <v>18.702423570868476</v>
      </c>
      <c r="N488" s="2">
        <v>0</v>
      </c>
      <c r="O488" s="2">
        <f t="shared" si="194"/>
        <v>124.18410174339385</v>
      </c>
      <c r="P488" s="2">
        <f t="shared" si="195"/>
        <v>84.651739429716329</v>
      </c>
      <c r="Q488" s="5">
        <f t="shared" si="196"/>
        <v>1.0466200909722547</v>
      </c>
      <c r="R488" s="5">
        <f t="shared" si="197"/>
        <v>0.1639139910161321</v>
      </c>
      <c r="S488" s="4">
        <f t="shared" si="214"/>
        <v>0.15060239844158133</v>
      </c>
      <c r="T488" s="5">
        <f t="shared" si="198"/>
        <v>0.10758315081653139</v>
      </c>
      <c r="U488" s="4">
        <f t="shared" si="199"/>
        <v>0</v>
      </c>
      <c r="V488" s="4">
        <f t="shared" si="200"/>
        <v>0</v>
      </c>
      <c r="W488" s="5">
        <f t="shared" si="201"/>
        <v>0</v>
      </c>
      <c r="X488" s="5">
        <f t="shared" si="202"/>
        <v>-13.626522448361742</v>
      </c>
      <c r="Y488" s="5">
        <f t="shared" si="203"/>
        <v>4.5445877694478503</v>
      </c>
      <c r="Z488" s="5">
        <f>1</f>
        <v>1</v>
      </c>
      <c r="AA488" s="5">
        <f>IF(M488=0,0,const*($T488/omega)*O488*(wy*I488-wz*(H488-V488))/Z488)</f>
        <v>0</v>
      </c>
      <c r="AB488" s="5">
        <f>IF(M488=0,0,const*($T488/omega)*O488*(wz*(G488-U488)-wx*I488)/Z488)</f>
        <v>2.9827903546766383</v>
      </c>
      <c r="AC488" s="5">
        <f>IF(M488=0,0,const*($T488/omega)*O488*(wx*(H488-V488)-wy*(G488-U488))/Z488)</f>
        <v>8.9436186049711406</v>
      </c>
      <c r="AD488" s="5">
        <f t="shared" si="189"/>
        <v>0</v>
      </c>
      <c r="AE488" s="5">
        <f t="shared" si="189"/>
        <v>-10.643732093685104</v>
      </c>
      <c r="AF488" s="5">
        <f t="shared" si="204"/>
        <v>-18.68579362558101</v>
      </c>
      <c r="AG488">
        <f t="shared" si="215"/>
        <v>0</v>
      </c>
    </row>
    <row r="489" spans="1:33" x14ac:dyDescent="0.2">
      <c r="A489">
        <f t="shared" si="205"/>
        <v>4.569999999999947</v>
      </c>
      <c r="B489" s="5">
        <f t="shared" si="206"/>
        <v>0</v>
      </c>
      <c r="C489" s="5">
        <f t="shared" si="207"/>
        <v>728.83219106075899</v>
      </c>
      <c r="D489" s="5">
        <f t="shared" si="208"/>
        <v>18.432753587518118</v>
      </c>
      <c r="E489" s="2">
        <f t="shared" si="190"/>
        <v>242.94406368691966</v>
      </c>
      <c r="F489" s="2">
        <f t="shared" si="209"/>
        <v>0</v>
      </c>
      <c r="G489" s="3">
        <f t="shared" si="210"/>
        <v>0</v>
      </c>
      <c r="H489" s="3">
        <f t="shared" si="211"/>
        <v>117.69868446237639</v>
      </c>
      <c r="I489" s="3">
        <f t="shared" si="212"/>
        <v>-39.476098288193569</v>
      </c>
      <c r="J489" s="2">
        <f t="shared" si="191"/>
        <v>124.14242892836099</v>
      </c>
      <c r="K489" s="2">
        <f t="shared" si="213"/>
        <v>84.623332602836385</v>
      </c>
      <c r="L489" s="5">
        <f t="shared" si="192"/>
        <v>28.18874531005401</v>
      </c>
      <c r="M489" s="3">
        <f t="shared" si="193"/>
        <v>18.696805294621573</v>
      </c>
      <c r="N489" s="2">
        <v>0</v>
      </c>
      <c r="O489" s="2">
        <f t="shared" si="194"/>
        <v>124.14242892836099</v>
      </c>
      <c r="P489" s="2">
        <f t="shared" si="195"/>
        <v>84.623332602836385</v>
      </c>
      <c r="Q489" s="5">
        <f t="shared" si="196"/>
        <v>1.0462688736678778</v>
      </c>
      <c r="R489" s="5">
        <f t="shared" si="197"/>
        <v>0.1639150968962918</v>
      </c>
      <c r="S489" s="4">
        <f t="shared" si="214"/>
        <v>0.15060769678842806</v>
      </c>
      <c r="T489" s="5">
        <f t="shared" si="198"/>
        <v>0.10758466475478951</v>
      </c>
      <c r="U489" s="4">
        <f t="shared" si="199"/>
        <v>0</v>
      </c>
      <c r="V489" s="4">
        <f t="shared" si="200"/>
        <v>0</v>
      </c>
      <c r="W489" s="5">
        <f t="shared" si="201"/>
        <v>0</v>
      </c>
      <c r="X489" s="5">
        <f t="shared" si="202"/>
        <v>-13.60973410037313</v>
      </c>
      <c r="Y489" s="5">
        <f t="shared" si="203"/>
        <v>4.5647001364254827</v>
      </c>
      <c r="Z489" s="5">
        <f>1</f>
        <v>1</v>
      </c>
      <c r="AA489" s="5">
        <f>IF(M489=0,0,const*($T489/omega)*O489*(wy*I489-wz*(H489-V489))/Z489)</f>
        <v>0</v>
      </c>
      <c r="AB489" s="5">
        <f>IF(M489=0,0,const*($T489/omega)*O489*(wz*(G489-U489)-wx*I489)/Z489)</f>
        <v>2.9960128333645106</v>
      </c>
      <c r="AC489" s="5">
        <f>IF(M489=0,0,const*($T489/omega)*O489*(wx*(H489-V489)-wy*(G489-U489))/Z489)</f>
        <v>8.9326651926201812</v>
      </c>
      <c r="AD489" s="5">
        <f t="shared" si="189"/>
        <v>0</v>
      </c>
      <c r="AE489" s="5">
        <f t="shared" si="189"/>
        <v>-10.61372126700862</v>
      </c>
      <c r="AF489" s="5">
        <f t="shared" si="204"/>
        <v>-18.676634670954336</v>
      </c>
      <c r="AG489">
        <f t="shared" si="215"/>
        <v>0</v>
      </c>
    </row>
    <row r="490" spans="1:33" x14ac:dyDescent="0.2">
      <c r="A490">
        <f t="shared" si="205"/>
        <v>4.5799999999999468</v>
      </c>
      <c r="B490" s="5">
        <f t="shared" si="206"/>
        <v>0</v>
      </c>
      <c r="C490" s="5">
        <f t="shared" si="207"/>
        <v>730.00864721931941</v>
      </c>
      <c r="D490" s="5">
        <f t="shared" si="208"/>
        <v>18.037058772902633</v>
      </c>
      <c r="E490" s="2">
        <f t="shared" si="190"/>
        <v>243.33621573977314</v>
      </c>
      <c r="F490" s="2">
        <f t="shared" si="209"/>
        <v>0</v>
      </c>
      <c r="G490" s="3">
        <f t="shared" si="210"/>
        <v>0</v>
      </c>
      <c r="H490" s="3">
        <f t="shared" si="211"/>
        <v>117.5925472497063</v>
      </c>
      <c r="I490" s="3">
        <f t="shared" si="212"/>
        <v>-39.662864634903116</v>
      </c>
      <c r="J490" s="2">
        <f t="shared" si="191"/>
        <v>124.10136985432941</v>
      </c>
      <c r="K490" s="2">
        <f t="shared" si="213"/>
        <v>84.595344140647171</v>
      </c>
      <c r="L490" s="5">
        <f t="shared" si="192"/>
        <v>28.19807158728932</v>
      </c>
      <c r="M490" s="3">
        <f t="shared" si="193"/>
        <v>18.691178143974568</v>
      </c>
      <c r="N490" s="2">
        <v>0</v>
      </c>
      <c r="O490" s="2">
        <f t="shared" si="194"/>
        <v>124.10136985432941</v>
      </c>
      <c r="P490" s="2">
        <f t="shared" si="195"/>
        <v>84.595344140647171</v>
      </c>
      <c r="Q490" s="5">
        <f t="shared" si="196"/>
        <v>1.0459228289552704</v>
      </c>
      <c r="R490" s="5">
        <f t="shared" si="197"/>
        <v>0.1639160331264426</v>
      </c>
      <c r="S490" s="4">
        <f t="shared" si="214"/>
        <v>0.15061218233057649</v>
      </c>
      <c r="T490" s="5">
        <f t="shared" si="198"/>
        <v>0.10758594641899893</v>
      </c>
      <c r="U490" s="4">
        <f t="shared" si="199"/>
        <v>0</v>
      </c>
      <c r="V490" s="4">
        <f t="shared" si="200"/>
        <v>0</v>
      </c>
      <c r="W490" s="5">
        <f t="shared" si="201"/>
        <v>0</v>
      </c>
      <c r="X490" s="5">
        <f t="shared" si="202"/>
        <v>-13.593041633972309</v>
      </c>
      <c r="Y490" s="5">
        <f t="shared" si="203"/>
        <v>4.5848056098316432</v>
      </c>
      <c r="Z490" s="5">
        <f>1</f>
        <v>1</v>
      </c>
      <c r="AA490" s="5">
        <f>IF(M490=0,0,const*($T490/omega)*O490*(wy*I490-wz*(H490-V490))/Z490)</f>
        <v>0</v>
      </c>
      <c r="AB490" s="5">
        <f>IF(M490=0,0,const*($T490/omega)*O490*(wz*(G490-U490)-wx*I490)/Z490)</f>
        <v>3.0092275982568362</v>
      </c>
      <c r="AC490" s="5">
        <f>IF(M490=0,0,const*($T490/omega)*O490*(wx*(H490-V490)-wy*(G490-U490))/Z490)</f>
        <v>8.9217645218126727</v>
      </c>
      <c r="AD490" s="5">
        <f t="shared" si="189"/>
        <v>0</v>
      </c>
      <c r="AE490" s="5">
        <f t="shared" si="189"/>
        <v>-10.583814035715474</v>
      </c>
      <c r="AF490" s="5">
        <f t="shared" si="204"/>
        <v>-18.667429868355683</v>
      </c>
      <c r="AG490">
        <f t="shared" si="215"/>
        <v>0</v>
      </c>
    </row>
    <row r="491" spans="1:33" x14ac:dyDescent="0.2">
      <c r="A491">
        <f t="shared" si="205"/>
        <v>4.5899999999999466</v>
      </c>
      <c r="B491" s="5">
        <f t="shared" si="206"/>
        <v>0</v>
      </c>
      <c r="C491" s="5">
        <f t="shared" si="207"/>
        <v>731.18404350111473</v>
      </c>
      <c r="D491" s="5">
        <f t="shared" si="208"/>
        <v>17.639496755060183</v>
      </c>
      <c r="E491" s="2">
        <f t="shared" si="190"/>
        <v>243.72801450037159</v>
      </c>
      <c r="F491" s="2">
        <f t="shared" si="209"/>
        <v>0</v>
      </c>
      <c r="G491" s="3">
        <f t="shared" si="210"/>
        <v>0</v>
      </c>
      <c r="H491" s="3">
        <f t="shared" si="211"/>
        <v>117.48670910934915</v>
      </c>
      <c r="I491" s="3">
        <f t="shared" si="212"/>
        <v>-39.849538933586672</v>
      </c>
      <c r="J491" s="2">
        <f t="shared" si="191"/>
        <v>124.06092281844539</v>
      </c>
      <c r="K491" s="2">
        <f t="shared" si="213"/>
        <v>84.567772882375863</v>
      </c>
      <c r="L491" s="5">
        <f t="shared" si="192"/>
        <v>28.207264880289564</v>
      </c>
      <c r="M491" s="3">
        <f t="shared" si="193"/>
        <v>18.685542071377842</v>
      </c>
      <c r="N491" s="2">
        <v>0</v>
      </c>
      <c r="O491" s="2">
        <f t="shared" si="194"/>
        <v>124.06092281844539</v>
      </c>
      <c r="P491" s="2">
        <f t="shared" si="195"/>
        <v>84.567772882375863</v>
      </c>
      <c r="Q491" s="5">
        <f t="shared" si="196"/>
        <v>1.0455819424828301</v>
      </c>
      <c r="R491" s="5">
        <f t="shared" si="197"/>
        <v>0.16391679987574992</v>
      </c>
      <c r="S491" s="4">
        <f t="shared" si="214"/>
        <v>0.15061585587850934</v>
      </c>
      <c r="T491" s="5">
        <f t="shared" si="198"/>
        <v>0.10758699605318671</v>
      </c>
      <c r="U491" s="4">
        <f t="shared" si="199"/>
        <v>0</v>
      </c>
      <c r="V491" s="4">
        <f t="shared" si="200"/>
        <v>0</v>
      </c>
      <c r="W491" s="5">
        <f t="shared" si="201"/>
        <v>0</v>
      </c>
      <c r="X491" s="5">
        <f t="shared" si="202"/>
        <v>-13.576444594607384</v>
      </c>
      <c r="Y491" s="5">
        <f t="shared" si="203"/>
        <v>4.6049043466605823</v>
      </c>
      <c r="Z491" s="5">
        <f>1</f>
        <v>1</v>
      </c>
      <c r="AA491" s="5">
        <f>IF(M491=0,0,const*($T491/omega)*O491*(wy*I491-wz*(H491-V491))/Z491)</f>
        <v>0</v>
      </c>
      <c r="AB491" s="5">
        <f>IF(M491=0,0,const*($T491/omega)*O491*(wz*(G491-U491)-wx*I491)/Z491)</f>
        <v>3.0224347116647721</v>
      </c>
      <c r="AC491" s="5">
        <f>IF(M491=0,0,const*($T491/omega)*O491*(wx*(H491-V491)-wy*(G491-U491))/Z491)</f>
        <v>8.9109163436787124</v>
      </c>
      <c r="AD491" s="5">
        <f t="shared" si="189"/>
        <v>0</v>
      </c>
      <c r="AE491" s="5">
        <f t="shared" si="189"/>
        <v>-10.554009882942612</v>
      </c>
      <c r="AF491" s="5">
        <f t="shared" si="204"/>
        <v>-18.658179309660703</v>
      </c>
      <c r="AG491">
        <f t="shared" si="215"/>
        <v>0</v>
      </c>
    </row>
    <row r="492" spans="1:33" x14ac:dyDescent="0.2">
      <c r="A492">
        <f t="shared" si="205"/>
        <v>4.5999999999999464</v>
      </c>
      <c r="B492" s="5">
        <f t="shared" si="206"/>
        <v>0</v>
      </c>
      <c r="C492" s="5">
        <f t="shared" si="207"/>
        <v>732.35838289171409</v>
      </c>
      <c r="D492" s="5">
        <f t="shared" si="208"/>
        <v>17.240068456758834</v>
      </c>
      <c r="E492" s="2">
        <f t="shared" si="190"/>
        <v>244.11946096390469</v>
      </c>
      <c r="F492" s="2">
        <f t="shared" si="209"/>
        <v>0</v>
      </c>
      <c r="G492" s="3">
        <f t="shared" si="210"/>
        <v>0</v>
      </c>
      <c r="H492" s="3">
        <f t="shared" si="211"/>
        <v>117.38116901051973</v>
      </c>
      <c r="I492" s="3">
        <f t="shared" si="212"/>
        <v>-40.036120726683279</v>
      </c>
      <c r="J492" s="2">
        <f t="shared" si="191"/>
        <v>124.02108611489321</v>
      </c>
      <c r="K492" s="2">
        <f t="shared" si="213"/>
        <v>84.540617665230542</v>
      </c>
      <c r="L492" s="5">
        <f t="shared" si="192"/>
        <v>28.216325310932888</v>
      </c>
      <c r="M492" s="3">
        <f t="shared" si="193"/>
        <v>18.679897029798795</v>
      </c>
      <c r="N492" s="2">
        <v>0</v>
      </c>
      <c r="O492" s="2">
        <f t="shared" si="194"/>
        <v>124.02108611489321</v>
      </c>
      <c r="P492" s="2">
        <f t="shared" si="195"/>
        <v>84.540617665230542</v>
      </c>
      <c r="Q492" s="5">
        <f t="shared" si="196"/>
        <v>1.0452461998739899</v>
      </c>
      <c r="R492" s="5">
        <f t="shared" si="197"/>
        <v>0.16391739732028743</v>
      </c>
      <c r="S492" s="4">
        <f t="shared" si="214"/>
        <v>0.15061871827580778</v>
      </c>
      <c r="T492" s="5">
        <f t="shared" si="198"/>
        <v>0.10758781390856932</v>
      </c>
      <c r="U492" s="4">
        <f t="shared" si="199"/>
        <v>0</v>
      </c>
      <c r="V492" s="4">
        <f t="shared" si="200"/>
        <v>0</v>
      </c>
      <c r="W492" s="5">
        <f t="shared" si="201"/>
        <v>0</v>
      </c>
      <c r="X492" s="5">
        <f t="shared" si="202"/>
        <v>-13.559942529663763</v>
      </c>
      <c r="Y492" s="5">
        <f t="shared" si="203"/>
        <v>4.6249965027682745</v>
      </c>
      <c r="Z492" s="5">
        <f>1</f>
        <v>1</v>
      </c>
      <c r="AA492" s="5">
        <f>IF(M492=0,0,const*($T492/omega)*O492*(wy*I492-wz*(H492-V492))/Z492)</f>
        <v>0</v>
      </c>
      <c r="AB492" s="5">
        <f>IF(M492=0,0,const*($T492/omega)*O492*(wz*(G492-U492)-wx*I492)/Z492)</f>
        <v>3.0356342353053685</v>
      </c>
      <c r="AC492" s="5">
        <f>IF(M492=0,0,const*($T492/omega)*O492*(wx*(H492-V492)-wy*(G492-U492))/Z492)</f>
        <v>8.9001204102927716</v>
      </c>
      <c r="AD492" s="5">
        <f t="shared" si="189"/>
        <v>0</v>
      </c>
      <c r="AE492" s="5">
        <f t="shared" si="189"/>
        <v>-10.524308294358395</v>
      </c>
      <c r="AF492" s="5">
        <f t="shared" si="204"/>
        <v>-18.648883086938952</v>
      </c>
      <c r="AG492">
        <f t="shared" si="215"/>
        <v>0</v>
      </c>
    </row>
    <row r="493" spans="1:33" x14ac:dyDescent="0.2">
      <c r="A493">
        <f t="shared" si="205"/>
        <v>4.6099999999999461</v>
      </c>
      <c r="B493" s="5">
        <f t="shared" si="206"/>
        <v>0</v>
      </c>
      <c r="C493" s="5">
        <f t="shared" si="207"/>
        <v>733.53166836640457</v>
      </c>
      <c r="D493" s="5">
        <f t="shared" si="208"/>
        <v>16.838774805337653</v>
      </c>
      <c r="E493" s="2">
        <f t="shared" si="190"/>
        <v>244.51055612213486</v>
      </c>
      <c r="F493" s="2">
        <f t="shared" si="209"/>
        <v>0</v>
      </c>
      <c r="G493" s="3">
        <f t="shared" si="210"/>
        <v>0</v>
      </c>
      <c r="H493" s="3">
        <f t="shared" si="211"/>
        <v>117.27592592757614</v>
      </c>
      <c r="I493" s="3">
        <f t="shared" si="212"/>
        <v>-40.222609557552666</v>
      </c>
      <c r="J493" s="2">
        <f t="shared" si="191"/>
        <v>123.98185803491434</v>
      </c>
      <c r="K493" s="2">
        <f t="shared" si="213"/>
        <v>84.513877324413315</v>
      </c>
      <c r="L493" s="5">
        <f t="shared" si="192"/>
        <v>28.22525300635181</v>
      </c>
      <c r="M493" s="3">
        <f t="shared" si="193"/>
        <v>18.674242972721714</v>
      </c>
      <c r="N493" s="2">
        <v>0</v>
      </c>
      <c r="O493" s="2">
        <f t="shared" si="194"/>
        <v>123.98185803491434</v>
      </c>
      <c r="P493" s="2">
        <f t="shared" si="195"/>
        <v>84.513877324413315</v>
      </c>
      <c r="Q493" s="5">
        <f t="shared" si="196"/>
        <v>1.0449155867273812</v>
      </c>
      <c r="R493" s="5">
        <f t="shared" si="197"/>
        <v>0.16391782564301149</v>
      </c>
      <c r="S493" s="4">
        <f t="shared" si="214"/>
        <v>0.15062077039902796</v>
      </c>
      <c r="T493" s="5">
        <f t="shared" si="198"/>
        <v>0.10758840024352484</v>
      </c>
      <c r="U493" s="4">
        <f t="shared" si="199"/>
        <v>0</v>
      </c>
      <c r="V493" s="4">
        <f t="shared" si="200"/>
        <v>0</v>
      </c>
      <c r="W493" s="5">
        <f t="shared" si="201"/>
        <v>0</v>
      </c>
      <c r="X493" s="5">
        <f t="shared" si="202"/>
        <v>-13.543534988454201</v>
      </c>
      <c r="Y493" s="5">
        <f t="shared" si="203"/>
        <v>4.6450822328707231</v>
      </c>
      <c r="Z493" s="5">
        <f>1</f>
        <v>1</v>
      </c>
      <c r="AA493" s="5">
        <f>IF(M493=0,0,const*($T493/omega)*O493*(wy*I493-wz*(H493-V493))/Z493)</f>
        <v>0</v>
      </c>
      <c r="AB493" s="5">
        <f>IF(M493=0,0,const*($T493/omega)*O493*(wz*(G493-U493)-wx*I493)/Z493)</f>
        <v>3.0488262303001581</v>
      </c>
      <c r="AC493" s="5">
        <f>IF(M493=0,0,const*($T493/omega)*O493*(wx*(H493-V493)-wy*(G493-U493))/Z493)</f>
        <v>8.88937647466968</v>
      </c>
      <c r="AD493" s="5">
        <f t="shared" si="189"/>
        <v>0</v>
      </c>
      <c r="AE493" s="5">
        <f t="shared" si="189"/>
        <v>-10.494708758154044</v>
      </c>
      <c r="AF493" s="5">
        <f t="shared" si="204"/>
        <v>-18.639541292459597</v>
      </c>
      <c r="AG493">
        <f t="shared" si="215"/>
        <v>0</v>
      </c>
    </row>
    <row r="494" spans="1:33" x14ac:dyDescent="0.2">
      <c r="A494">
        <f t="shared" si="205"/>
        <v>4.6199999999999459</v>
      </c>
      <c r="B494" s="5">
        <f t="shared" si="206"/>
        <v>0</v>
      </c>
      <c r="C494" s="5">
        <f t="shared" si="207"/>
        <v>734.70390289024238</v>
      </c>
      <c r="D494" s="5">
        <f t="shared" si="208"/>
        <v>16.435616732697504</v>
      </c>
      <c r="E494" s="2">
        <f t="shared" si="190"/>
        <v>244.90130096341412</v>
      </c>
      <c r="F494" s="2">
        <f t="shared" si="209"/>
        <v>0</v>
      </c>
      <c r="G494" s="3">
        <f t="shared" si="210"/>
        <v>0</v>
      </c>
      <c r="H494" s="3">
        <f t="shared" si="211"/>
        <v>117.1709788399946</v>
      </c>
      <c r="I494" s="3">
        <f t="shared" si="212"/>
        <v>-40.409004970477262</v>
      </c>
      <c r="J494" s="2">
        <f t="shared" si="191"/>
        <v>123.94323686682755</v>
      </c>
      <c r="K494" s="2">
        <f t="shared" si="213"/>
        <v>84.487550693133969</v>
      </c>
      <c r="L494" s="5">
        <f t="shared" si="192"/>
        <v>28.234048098913586</v>
      </c>
      <c r="M494" s="3">
        <f t="shared" si="193"/>
        <v>18.668579854147676</v>
      </c>
      <c r="N494" s="2">
        <v>0</v>
      </c>
      <c r="O494" s="2">
        <f t="shared" si="194"/>
        <v>123.94323686682755</v>
      </c>
      <c r="P494" s="2">
        <f t="shared" si="195"/>
        <v>84.487550693133969</v>
      </c>
      <c r="Q494" s="5">
        <f t="shared" si="196"/>
        <v>1.0445900886170032</v>
      </c>
      <c r="R494" s="5">
        <f t="shared" si="197"/>
        <v>0.16391808503373462</v>
      </c>
      <c r="S494" s="4">
        <f t="shared" si="214"/>
        <v>0.15062201315757454</v>
      </c>
      <c r="T494" s="5">
        <f t="shared" si="198"/>
        <v>0.10758875532356486</v>
      </c>
      <c r="U494" s="4">
        <f t="shared" si="199"/>
        <v>0</v>
      </c>
      <c r="V494" s="4">
        <f t="shared" si="200"/>
        <v>0</v>
      </c>
      <c r="W494" s="5">
        <f t="shared" si="201"/>
        <v>0</v>
      </c>
      <c r="X494" s="5">
        <f t="shared" si="202"/>
        <v>-13.527221522208951</v>
      </c>
      <c r="Y494" s="5">
        <f t="shared" si="203"/>
        <v>4.6651616905423277</v>
      </c>
      <c r="Z494" s="5">
        <f>1</f>
        <v>1</v>
      </c>
      <c r="AA494" s="5">
        <f>IF(M494=0,0,const*($T494/omega)*O494*(wy*I494-wz*(H494-V494))/Z494)</f>
        <v>0</v>
      </c>
      <c r="AB494" s="5">
        <f>IF(M494=0,0,const*($T494/omega)*O494*(wz*(G494-U494)-wx*I494)/Z494)</f>
        <v>3.0620107571738098</v>
      </c>
      <c r="AC494" s="5">
        <f>IF(M494=0,0,const*($T494/omega)*O494*(wx*(H494-V494)-wy*(G494-U494))/Z494)</f>
        <v>8.8786842907607202</v>
      </c>
      <c r="AD494" s="5">
        <f t="shared" si="189"/>
        <v>0</v>
      </c>
      <c r="AE494" s="5">
        <f t="shared" si="189"/>
        <v>-10.465210765035142</v>
      </c>
      <c r="AF494" s="5">
        <f t="shared" si="204"/>
        <v>-18.630154018696953</v>
      </c>
      <c r="AG494">
        <f t="shared" si="215"/>
        <v>0</v>
      </c>
    </row>
    <row r="495" spans="1:33" x14ac:dyDescent="0.2">
      <c r="A495">
        <f t="shared" si="205"/>
        <v>4.6299999999999457</v>
      </c>
      <c r="B495" s="5">
        <f t="shared" si="206"/>
        <v>0</v>
      </c>
      <c r="C495" s="5">
        <f t="shared" si="207"/>
        <v>735.87508941810415</v>
      </c>
      <c r="D495" s="5">
        <f t="shared" si="208"/>
        <v>16.030595175291797</v>
      </c>
      <c r="E495" s="2">
        <f t="shared" si="190"/>
        <v>245.29169647270137</v>
      </c>
      <c r="F495" s="2">
        <f t="shared" si="209"/>
        <v>0</v>
      </c>
      <c r="G495" s="3">
        <f t="shared" si="210"/>
        <v>0</v>
      </c>
      <c r="H495" s="3">
        <f t="shared" si="211"/>
        <v>117.06632673234425</v>
      </c>
      <c r="I495" s="3">
        <f t="shared" si="212"/>
        <v>-40.59530651066423</v>
      </c>
      <c r="J495" s="2">
        <f t="shared" si="191"/>
        <v>123.90522089604923</v>
      </c>
      <c r="K495" s="2">
        <f t="shared" si="213"/>
        <v>84.461636602623869</v>
      </c>
      <c r="L495" s="5">
        <f t="shared" si="192"/>
        <v>28.242710726200155</v>
      </c>
      <c r="M495" s="3">
        <f t="shared" si="193"/>
        <v>18.662907628594397</v>
      </c>
      <c r="N495" s="2">
        <v>0</v>
      </c>
      <c r="O495" s="2">
        <f t="shared" si="194"/>
        <v>123.90522089604923</v>
      </c>
      <c r="P495" s="2">
        <f t="shared" si="195"/>
        <v>84.461636602623869</v>
      </c>
      <c r="Q495" s="5">
        <f t="shared" si="196"/>
        <v>1.0442696910923941</v>
      </c>
      <c r="R495" s="5">
        <f t="shared" si="197"/>
        <v>0.16391817568909831</v>
      </c>
      <c r="S495" s="4">
        <f t="shared" si="214"/>
        <v>0.15062244749357023</v>
      </c>
      <c r="T495" s="5">
        <f t="shared" si="198"/>
        <v>0.10758887942130536</v>
      </c>
      <c r="U495" s="4">
        <f t="shared" si="199"/>
        <v>0</v>
      </c>
      <c r="V495" s="4">
        <f t="shared" si="200"/>
        <v>0</v>
      </c>
      <c r="W495" s="5">
        <f t="shared" si="201"/>
        <v>0</v>
      </c>
      <c r="X495" s="5">
        <f t="shared" si="202"/>
        <v>-13.511001684065995</v>
      </c>
      <c r="Y495" s="5">
        <f t="shared" si="203"/>
        <v>4.6852350282143025</v>
      </c>
      <c r="Z495" s="5">
        <f>1</f>
        <v>1</v>
      </c>
      <c r="AA495" s="5">
        <f>IF(M495=0,0,const*($T495/omega)*O495*(wy*I495-wz*(H495-V495))/Z495)</f>
        <v>0</v>
      </c>
      <c r="AB495" s="5">
        <f>IF(M495=0,0,const*($T495/omega)*O495*(wz*(G495-U495)-wx*I495)/Z495)</f>
        <v>3.0751878758528033</v>
      </c>
      <c r="AC495" s="5">
        <f>IF(M495=0,0,const*($T495/omega)*O495*(wx*(H495-V495)-wy*(G495-U495))/Z495)</f>
        <v>8.8680436134496752</v>
      </c>
      <c r="AD495" s="5">
        <f t="shared" si="189"/>
        <v>0</v>
      </c>
      <c r="AE495" s="5">
        <f t="shared" si="189"/>
        <v>-10.435813808213192</v>
      </c>
      <c r="AF495" s="5">
        <f t="shared" si="204"/>
        <v>-18.62072135833602</v>
      </c>
      <c r="AG495">
        <f t="shared" si="215"/>
        <v>0</v>
      </c>
    </row>
    <row r="496" spans="1:33" x14ac:dyDescent="0.2">
      <c r="A496">
        <f t="shared" si="205"/>
        <v>4.6399999999999455</v>
      </c>
      <c r="B496" s="5">
        <f t="shared" si="206"/>
        <v>0</v>
      </c>
      <c r="C496" s="5">
        <f t="shared" si="207"/>
        <v>737.04523089473719</v>
      </c>
      <c r="D496" s="5">
        <f t="shared" si="208"/>
        <v>15.623711074117239</v>
      </c>
      <c r="E496" s="2">
        <f t="shared" si="190"/>
        <v>245.68174363157905</v>
      </c>
      <c r="F496" s="2">
        <f t="shared" si="209"/>
        <v>0</v>
      </c>
      <c r="G496" s="3">
        <f t="shared" si="210"/>
        <v>0</v>
      </c>
      <c r="H496" s="3">
        <f t="shared" si="211"/>
        <v>116.96196859426212</v>
      </c>
      <c r="I496" s="3">
        <f t="shared" si="212"/>
        <v>-40.781513724247588</v>
      </c>
      <c r="J496" s="2">
        <f t="shared" si="191"/>
        <v>123.86780840511449</v>
      </c>
      <c r="K496" s="2">
        <f t="shared" si="213"/>
        <v>84.436133882150287</v>
      </c>
      <c r="L496" s="5">
        <f t="shared" si="192"/>
        <v>28.251241030987341</v>
      </c>
      <c r="M496" s="3">
        <f t="shared" si="193"/>
        <v>18.657226251096048</v>
      </c>
      <c r="N496" s="2">
        <v>0</v>
      </c>
      <c r="O496" s="2">
        <f t="shared" si="194"/>
        <v>123.86780840511449</v>
      </c>
      <c r="P496" s="2">
        <f t="shared" si="195"/>
        <v>84.436133882150287</v>
      </c>
      <c r="Q496" s="5">
        <f t="shared" si="196"/>
        <v>1.043954379678808</v>
      </c>
      <c r="R496" s="5">
        <f t="shared" si="197"/>
        <v>0.16391809781254507</v>
      </c>
      <c r="S496" s="4">
        <f t="shared" si="214"/>
        <v>0.15062207438172204</v>
      </c>
      <c r="T496" s="5">
        <f t="shared" si="198"/>
        <v>0.10758877281643696</v>
      </c>
      <c r="U496" s="4">
        <f t="shared" si="199"/>
        <v>0</v>
      </c>
      <c r="V496" s="4">
        <f t="shared" si="200"/>
        <v>0</v>
      </c>
      <c r="W496" s="5">
        <f t="shared" si="201"/>
        <v>0</v>
      </c>
      <c r="X496" s="5">
        <f t="shared" si="202"/>
        <v>-13.494875029061404</v>
      </c>
      <c r="Y496" s="5">
        <f t="shared" si="203"/>
        <v>4.7053023971731625</v>
      </c>
      <c r="Z496" s="5">
        <f>1</f>
        <v>1</v>
      </c>
      <c r="AA496" s="5">
        <f>IF(M496=0,0,const*($T496/omega)*O496*(wy*I496-wz*(H496-V496))/Z496)</f>
        <v>0</v>
      </c>
      <c r="AB496" s="5">
        <f>IF(M496=0,0,const*($T496/omega)*O496*(wz*(G496-U496)-wx*I496)/Z496)</f>
        <v>3.0883576456641628</v>
      </c>
      <c r="AC496" s="5">
        <f>IF(M496=0,0,const*($T496/omega)*O496*(wx*(H496-V496)-wy*(G496-U496))/Z496)</f>
        <v>8.8574541985490161</v>
      </c>
      <c r="AD496" s="5">
        <f t="shared" ref="AD496:AE559" si="216">W496+AA496</f>
        <v>0</v>
      </c>
      <c r="AE496" s="5">
        <f t="shared" si="216"/>
        <v>-10.406517383397242</v>
      </c>
      <c r="AF496" s="5">
        <f t="shared" si="204"/>
        <v>-18.611243404277822</v>
      </c>
      <c r="AG496">
        <f t="shared" si="215"/>
        <v>0</v>
      </c>
    </row>
    <row r="497" spans="1:33" x14ac:dyDescent="0.2">
      <c r="A497">
        <f t="shared" si="205"/>
        <v>4.6499999999999453</v>
      </c>
      <c r="B497" s="5">
        <f t="shared" si="206"/>
        <v>0</v>
      </c>
      <c r="C497" s="5">
        <f t="shared" si="207"/>
        <v>738.21433025481065</v>
      </c>
      <c r="D497" s="5">
        <f t="shared" si="208"/>
        <v>15.214965374704548</v>
      </c>
      <c r="E497" s="2">
        <f t="shared" si="190"/>
        <v>246.07144341827021</v>
      </c>
      <c r="F497" s="2">
        <f t="shared" si="209"/>
        <v>0</v>
      </c>
      <c r="G497" s="3">
        <f t="shared" si="210"/>
        <v>0</v>
      </c>
      <c r="H497" s="3">
        <f t="shared" si="211"/>
        <v>116.85790342042814</v>
      </c>
      <c r="I497" s="3">
        <f t="shared" si="212"/>
        <v>-40.967626158290365</v>
      </c>
      <c r="J497" s="2">
        <f t="shared" si="191"/>
        <v>123.8309976736986</v>
      </c>
      <c r="K497" s="2">
        <f t="shared" si="213"/>
        <v>84.411041359031088</v>
      </c>
      <c r="L497" s="5">
        <f t="shared" si="192"/>
        <v>28.25963916122366</v>
      </c>
      <c r="M497" s="3">
        <f t="shared" si="193"/>
        <v>18.6515356772031</v>
      </c>
      <c r="N497" s="2">
        <v>0</v>
      </c>
      <c r="O497" s="2">
        <f t="shared" si="194"/>
        <v>123.8309976736986</v>
      </c>
      <c r="P497" s="2">
        <f t="shared" si="195"/>
        <v>84.411041359031088</v>
      </c>
      <c r="Q497" s="5">
        <f t="shared" si="196"/>
        <v>1.0436441398773975</v>
      </c>
      <c r="R497" s="5">
        <f t="shared" si="197"/>
        <v>0.1639178516142899</v>
      </c>
      <c r="S497" s="4">
        <f t="shared" si="214"/>
        <v>0.15062089482918412</v>
      </c>
      <c r="T497" s="5">
        <f t="shared" si="198"/>
        <v>0.10758843579569495</v>
      </c>
      <c r="U497" s="4">
        <f t="shared" si="199"/>
        <v>0</v>
      </c>
      <c r="V497" s="4">
        <f t="shared" si="200"/>
        <v>0</v>
      </c>
      <c r="W497" s="5">
        <f t="shared" si="201"/>
        <v>0</v>
      </c>
      <c r="X497" s="5">
        <f t="shared" si="202"/>
        <v>-13.478841114119788</v>
      </c>
      <c r="Y497" s="5">
        <f t="shared" si="203"/>
        <v>4.7253639475592637</v>
      </c>
      <c r="Z497" s="5">
        <f>1</f>
        <v>1</v>
      </c>
      <c r="AA497" s="5">
        <f>IF(M497=0,0,const*($T497/omega)*O497*(wy*I497-wz*(H497-V497))/Z497)</f>
        <v>0</v>
      </c>
      <c r="AB497" s="5">
        <f>IF(M497=0,0,const*($T497/omega)*O497*(wz*(G497-U497)-wx*I497)/Z497)</f>
        <v>3.1015201253342384</v>
      </c>
      <c r="AC497" s="5">
        <f>IF(M497=0,0,const*($T497/omega)*O497*(wx*(H497-V497)-wy*(G497-U497))/Z497)</f>
        <v>8.8469158027961186</v>
      </c>
      <c r="AD497" s="5">
        <f t="shared" si="216"/>
        <v>0</v>
      </c>
      <c r="AE497" s="5">
        <f t="shared" si="216"/>
        <v>-10.37732098878555</v>
      </c>
      <c r="AF497" s="5">
        <f t="shared" si="204"/>
        <v>-18.601720249644618</v>
      </c>
      <c r="AG497">
        <f t="shared" si="215"/>
        <v>0</v>
      </c>
    </row>
    <row r="498" spans="1:33" x14ac:dyDescent="0.2">
      <c r="A498">
        <f t="shared" si="205"/>
        <v>4.6599999999999451</v>
      </c>
      <c r="B498" s="5">
        <f t="shared" si="206"/>
        <v>0</v>
      </c>
      <c r="C498" s="5">
        <f t="shared" si="207"/>
        <v>739.3823904229655</v>
      </c>
      <c r="D498" s="5">
        <f t="shared" si="208"/>
        <v>14.804359027109161</v>
      </c>
      <c r="E498" s="2">
        <f t="shared" si="190"/>
        <v>246.46079680765516</v>
      </c>
      <c r="F498" s="2">
        <f t="shared" si="209"/>
        <v>0</v>
      </c>
      <c r="G498" s="3">
        <f t="shared" si="210"/>
        <v>0</v>
      </c>
      <c r="H498" s="3">
        <f t="shared" si="211"/>
        <v>116.75413021054028</v>
      </c>
      <c r="I498" s="3">
        <f t="shared" si="212"/>
        <v>-41.153643360786809</v>
      </c>
      <c r="J498" s="2">
        <f t="shared" si="191"/>
        <v>123.79478697863907</v>
      </c>
      <c r="K498" s="2">
        <f t="shared" si="213"/>
        <v>84.38635785864966</v>
      </c>
      <c r="L498" s="5">
        <f t="shared" si="192"/>
        <v>28.267905270008484</v>
      </c>
      <c r="M498" s="3">
        <f t="shared" si="193"/>
        <v>18.645835862982068</v>
      </c>
      <c r="N498" s="2">
        <v>0</v>
      </c>
      <c r="O498" s="2">
        <f t="shared" si="194"/>
        <v>123.79478697863907</v>
      </c>
      <c r="P498" s="2">
        <f t="shared" si="195"/>
        <v>84.38635785864966</v>
      </c>
      <c r="Q498" s="5">
        <f t="shared" si="196"/>
        <v>1.0433389571653968</v>
      </c>
      <c r="R498" s="5">
        <f t="shared" si="197"/>
        <v>0.16391743731129074</v>
      </c>
      <c r="S498" s="4">
        <f t="shared" si="214"/>
        <v>0.15061890987541687</v>
      </c>
      <c r="T498" s="5">
        <f t="shared" si="198"/>
        <v>0.10758786865282809</v>
      </c>
      <c r="U498" s="4">
        <f t="shared" si="199"/>
        <v>0</v>
      </c>
      <c r="V498" s="4">
        <f t="shared" si="200"/>
        <v>0</v>
      </c>
      <c r="W498" s="5">
        <f t="shared" si="201"/>
        <v>0</v>
      </c>
      <c r="X498" s="5">
        <f t="shared" si="202"/>
        <v>-13.462899498044852</v>
      </c>
      <c r="Y498" s="5">
        <f t="shared" si="203"/>
        <v>4.7454198283653994</v>
      </c>
      <c r="Z498" s="5">
        <f>1</f>
        <v>1</v>
      </c>
      <c r="AA498" s="5">
        <f>IF(M498=0,0,const*($T498/omega)*O498*(wy*I498-wz*(H498-V498))/Z498)</f>
        <v>0</v>
      </c>
      <c r="AB498" s="5">
        <f>IF(M498=0,0,const*($T498/omega)*O498*(wz*(G498-U498)-wx*I498)/Z498)</f>
        <v>3.1146753729875183</v>
      </c>
      <c r="AC498" s="5">
        <f>IF(M498=0,0,const*($T498/omega)*O498*(wx*(H498-V498)-wy*(G498-U498))/Z498)</f>
        <v>8.8364281838495113</v>
      </c>
      <c r="AD498" s="5">
        <f t="shared" si="216"/>
        <v>0</v>
      </c>
      <c r="AE498" s="5">
        <f t="shared" si="216"/>
        <v>-10.348224125057333</v>
      </c>
      <c r="AF498" s="5">
        <f t="shared" si="204"/>
        <v>-18.592151987785087</v>
      </c>
      <c r="AG498">
        <f t="shared" si="215"/>
        <v>0</v>
      </c>
    </row>
    <row r="499" spans="1:33" x14ac:dyDescent="0.2">
      <c r="A499">
        <f t="shared" si="205"/>
        <v>4.6699999999999449</v>
      </c>
      <c r="B499" s="5">
        <f t="shared" si="206"/>
        <v>0</v>
      </c>
      <c r="C499" s="5">
        <f t="shared" si="207"/>
        <v>740.54941431386465</v>
      </c>
      <c r="D499" s="5">
        <f t="shared" si="208"/>
        <v>14.391892985901904</v>
      </c>
      <c r="E499" s="2">
        <f t="shared" si="190"/>
        <v>246.84980477128821</v>
      </c>
      <c r="F499" s="2">
        <f t="shared" si="209"/>
        <v>0</v>
      </c>
      <c r="G499" s="3">
        <f t="shared" si="210"/>
        <v>0</v>
      </c>
      <c r="H499" s="3">
        <f t="shared" si="211"/>
        <v>116.65064796928971</v>
      </c>
      <c r="I499" s="3">
        <f t="shared" si="212"/>
        <v>-41.339564880664661</v>
      </c>
      <c r="J499" s="2">
        <f t="shared" si="191"/>
        <v>123.75917459395824</v>
      </c>
      <c r="K499" s="2">
        <f t="shared" si="213"/>
        <v>84.362082204470497</v>
      </c>
      <c r="L499" s="5">
        <f t="shared" si="192"/>
        <v>28.276039515569675</v>
      </c>
      <c r="M499" s="3">
        <f t="shared" si="193"/>
        <v>18.640126765015324</v>
      </c>
      <c r="N499" s="2">
        <v>0</v>
      </c>
      <c r="O499" s="2">
        <f t="shared" si="194"/>
        <v>123.75917459395824</v>
      </c>
      <c r="P499" s="2">
        <f t="shared" si="195"/>
        <v>84.362082204470497</v>
      </c>
      <c r="Q499" s="5">
        <f t="shared" si="196"/>
        <v>1.0430388169963163</v>
      </c>
      <c r="R499" s="5">
        <f t="shared" si="197"/>
        <v>0.1639168551272186</v>
      </c>
      <c r="S499" s="4">
        <f t="shared" si="214"/>
        <v>0.15061612059204305</v>
      </c>
      <c r="T499" s="5">
        <f t="shared" si="198"/>
        <v>0.10758707168856713</v>
      </c>
      <c r="U499" s="4">
        <f t="shared" si="199"/>
        <v>0</v>
      </c>
      <c r="V499" s="4">
        <f t="shared" si="200"/>
        <v>0</v>
      </c>
      <c r="W499" s="5">
        <f t="shared" si="201"/>
        <v>0</v>
      </c>
      <c r="X499" s="5">
        <f t="shared" si="202"/>
        <v>-13.447049741510057</v>
      </c>
      <c r="Y499" s="5">
        <f t="shared" si="203"/>
        <v>4.7654701874354686</v>
      </c>
      <c r="Z499" s="5">
        <f>1</f>
        <v>1</v>
      </c>
      <c r="AA499" s="5">
        <f>IF(M499=0,0,const*($T499/omega)*O499*(wy*I499-wz*(H499-V499))/Z499)</f>
        <v>0</v>
      </c>
      <c r="AB499" s="5">
        <f>IF(M499=0,0,const*($T499/omega)*O499*(wz*(G499-U499)-wx*I499)/Z499)</f>
        <v>3.1278234461454981</v>
      </c>
      <c r="AC499" s="5">
        <f>IF(M499=0,0,const*($T499/omega)*O499*(wx*(H499-V499)-wy*(G499-U499))/Z499)</f>
        <v>8.8259911002852043</v>
      </c>
      <c r="AD499" s="5">
        <f t="shared" si="216"/>
        <v>0</v>
      </c>
      <c r="AE499" s="5">
        <f t="shared" si="216"/>
        <v>-10.319226295364558</v>
      </c>
      <c r="AF499" s="5">
        <f t="shared" si="204"/>
        <v>-18.582538712279327</v>
      </c>
      <c r="AG499">
        <f t="shared" si="215"/>
        <v>0</v>
      </c>
    </row>
    <row r="500" spans="1:33" x14ac:dyDescent="0.2">
      <c r="A500">
        <f t="shared" si="205"/>
        <v>4.6799999999999446</v>
      </c>
      <c r="B500" s="5">
        <f t="shared" si="206"/>
        <v>0</v>
      </c>
      <c r="C500" s="5">
        <f t="shared" si="207"/>
        <v>741.71540483224271</v>
      </c>
      <c r="D500" s="5">
        <f t="shared" si="208"/>
        <v>13.977568210159644</v>
      </c>
      <c r="E500" s="2">
        <f t="shared" si="190"/>
        <v>247.23846827741423</v>
      </c>
      <c r="F500" s="2">
        <f t="shared" si="209"/>
        <v>0</v>
      </c>
      <c r="G500" s="3">
        <f t="shared" si="210"/>
        <v>0</v>
      </c>
      <c r="H500" s="3">
        <f t="shared" si="211"/>
        <v>116.54745570633607</v>
      </c>
      <c r="I500" s="3">
        <f t="shared" si="212"/>
        <v>-41.525390267787451</v>
      </c>
      <c r="J500" s="2">
        <f t="shared" si="191"/>
        <v>123.72415879088621</v>
      </c>
      <c r="K500" s="2">
        <f t="shared" si="213"/>
        <v>84.338213218054676</v>
      </c>
      <c r="L500" s="5">
        <f t="shared" si="192"/>
        <v>28.284042061240697</v>
      </c>
      <c r="M500" s="3">
        <f t="shared" si="193"/>
        <v>18.634408340400796</v>
      </c>
      <c r="N500" s="2">
        <v>0</v>
      </c>
      <c r="O500" s="2">
        <f t="shared" si="194"/>
        <v>123.72415879088621</v>
      </c>
      <c r="P500" s="2">
        <f t="shared" si="195"/>
        <v>84.338213218054676</v>
      </c>
      <c r="Q500" s="5">
        <f t="shared" si="196"/>
        <v>1.0427437048001318</v>
      </c>
      <c r="R500" s="5">
        <f t="shared" si="197"/>
        <v>0.16391610529242659</v>
      </c>
      <c r="S500" s="4">
        <f t="shared" si="214"/>
        <v>0.15061252808270009</v>
      </c>
      <c r="T500" s="5">
        <f t="shared" si="198"/>
        <v>0.10758604521059267</v>
      </c>
      <c r="U500" s="4">
        <f t="shared" si="199"/>
        <v>0</v>
      </c>
      <c r="V500" s="4">
        <f t="shared" si="200"/>
        <v>0</v>
      </c>
      <c r="W500" s="5">
        <f t="shared" si="201"/>
        <v>0</v>
      </c>
      <c r="X500" s="5">
        <f t="shared" si="202"/>
        <v>-13.431291407049356</v>
      </c>
      <c r="Y500" s="5">
        <f t="shared" si="203"/>
        <v>4.7855151714631825</v>
      </c>
      <c r="Z500" s="5">
        <f>1</f>
        <v>1</v>
      </c>
      <c r="AA500" s="5">
        <f>IF(M500=0,0,const*($T500/omega)*O500*(wy*I500-wz*(H500-V500))/Z500)</f>
        <v>0</v>
      </c>
      <c r="AB500" s="5">
        <f>IF(M500=0,0,const*($T500/omega)*O500*(wz*(G500-U500)-wx*I500)/Z500)</f>
        <v>3.1409644017255878</v>
      </c>
      <c r="AC500" s="5">
        <f>IF(M500=0,0,const*($T500/omega)*O500*(wx*(H500-V500)-wy*(G500-U500))/Z500)</f>
        <v>8.8156043115930558</v>
      </c>
      <c r="AD500" s="5">
        <f t="shared" si="216"/>
        <v>0</v>
      </c>
      <c r="AE500" s="5">
        <f t="shared" si="216"/>
        <v>-10.290327005323768</v>
      </c>
      <c r="AF500" s="5">
        <f t="shared" si="204"/>
        <v>-18.572880516943762</v>
      </c>
      <c r="AG500">
        <f t="shared" si="215"/>
        <v>0</v>
      </c>
    </row>
    <row r="501" spans="1:33" x14ac:dyDescent="0.2">
      <c r="A501">
        <f t="shared" si="205"/>
        <v>4.6899999999999444</v>
      </c>
      <c r="B501" s="5">
        <f t="shared" si="206"/>
        <v>0</v>
      </c>
      <c r="C501" s="5">
        <f t="shared" si="207"/>
        <v>742.88036487295585</v>
      </c>
      <c r="D501" s="5">
        <f t="shared" si="208"/>
        <v>13.561385663455923</v>
      </c>
      <c r="E501" s="2">
        <f t="shared" si="190"/>
        <v>247.62678829098527</v>
      </c>
      <c r="F501" s="2">
        <f t="shared" si="209"/>
        <v>0</v>
      </c>
      <c r="G501" s="3">
        <f t="shared" si="210"/>
        <v>0</v>
      </c>
      <c r="H501" s="3">
        <f t="shared" si="211"/>
        <v>116.44455243628283</v>
      </c>
      <c r="I501" s="3">
        <f t="shared" si="212"/>
        <v>-41.71111907295689</v>
      </c>
      <c r="J501" s="2">
        <f t="shared" si="191"/>
        <v>123.68973783788456</v>
      </c>
      <c r="K501" s="2">
        <f t="shared" si="213"/>
        <v>84.314749719076048</v>
      </c>
      <c r="L501" s="5">
        <f t="shared" si="192"/>
        <v>28.291913075437225</v>
      </c>
      <c r="M501" s="3">
        <f t="shared" si="193"/>
        <v>18.628680546751717</v>
      </c>
      <c r="N501" s="2">
        <v>0</v>
      </c>
      <c r="O501" s="2">
        <f t="shared" si="194"/>
        <v>123.68973783788456</v>
      </c>
      <c r="P501" s="2">
        <f t="shared" si="195"/>
        <v>84.314749719076048</v>
      </c>
      <c r="Q501" s="5">
        <f t="shared" si="196"/>
        <v>1.0424536059834861</v>
      </c>
      <c r="R501" s="5">
        <f t="shared" si="197"/>
        <v>0.16391518804391852</v>
      </c>
      <c r="S501" s="4">
        <f t="shared" si="214"/>
        <v>0.15060813348288943</v>
      </c>
      <c r="T501" s="5">
        <f t="shared" si="198"/>
        <v>0.10758478953350231</v>
      </c>
      <c r="U501" s="4">
        <f t="shared" si="199"/>
        <v>0</v>
      </c>
      <c r="V501" s="4">
        <f t="shared" si="200"/>
        <v>0</v>
      </c>
      <c r="W501" s="5">
        <f t="shared" si="201"/>
        <v>0</v>
      </c>
      <c r="X501" s="5">
        <f t="shared" si="202"/>
        <v>-13.415624059048062</v>
      </c>
      <c r="Y501" s="5">
        <f t="shared" si="203"/>
        <v>4.805554925990851</v>
      </c>
      <c r="Z501" s="5">
        <f>1</f>
        <v>1</v>
      </c>
      <c r="AA501" s="5">
        <f>IF(M501=0,0,const*($T501/omega)*O501*(wy*I501-wz*(H501-V501))/Z501)</f>
        <v>0</v>
      </c>
      <c r="AB501" s="5">
        <f>IF(M501=0,0,const*($T501/omega)*O501*(wz*(G501-U501)-wx*I501)/Z501)</f>
        <v>3.1540982960400701</v>
      </c>
      <c r="AC501" s="5">
        <f>IF(M501=0,0,const*($T501/omega)*O501*(wx*(H501-V501)-wy*(G501-U501))/Z501)</f>
        <v>8.8052675781731811</v>
      </c>
      <c r="AD501" s="5">
        <f t="shared" si="216"/>
        <v>0</v>
      </c>
      <c r="AE501" s="5">
        <f t="shared" si="216"/>
        <v>-10.261525763007992</v>
      </c>
      <c r="AF501" s="5">
        <f t="shared" si="204"/>
        <v>-18.563177495835966</v>
      </c>
      <c r="AG501">
        <f t="shared" si="215"/>
        <v>0</v>
      </c>
    </row>
    <row r="502" spans="1:33" x14ac:dyDescent="0.2">
      <c r="A502">
        <f t="shared" si="205"/>
        <v>4.6999999999999442</v>
      </c>
      <c r="B502" s="5">
        <f t="shared" si="206"/>
        <v>0</v>
      </c>
      <c r="C502" s="5">
        <f t="shared" si="207"/>
        <v>744.04429732103051</v>
      </c>
      <c r="D502" s="5">
        <f t="shared" si="208"/>
        <v>13.143346313851561</v>
      </c>
      <c r="E502" s="2">
        <f t="shared" si="190"/>
        <v>248.01476577367683</v>
      </c>
      <c r="F502" s="2">
        <f t="shared" si="209"/>
        <v>0</v>
      </c>
      <c r="G502" s="3">
        <f t="shared" si="210"/>
        <v>0</v>
      </c>
      <c r="H502" s="3">
        <f t="shared" si="211"/>
        <v>116.34193717865276</v>
      </c>
      <c r="I502" s="3">
        <f t="shared" si="212"/>
        <v>-41.89675084791525</v>
      </c>
      <c r="J502" s="2">
        <f t="shared" si="191"/>
        <v>123.6559100006703</v>
      </c>
      <c r="K502" s="2">
        <f t="shared" si="213"/>
        <v>84.291690525337629</v>
      </c>
      <c r="L502" s="5">
        <f t="shared" si="192"/>
        <v>28.299652731633124</v>
      </c>
      <c r="M502" s="3">
        <f t="shared" si="193"/>
        <v>18.622943342196308</v>
      </c>
      <c r="N502" s="2">
        <v>0</v>
      </c>
      <c r="O502" s="2">
        <f t="shared" si="194"/>
        <v>123.6559100006703</v>
      </c>
      <c r="P502" s="2">
        <f t="shared" si="195"/>
        <v>84.291690525337629</v>
      </c>
      <c r="Q502" s="5">
        <f t="shared" si="196"/>
        <v>1.042168505929892</v>
      </c>
      <c r="R502" s="5">
        <f t="shared" si="197"/>
        <v>0.16391410362531675</v>
      </c>
      <c r="S502" s="4">
        <f t="shared" si="214"/>
        <v>0.15060293795982221</v>
      </c>
      <c r="T502" s="5">
        <f t="shared" si="198"/>
        <v>0.10758330497877713</v>
      </c>
      <c r="U502" s="4">
        <f t="shared" si="199"/>
        <v>0</v>
      </c>
      <c r="V502" s="4">
        <f t="shared" si="200"/>
        <v>0</v>
      </c>
      <c r="W502" s="5">
        <f t="shared" si="201"/>
        <v>0</v>
      </c>
      <c r="X502" s="5">
        <f t="shared" si="202"/>
        <v>-13.400047263733782</v>
      </c>
      <c r="Y502" s="5">
        <f t="shared" si="203"/>
        <v>4.8255895954082142</v>
      </c>
      <c r="Z502" s="5">
        <f>1</f>
        <v>1</v>
      </c>
      <c r="AA502" s="5">
        <f>IF(M502=0,0,const*($T502/omega)*O502*(wy*I502-wz*(H502-V502))/Z502)</f>
        <v>0</v>
      </c>
      <c r="AB502" s="5">
        <f>IF(M502=0,0,const*($T502/omega)*O502*(wz*(G502-U502)-wx*I502)/Z502)</f>
        <v>3.1672251847950914</v>
      </c>
      <c r="AC502" s="5">
        <f>IF(M502=0,0,const*($T502/omega)*O502*(wx*(H502-V502)-wy*(G502-U502))/Z502)</f>
        <v>8.7949806613324224</v>
      </c>
      <c r="AD502" s="5">
        <f t="shared" si="216"/>
        <v>0</v>
      </c>
      <c r="AE502" s="5">
        <f t="shared" si="216"/>
        <v>-10.232822078938691</v>
      </c>
      <c r="AF502" s="5">
        <f t="shared" si="204"/>
        <v>-18.553429743259365</v>
      </c>
      <c r="AG502">
        <f t="shared" si="215"/>
        <v>0</v>
      </c>
    </row>
    <row r="503" spans="1:33" x14ac:dyDescent="0.2">
      <c r="A503">
        <f t="shared" si="205"/>
        <v>4.709999999999944</v>
      </c>
      <c r="B503" s="5">
        <f t="shared" si="206"/>
        <v>0</v>
      </c>
      <c r="C503" s="5">
        <f t="shared" si="207"/>
        <v>745.20720505171312</v>
      </c>
      <c r="D503" s="5">
        <f t="shared" si="208"/>
        <v>12.723451133885245</v>
      </c>
      <c r="E503" s="2">
        <f t="shared" si="190"/>
        <v>248.40240168390437</v>
      </c>
      <c r="F503" s="2">
        <f t="shared" si="209"/>
        <v>0</v>
      </c>
      <c r="G503" s="3">
        <f t="shared" si="210"/>
        <v>0</v>
      </c>
      <c r="H503" s="3">
        <f t="shared" si="211"/>
        <v>116.23960895786337</v>
      </c>
      <c r="I503" s="3">
        <f t="shared" si="212"/>
        <v>-42.082285145347846</v>
      </c>
      <c r="J503" s="2">
        <f t="shared" si="191"/>
        <v>123.62267354224043</v>
      </c>
      <c r="K503" s="2">
        <f t="shared" si="213"/>
        <v>84.26903445278829</v>
      </c>
      <c r="L503" s="5">
        <f t="shared" si="192"/>
        <v>28.307261208336012</v>
      </c>
      <c r="M503" s="3">
        <f t="shared" si="193"/>
        <v>18.617196685377468</v>
      </c>
      <c r="N503" s="2">
        <v>0</v>
      </c>
      <c r="O503" s="2">
        <f t="shared" si="194"/>
        <v>123.62267354224043</v>
      </c>
      <c r="P503" s="2">
        <f t="shared" si="195"/>
        <v>84.26903445278829</v>
      </c>
      <c r="Q503" s="5">
        <f t="shared" si="196"/>
        <v>1.0418883899999372</v>
      </c>
      <c r="R503" s="5">
        <f t="shared" si="197"/>
        <v>0.16391285228682931</v>
      </c>
      <c r="S503" s="4">
        <f t="shared" si="214"/>
        <v>0.15059694271226215</v>
      </c>
      <c r="T503" s="5">
        <f t="shared" si="198"/>
        <v>0.10758159187474783</v>
      </c>
      <c r="U503" s="4">
        <f t="shared" si="199"/>
        <v>0</v>
      </c>
      <c r="V503" s="4">
        <f t="shared" si="200"/>
        <v>0</v>
      </c>
      <c r="W503" s="5">
        <f t="shared" si="201"/>
        <v>0</v>
      </c>
      <c r="X503" s="5">
        <f t="shared" si="202"/>
        <v>-13.384560589167478</v>
      </c>
      <c r="Y503" s="5">
        <f t="shared" si="203"/>
        <v>4.8456193229513431</v>
      </c>
      <c r="Z503" s="5">
        <f>1</f>
        <v>1</v>
      </c>
      <c r="AA503" s="5">
        <f>IF(M503=0,0,const*($T503/omega)*O503*(wy*I503-wz*(H503-V503))/Z503)</f>
        <v>0</v>
      </c>
      <c r="AB503" s="5">
        <f>IF(M503=0,0,const*($T503/omega)*O503*(wz*(G503-U503)-wx*I503)/Z503)</f>
        <v>3.1803451230897206</v>
      </c>
      <c r="AC503" s="5">
        <f>IF(M503=0,0,const*($T503/omega)*O503*(wx*(H503-V503)-wy*(G503-U503))/Z503)</f>
        <v>8.7847433232808871</v>
      </c>
      <c r="AD503" s="5">
        <f t="shared" si="216"/>
        <v>0</v>
      </c>
      <c r="AE503" s="5">
        <f t="shared" si="216"/>
        <v>-10.204215466077757</v>
      </c>
      <c r="AF503" s="5">
        <f t="shared" si="204"/>
        <v>-18.543637353767771</v>
      </c>
      <c r="AG503">
        <f t="shared" si="215"/>
        <v>0</v>
      </c>
    </row>
    <row r="504" spans="1:33" x14ac:dyDescent="0.2">
      <c r="A504">
        <f t="shared" si="205"/>
        <v>4.7199999999999438</v>
      </c>
      <c r="B504" s="5">
        <f t="shared" si="206"/>
        <v>0</v>
      </c>
      <c r="C504" s="5">
        <f t="shared" si="207"/>
        <v>746.36909093051838</v>
      </c>
      <c r="D504" s="5">
        <f t="shared" si="208"/>
        <v>12.301701100564079</v>
      </c>
      <c r="E504" s="2">
        <f t="shared" si="190"/>
        <v>248.78969697683945</v>
      </c>
      <c r="F504" s="2">
        <f t="shared" si="209"/>
        <v>0</v>
      </c>
      <c r="G504" s="3">
        <f t="shared" si="210"/>
        <v>0</v>
      </c>
      <c r="H504" s="3">
        <f t="shared" si="211"/>
        <v>116.13756680320259</v>
      </c>
      <c r="I504" s="3">
        <f t="shared" si="212"/>
        <v>-42.267721518885523</v>
      </c>
      <c r="J504" s="2">
        <f t="shared" si="191"/>
        <v>123.59002672289704</v>
      </c>
      <c r="K504" s="2">
        <f t="shared" si="213"/>
        <v>84.246780315539894</v>
      </c>
      <c r="L504" s="5">
        <f t="shared" si="192"/>
        <v>28.314738689062235</v>
      </c>
      <c r="M504" s="3">
        <f t="shared" si="193"/>
        <v>18.61144053545241</v>
      </c>
      <c r="N504" s="2">
        <v>0</v>
      </c>
      <c r="O504" s="2">
        <f t="shared" si="194"/>
        <v>123.59002672289704</v>
      </c>
      <c r="P504" s="2">
        <f t="shared" si="195"/>
        <v>84.246780315539894</v>
      </c>
      <c r="Q504" s="5">
        <f t="shared" si="196"/>
        <v>1.0416132435314966</v>
      </c>
      <c r="R504" s="5">
        <f t="shared" si="197"/>
        <v>0.16391143428521637</v>
      </c>
      <c r="S504" s="4">
        <f t="shared" si="214"/>
        <v>0.15059014897036463</v>
      </c>
      <c r="T504" s="5">
        <f t="shared" si="198"/>
        <v>0.10757965055655989</v>
      </c>
      <c r="U504" s="4">
        <f t="shared" si="199"/>
        <v>0</v>
      </c>
      <c r="V504" s="4">
        <f t="shared" si="200"/>
        <v>0</v>
      </c>
      <c r="W504" s="5">
        <f t="shared" si="201"/>
        <v>0</v>
      </c>
      <c r="X504" s="5">
        <f t="shared" si="202"/>
        <v>-13.369163605234588</v>
      </c>
      <c r="Y504" s="5">
        <f t="shared" si="203"/>
        <v>4.865644250701596</v>
      </c>
      <c r="Z504" s="5">
        <f>1</f>
        <v>1</v>
      </c>
      <c r="AA504" s="5">
        <f>IF(M504=0,0,const*($T504/omega)*O504*(wy*I504-wz*(H504-V504))/Z504)</f>
        <v>0</v>
      </c>
      <c r="AB504" s="5">
        <f>IF(M504=0,0,const*($T504/omega)*O504*(wz*(G504-U504)-wx*I504)/Z504)</f>
        <v>3.1934581654150245</v>
      </c>
      <c r="AC504" s="5">
        <f>IF(M504=0,0,const*($T504/omega)*O504*(wx*(H504-V504)-wy*(G504-U504))/Z504)</f>
        <v>8.774555327128482</v>
      </c>
      <c r="AD504" s="5">
        <f t="shared" si="216"/>
        <v>0</v>
      </c>
      <c r="AE504" s="5">
        <f t="shared" si="216"/>
        <v>-10.175705439819563</v>
      </c>
      <c r="AF504" s="5">
        <f t="shared" si="204"/>
        <v>-18.533800422169922</v>
      </c>
      <c r="AG504">
        <f t="shared" si="215"/>
        <v>0</v>
      </c>
    </row>
    <row r="505" spans="1:33" x14ac:dyDescent="0.2">
      <c r="A505">
        <f t="shared" si="205"/>
        <v>4.7299999999999436</v>
      </c>
      <c r="B505" s="5">
        <f t="shared" si="206"/>
        <v>0</v>
      </c>
      <c r="C505" s="5">
        <f t="shared" si="207"/>
        <v>747.52995781327843</v>
      </c>
      <c r="D505" s="5">
        <f t="shared" si="208"/>
        <v>11.878097195354115</v>
      </c>
      <c r="E505" s="2">
        <f t="shared" si="190"/>
        <v>249.17665260442615</v>
      </c>
      <c r="F505" s="2">
        <f t="shared" si="209"/>
        <v>0</v>
      </c>
      <c r="G505" s="3">
        <f t="shared" si="210"/>
        <v>0</v>
      </c>
      <c r="H505" s="3">
        <f t="shared" si="211"/>
        <v>116.0358097488044</v>
      </c>
      <c r="I505" s="3">
        <f t="shared" si="212"/>
        <v>-42.453059523107221</v>
      </c>
      <c r="J505" s="2">
        <f t="shared" si="191"/>
        <v>123.55796780027265</v>
      </c>
      <c r="K505" s="2">
        <f t="shared" si="213"/>
        <v>84.22492692588456</v>
      </c>
      <c r="L505" s="5">
        <f t="shared" si="192"/>
        <v>28.322085362311427</v>
      </c>
      <c r="M505" s="3">
        <f t="shared" si="193"/>
        <v>18.605674852092299</v>
      </c>
      <c r="N505" s="2">
        <v>0</v>
      </c>
      <c r="O505" s="2">
        <f t="shared" si="194"/>
        <v>123.55796780027265</v>
      </c>
      <c r="P505" s="2">
        <f t="shared" si="195"/>
        <v>84.22492692588456</v>
      </c>
      <c r="Q505" s="5">
        <f t="shared" si="196"/>
        <v>1.0413430518399471</v>
      </c>
      <c r="R505" s="5">
        <f t="shared" si="197"/>
        <v>0.16390984988375612</v>
      </c>
      <c r="S505" s="4">
        <f t="shared" si="214"/>
        <v>0.15058255799551312</v>
      </c>
      <c r="T505" s="5">
        <f t="shared" si="198"/>
        <v>0.10757748136613851</v>
      </c>
      <c r="U505" s="4">
        <f t="shared" si="199"/>
        <v>0</v>
      </c>
      <c r="V505" s="4">
        <f t="shared" si="200"/>
        <v>0</v>
      </c>
      <c r="W505" s="5">
        <f t="shared" si="201"/>
        <v>0</v>
      </c>
      <c r="X505" s="5">
        <f t="shared" si="202"/>
        <v>-13.35385588363626</v>
      </c>
      <c r="Y505" s="5">
        <f t="shared" si="203"/>
        <v>4.885664519584628</v>
      </c>
      <c r="Z505" s="5">
        <f>1</f>
        <v>1</v>
      </c>
      <c r="AA505" s="5">
        <f>IF(M505=0,0,const*($T505/omega)*O505*(wy*I505-wz*(H505-V505))/Z505)</f>
        <v>0</v>
      </c>
      <c r="AB505" s="5">
        <f>IF(M505=0,0,const*($T505/omega)*O505*(wz*(G505-U505)-wx*I505)/Z505)</f>
        <v>3.2065643656532106</v>
      </c>
      <c r="AC505" s="5">
        <f>IF(M505=0,0,const*($T505/omega)*O505*(wx*(H505-V505)-wy*(G505-U505))/Z505)</f>
        <v>8.7644164368815449</v>
      </c>
      <c r="AD505" s="5">
        <f t="shared" si="216"/>
        <v>0</v>
      </c>
      <c r="AE505" s="5">
        <f t="shared" si="216"/>
        <v>-10.147291517983049</v>
      </c>
      <c r="AF505" s="5">
        <f t="shared" si="204"/>
        <v>-18.523919043533827</v>
      </c>
      <c r="AG505">
        <f t="shared" si="215"/>
        <v>0</v>
      </c>
    </row>
    <row r="506" spans="1:33" x14ac:dyDescent="0.2">
      <c r="A506">
        <f t="shared" si="205"/>
        <v>4.7399999999999434</v>
      </c>
      <c r="B506" s="5">
        <f t="shared" si="206"/>
        <v>0</v>
      </c>
      <c r="C506" s="5">
        <f t="shared" si="207"/>
        <v>748.68980854619053</v>
      </c>
      <c r="D506" s="5">
        <f t="shared" si="208"/>
        <v>11.452640404170866</v>
      </c>
      <c r="E506" s="2">
        <f t="shared" si="190"/>
        <v>249.56326951539685</v>
      </c>
      <c r="F506" s="2">
        <f t="shared" si="209"/>
        <v>0</v>
      </c>
      <c r="G506" s="3">
        <f t="shared" si="210"/>
        <v>0</v>
      </c>
      <c r="H506" s="3">
        <f t="shared" si="211"/>
        <v>115.93433683362457</v>
      </c>
      <c r="I506" s="3">
        <f t="shared" si="212"/>
        <v>-42.638298713542561</v>
      </c>
      <c r="J506" s="2">
        <f t="shared" si="191"/>
        <v>123.52649502935637</v>
      </c>
      <c r="K506" s="2">
        <f t="shared" si="213"/>
        <v>84.203473094312443</v>
      </c>
      <c r="L506" s="5">
        <f t="shared" si="192"/>
        <v>28.329301421540404</v>
      </c>
      <c r="M506" s="3">
        <f t="shared" si="193"/>
        <v>18.599899595481865</v>
      </c>
      <c r="N506" s="2">
        <v>0</v>
      </c>
      <c r="O506" s="2">
        <f t="shared" si="194"/>
        <v>123.52649502935637</v>
      </c>
      <c r="P506" s="2">
        <f t="shared" si="195"/>
        <v>84.203473094312443</v>
      </c>
      <c r="Q506" s="5">
        <f t="shared" si="196"/>
        <v>1.0410778002183858</v>
      </c>
      <c r="R506" s="5">
        <f t="shared" si="197"/>
        <v>0.16390809935220976</v>
      </c>
      <c r="S506" s="4">
        <f t="shared" si="214"/>
        <v>0.15057417108015211</v>
      </c>
      <c r="T506" s="5">
        <f t="shared" si="198"/>
        <v>0.10757508465215261</v>
      </c>
      <c r="U506" s="4">
        <f t="shared" si="199"/>
        <v>0</v>
      </c>
      <c r="V506" s="4">
        <f t="shared" si="200"/>
        <v>0</v>
      </c>
      <c r="W506" s="5">
        <f t="shared" si="201"/>
        <v>0</v>
      </c>
      <c r="X506" s="5">
        <f t="shared" si="202"/>
        <v>-13.338636997880677</v>
      </c>
      <c r="Y506" s="5">
        <f t="shared" si="203"/>
        <v>4.9056802693694754</v>
      </c>
      <c r="Z506" s="5">
        <f>1</f>
        <v>1</v>
      </c>
      <c r="AA506" s="5">
        <f>IF(M506=0,0,const*($T506/omega)*O506*(wy*I506-wz*(H506-V506))/Z506)</f>
        <v>0</v>
      </c>
      <c r="AB506" s="5">
        <f>IF(M506=0,0,const*($T506/omega)*O506*(wz*(G506-U506)-wx*I506)/Z506)</f>
        <v>3.2196637770768066</v>
      </c>
      <c r="AC506" s="5">
        <f>IF(M506=0,0,const*($T506/omega)*O506*(wx*(H506-V506)-wy*(G506-U506))/Z506)</f>
        <v>8.7543264174395024</v>
      </c>
      <c r="AD506" s="5">
        <f t="shared" si="216"/>
        <v>0</v>
      </c>
      <c r="AE506" s="5">
        <f t="shared" si="216"/>
        <v>-10.11897322080387</v>
      </c>
      <c r="AF506" s="5">
        <f t="shared" si="204"/>
        <v>-18.513993313191023</v>
      </c>
      <c r="AG506">
        <f t="shared" si="215"/>
        <v>0</v>
      </c>
    </row>
    <row r="507" spans="1:33" x14ac:dyDescent="0.2">
      <c r="A507">
        <f t="shared" si="205"/>
        <v>4.7499999999999432</v>
      </c>
      <c r="B507" s="5">
        <f t="shared" si="206"/>
        <v>0</v>
      </c>
      <c r="C507" s="5">
        <f t="shared" si="207"/>
        <v>749.84864596586579</v>
      </c>
      <c r="D507" s="5">
        <f t="shared" si="208"/>
        <v>11.025331717369781</v>
      </c>
      <c r="E507" s="2">
        <f t="shared" si="190"/>
        <v>249.9495486552886</v>
      </c>
      <c r="F507" s="2">
        <f t="shared" si="209"/>
        <v>0</v>
      </c>
      <c r="G507" s="3">
        <f t="shared" si="210"/>
        <v>0</v>
      </c>
      <c r="H507" s="3">
        <f t="shared" si="211"/>
        <v>115.83314710141653</v>
      </c>
      <c r="I507" s="3">
        <f t="shared" si="212"/>
        <v>-42.823438646674468</v>
      </c>
      <c r="J507" s="2">
        <f t="shared" si="191"/>
        <v>123.49560666252016</v>
      </c>
      <c r="K507" s="2">
        <f t="shared" si="213"/>
        <v>84.182417629529752</v>
      </c>
      <c r="L507" s="5">
        <f t="shared" si="192"/>
        <v>28.336387065136726</v>
      </c>
      <c r="M507" s="3">
        <f t="shared" si="193"/>
        <v>18.594114726318971</v>
      </c>
      <c r="N507" s="2">
        <v>0</v>
      </c>
      <c r="O507" s="2">
        <f t="shared" si="194"/>
        <v>123.49560666252016</v>
      </c>
      <c r="P507" s="2">
        <f t="shared" si="195"/>
        <v>84.182417629529752</v>
      </c>
      <c r="Q507" s="5">
        <f t="shared" si="196"/>
        <v>1.0408174739378537</v>
      </c>
      <c r="R507" s="5">
        <f t="shared" si="197"/>
        <v>0.16390618296678622</v>
      </c>
      <c r="S507" s="4">
        <f t="shared" si="214"/>
        <v>0.15056498954761702</v>
      </c>
      <c r="T507" s="5">
        <f t="shared" si="198"/>
        <v>0.10757246076997865</v>
      </c>
      <c r="U507" s="4">
        <f t="shared" si="199"/>
        <v>0</v>
      </c>
      <c r="V507" s="4">
        <f t="shared" si="200"/>
        <v>0</v>
      </c>
      <c r="W507" s="5">
        <f t="shared" si="201"/>
        <v>0</v>
      </c>
      <c r="X507" s="5">
        <f t="shared" si="202"/>
        <v>-13.32350652327446</v>
      </c>
      <c r="Y507" s="5">
        <f t="shared" si="203"/>
        <v>4.925691638667681</v>
      </c>
      <c r="Z507" s="5">
        <f>1</f>
        <v>1</v>
      </c>
      <c r="AA507" s="5">
        <f>IF(M507=0,0,const*($T507/omega)*O507*(wy*I507-wz*(H507-V507))/Z507)</f>
        <v>0</v>
      </c>
      <c r="AB507" s="5">
        <f>IF(M507=0,0,const*($T507/omega)*O507*(wz*(G507-U507)-wx*I507)/Z507)</f>
        <v>3.2327564523478842</v>
      </c>
      <c r="AC507" s="5">
        <f>IF(M507=0,0,const*($T507/omega)*O507*(wx*(H507-V507)-wy*(G507-U507))/Z507)</f>
        <v>8.7442850345915719</v>
      </c>
      <c r="AD507" s="5">
        <f t="shared" si="216"/>
        <v>0</v>
      </c>
      <c r="AE507" s="5">
        <f t="shared" si="216"/>
        <v>-10.090750070926576</v>
      </c>
      <c r="AF507" s="5">
        <f t="shared" si="204"/>
        <v>-18.504023326740747</v>
      </c>
      <c r="AG507">
        <f t="shared" si="215"/>
        <v>0</v>
      </c>
    </row>
    <row r="508" spans="1:33" x14ac:dyDescent="0.2">
      <c r="A508">
        <f t="shared" si="205"/>
        <v>4.7599999999999429</v>
      </c>
      <c r="B508" s="5">
        <f t="shared" si="206"/>
        <v>0</v>
      </c>
      <c r="C508" s="5">
        <f t="shared" si="207"/>
        <v>751.00647289937649</v>
      </c>
      <c r="D508" s="5">
        <f t="shared" si="208"/>
        <v>10.596172129736699</v>
      </c>
      <c r="E508" s="2">
        <f t="shared" si="190"/>
        <v>250.33549096645882</v>
      </c>
      <c r="F508" s="2">
        <f t="shared" si="209"/>
        <v>0</v>
      </c>
      <c r="G508" s="3">
        <f t="shared" si="210"/>
        <v>0</v>
      </c>
      <c r="H508" s="3">
        <f t="shared" si="211"/>
        <v>115.73223960070726</v>
      </c>
      <c r="I508" s="3">
        <f t="shared" si="212"/>
        <v>-43.008478879941876</v>
      </c>
      <c r="J508" s="2">
        <f t="shared" si="191"/>
        <v>123.46530094954582</v>
      </c>
      <c r="K508" s="2">
        <f t="shared" si="213"/>
        <v>84.16175933847704</v>
      </c>
      <c r="L508" s="5">
        <f t="shared" si="192"/>
        <v>28.343342496391671</v>
      </c>
      <c r="M508" s="3">
        <f t="shared" si="193"/>
        <v>18.588320205814192</v>
      </c>
      <c r="N508" s="2">
        <v>0</v>
      </c>
      <c r="O508" s="2">
        <f t="shared" si="194"/>
        <v>123.46530094954582</v>
      </c>
      <c r="P508" s="2">
        <f t="shared" si="195"/>
        <v>84.16175933847704</v>
      </c>
      <c r="Q508" s="5">
        <f t="shared" si="196"/>
        <v>1.040562058247561</v>
      </c>
      <c r="R508" s="5">
        <f t="shared" si="197"/>
        <v>0.16390410101010577</v>
      </c>
      <c r="S508" s="4">
        <f t="shared" si="214"/>
        <v>0.15055501475196112</v>
      </c>
      <c r="T508" s="5">
        <f t="shared" si="198"/>
        <v>0.10756961008166335</v>
      </c>
      <c r="U508" s="4">
        <f t="shared" si="199"/>
        <v>0</v>
      </c>
      <c r="V508" s="4">
        <f t="shared" si="200"/>
        <v>0</v>
      </c>
      <c r="W508" s="5">
        <f t="shared" si="201"/>
        <v>0</v>
      </c>
      <c r="X508" s="5">
        <f t="shared" si="202"/>
        <v>-13.308464036914179</v>
      </c>
      <c r="Y508" s="5">
        <f t="shared" si="203"/>
        <v>4.9456987649324953</v>
      </c>
      <c r="Z508" s="5">
        <f>1</f>
        <v>1</v>
      </c>
      <c r="AA508" s="5">
        <f>IF(M508=0,0,const*($T508/omega)*O508*(wy*I508-wz*(H508-V508))/Z508)</f>
        <v>0</v>
      </c>
      <c r="AB508" s="5">
        <f>IF(M508=0,0,const*($T508/omega)*O508*(wz*(G508-U508)-wx*I508)/Z508)</f>
        <v>3.245842443517327</v>
      </c>
      <c r="AC508" s="5">
        <f>IF(M508=0,0,const*($T508/omega)*O508*(wx*(H508-V508)-wy*(G508-U508))/Z508)</f>
        <v>8.734292055013503</v>
      </c>
      <c r="AD508" s="5">
        <f t="shared" si="216"/>
        <v>0</v>
      </c>
      <c r="AE508" s="5">
        <f t="shared" si="216"/>
        <v>-10.062621593396852</v>
      </c>
      <c r="AF508" s="5">
        <f t="shared" si="204"/>
        <v>-18.494009180054</v>
      </c>
      <c r="AG508">
        <f t="shared" si="215"/>
        <v>0</v>
      </c>
    </row>
    <row r="509" spans="1:33" x14ac:dyDescent="0.2">
      <c r="A509">
        <f t="shared" si="205"/>
        <v>4.7699999999999427</v>
      </c>
      <c r="B509" s="5">
        <f t="shared" si="206"/>
        <v>0</v>
      </c>
      <c r="C509" s="5">
        <f t="shared" si="207"/>
        <v>752.16329216430393</v>
      </c>
      <c r="D509" s="5">
        <f t="shared" si="208"/>
        <v>10.165162640478277</v>
      </c>
      <c r="E509" s="2">
        <f t="shared" si="190"/>
        <v>250.7210973881013</v>
      </c>
      <c r="F509" s="2">
        <f t="shared" si="209"/>
        <v>0</v>
      </c>
      <c r="G509" s="3">
        <f t="shared" si="210"/>
        <v>0</v>
      </c>
      <c r="H509" s="3">
        <f t="shared" si="211"/>
        <v>115.63161338477329</v>
      </c>
      <c r="I509" s="3">
        <f t="shared" si="212"/>
        <v>-43.193418971742418</v>
      </c>
      <c r="J509" s="2">
        <f t="shared" si="191"/>
        <v>123.4355761376523</v>
      </c>
      <c r="K509" s="2">
        <f t="shared" si="213"/>
        <v>84.141497026347849</v>
      </c>
      <c r="L509" s="5">
        <f t="shared" si="192"/>
        <v>28.35016792347275</v>
      </c>
      <c r="M509" s="3">
        <f t="shared" si="193"/>
        <v>18.582515995690354</v>
      </c>
      <c r="N509" s="2">
        <v>0</v>
      </c>
      <c r="O509" s="2">
        <f t="shared" si="194"/>
        <v>123.4355761376523</v>
      </c>
      <c r="P509" s="2">
        <f t="shared" si="195"/>
        <v>84.141497026347849</v>
      </c>
      <c r="Q509" s="5">
        <f t="shared" si="196"/>
        <v>1.0403115383751185</v>
      </c>
      <c r="R509" s="5">
        <f t="shared" si="197"/>
        <v>0.16390185377116356</v>
      </c>
      <c r="S509" s="4">
        <f t="shared" si="214"/>
        <v>0.15054424807777939</v>
      </c>
      <c r="T509" s="5">
        <f t="shared" si="198"/>
        <v>0.10756653295588647</v>
      </c>
      <c r="U509" s="4">
        <f t="shared" si="199"/>
        <v>0</v>
      </c>
      <c r="V509" s="4">
        <f t="shared" si="200"/>
        <v>0</v>
      </c>
      <c r="W509" s="5">
        <f t="shared" si="201"/>
        <v>0</v>
      </c>
      <c r="X509" s="5">
        <f t="shared" si="202"/>
        <v>-13.293509117677953</v>
      </c>
      <c r="Y509" s="5">
        <f t="shared" si="203"/>
        <v>4.9657017844581333</v>
      </c>
      <c r="Z509" s="5">
        <f>1</f>
        <v>1</v>
      </c>
      <c r="AA509" s="5">
        <f>IF(M509=0,0,const*($T509/omega)*O509*(wy*I509-wz*(H509-V509))/Z509)</f>
        <v>0</v>
      </c>
      <c r="AB509" s="5">
        <f>IF(M509=0,0,const*($T509/omega)*O509*(wz*(G509-U509)-wx*I509)/Z509)</f>
        <v>3.2589218020241559</v>
      </c>
      <c r="AC509" s="5">
        <f>IF(M509=0,0,const*($T509/omega)*O509*(wx*(H509-V509)-wy*(G509-U509))/Z509)</f>
        <v>8.7243472462644096</v>
      </c>
      <c r="AD509" s="5">
        <f t="shared" si="216"/>
        <v>0</v>
      </c>
      <c r="AE509" s="5">
        <f t="shared" si="216"/>
        <v>-10.034587315653797</v>
      </c>
      <c r="AF509" s="5">
        <f t="shared" si="204"/>
        <v>-18.483950969277458</v>
      </c>
      <c r="AG509">
        <f t="shared" si="215"/>
        <v>0</v>
      </c>
    </row>
    <row r="510" spans="1:33" x14ac:dyDescent="0.2">
      <c r="A510">
        <f t="shared" si="205"/>
        <v>4.7799999999999425</v>
      </c>
      <c r="B510" s="5">
        <f t="shared" si="206"/>
        <v>0</v>
      </c>
      <c r="C510" s="5">
        <f t="shared" si="207"/>
        <v>753.31910656878597</v>
      </c>
      <c r="D510" s="5">
        <f t="shared" si="208"/>
        <v>9.7323042532123889</v>
      </c>
      <c r="E510" s="2">
        <f t="shared" si="190"/>
        <v>251.10636885626198</v>
      </c>
      <c r="F510" s="2">
        <f t="shared" si="209"/>
        <v>0</v>
      </c>
      <c r="G510" s="3">
        <f t="shared" si="210"/>
        <v>0</v>
      </c>
      <c r="H510" s="3">
        <f t="shared" si="211"/>
        <v>115.53126751161675</v>
      </c>
      <c r="I510" s="3">
        <f t="shared" si="212"/>
        <v>-43.378258481435189</v>
      </c>
      <c r="J510" s="2">
        <f t="shared" si="191"/>
        <v>123.40643047152346</v>
      </c>
      <c r="K510" s="2">
        <f t="shared" si="213"/>
        <v>84.121629496607667</v>
      </c>
      <c r="L510" s="5">
        <f t="shared" si="192"/>
        <v>28.356863559395748</v>
      </c>
      <c r="M510" s="3">
        <f t="shared" si="193"/>
        <v>18.576702058182036</v>
      </c>
      <c r="N510" s="2">
        <v>0</v>
      </c>
      <c r="O510" s="2">
        <f t="shared" si="194"/>
        <v>123.40643047152346</v>
      </c>
      <c r="P510" s="2">
        <f t="shared" si="195"/>
        <v>84.121629496607667</v>
      </c>
      <c r="Q510" s="5">
        <f t="shared" si="196"/>
        <v>1.0400658995267718</v>
      </c>
      <c r="R510" s="5">
        <f t="shared" si="197"/>
        <v>0.16389944154529187</v>
      </c>
      <c r="S510" s="4">
        <f t="shared" si="214"/>
        <v>0.15053269094002913</v>
      </c>
      <c r="T510" s="5">
        <f t="shared" si="198"/>
        <v>0.10756322976792247</v>
      </c>
      <c r="U510" s="4">
        <f t="shared" si="199"/>
        <v>0</v>
      </c>
      <c r="V510" s="4">
        <f t="shared" si="200"/>
        <v>0</v>
      </c>
      <c r="W510" s="5">
        <f t="shared" si="201"/>
        <v>0</v>
      </c>
      <c r="X510" s="5">
        <f t="shared" si="202"/>
        <v>-13.278641346217089</v>
      </c>
      <c r="Y510" s="5">
        <f t="shared" si="203"/>
        <v>4.9857008323790764</v>
      </c>
      <c r="Z510" s="5">
        <f>1</f>
        <v>1</v>
      </c>
      <c r="AA510" s="5">
        <f>IF(M510=0,0,const*($T510/omega)*O510*(wy*I510-wz*(H510-V510))/Z510)</f>
        <v>0</v>
      </c>
      <c r="AB510" s="5">
        <f>IF(M510=0,0,const*($T510/omega)*O510*(wz*(G510-U510)-wx*I510)/Z510)</f>
        <v>3.2719945786948772</v>
      </c>
      <c r="AC510" s="5">
        <f>IF(M510=0,0,const*($T510/omega)*O510*(wx*(H510-V510)-wy*(G510-U510))/Z510)</f>
        <v>8.7144503767835619</v>
      </c>
      <c r="AD510" s="5">
        <f t="shared" si="216"/>
        <v>0</v>
      </c>
      <c r="AE510" s="5">
        <f t="shared" si="216"/>
        <v>-10.006646767522213</v>
      </c>
      <c r="AF510" s="5">
        <f t="shared" si="204"/>
        <v>-18.473848790837362</v>
      </c>
      <c r="AG510">
        <f t="shared" si="215"/>
        <v>0</v>
      </c>
    </row>
    <row r="511" spans="1:33" x14ac:dyDescent="0.2">
      <c r="A511">
        <f t="shared" si="205"/>
        <v>4.7899999999999423</v>
      </c>
      <c r="B511" s="5">
        <f t="shared" si="206"/>
        <v>0</v>
      </c>
      <c r="C511" s="5">
        <f t="shared" si="207"/>
        <v>754.47391891156383</v>
      </c>
      <c r="D511" s="5">
        <f t="shared" si="208"/>
        <v>9.2975979759584941</v>
      </c>
      <c r="E511" s="2">
        <f t="shared" si="190"/>
        <v>251.4913063038546</v>
      </c>
      <c r="F511" s="2">
        <f t="shared" si="209"/>
        <v>0</v>
      </c>
      <c r="G511" s="3">
        <f t="shared" si="210"/>
        <v>0</v>
      </c>
      <c r="H511" s="3">
        <f t="shared" si="211"/>
        <v>115.43120104394153</v>
      </c>
      <c r="I511" s="3">
        <f t="shared" si="212"/>
        <v>-43.562996969343565</v>
      </c>
      <c r="J511" s="2">
        <f t="shared" si="191"/>
        <v>123.37786219333631</v>
      </c>
      <c r="K511" s="2">
        <f t="shared" si="213"/>
        <v>84.102155551013155</v>
      </c>
      <c r="L511" s="5">
        <f t="shared" si="192"/>
        <v>28.363429621996271</v>
      </c>
      <c r="M511" s="3">
        <f t="shared" si="193"/>
        <v>18.57087835603507</v>
      </c>
      <c r="N511" s="2">
        <v>0</v>
      </c>
      <c r="O511" s="2">
        <f t="shared" si="194"/>
        <v>123.37786219333631</v>
      </c>
      <c r="P511" s="2">
        <f t="shared" si="195"/>
        <v>84.102155551013155</v>
      </c>
      <c r="Q511" s="5">
        <f t="shared" si="196"/>
        <v>1.0398251268876386</v>
      </c>
      <c r="R511" s="5">
        <f t="shared" si="197"/>
        <v>0.1638968646341224</v>
      </c>
      <c r="S511" s="4">
        <f t="shared" si="214"/>
        <v>0.15052034478384801</v>
      </c>
      <c r="T511" s="5">
        <f t="shared" si="198"/>
        <v>0.10755970089960194</v>
      </c>
      <c r="U511" s="4">
        <f t="shared" si="199"/>
        <v>0</v>
      </c>
      <c r="V511" s="4">
        <f t="shared" si="200"/>
        <v>0</v>
      </c>
      <c r="W511" s="5">
        <f t="shared" si="201"/>
        <v>0</v>
      </c>
      <c r="X511" s="5">
        <f t="shared" si="202"/>
        <v>-13.263860304947896</v>
      </c>
      <c r="Y511" s="5">
        <f t="shared" si="203"/>
        <v>5.0056960426694657</v>
      </c>
      <c r="Z511" s="5">
        <f>1</f>
        <v>1</v>
      </c>
      <c r="AA511" s="5">
        <f>IF(M511=0,0,const*($T511/omega)*O511*(wy*I511-wz*(H511-V511))/Z511)</f>
        <v>0</v>
      </c>
      <c r="AB511" s="5">
        <f>IF(M511=0,0,const*($T511/omega)*O511*(wz*(G511-U511)-wx*I511)/Z511)</f>
        <v>3.2850608237429011</v>
      </c>
      <c r="AC511" s="5">
        <f>IF(M511=0,0,const*($T511/omega)*O511*(wx*(H511-V511)-wy*(G511-U511))/Z511)</f>
        <v>8.7046012158873047</v>
      </c>
      <c r="AD511" s="5">
        <f t="shared" si="216"/>
        <v>0</v>
      </c>
      <c r="AE511" s="5">
        <f t="shared" si="216"/>
        <v>-9.9787994812049945</v>
      </c>
      <c r="AF511" s="5">
        <f t="shared" si="204"/>
        <v>-18.463702741443228</v>
      </c>
      <c r="AG511">
        <f t="shared" si="215"/>
        <v>0</v>
      </c>
    </row>
    <row r="512" spans="1:33" x14ac:dyDescent="0.2">
      <c r="A512">
        <f t="shared" si="205"/>
        <v>4.7999999999999421</v>
      </c>
      <c r="B512" s="5">
        <f t="shared" si="206"/>
        <v>0</v>
      </c>
      <c r="C512" s="5">
        <f t="shared" si="207"/>
        <v>755.62773198202922</v>
      </c>
      <c r="D512" s="5">
        <f t="shared" si="208"/>
        <v>8.8610448211279866</v>
      </c>
      <c r="E512" s="2">
        <f t="shared" si="190"/>
        <v>251.8759106606764</v>
      </c>
      <c r="F512" s="2">
        <f t="shared" si="209"/>
        <v>0</v>
      </c>
      <c r="G512" s="3">
        <f t="shared" si="210"/>
        <v>0</v>
      </c>
      <c r="H512" s="3">
        <f t="shared" si="211"/>
        <v>115.33141304912948</v>
      </c>
      <c r="I512" s="3">
        <f t="shared" si="212"/>
        <v>-43.747633996757997</v>
      </c>
      <c r="J512" s="2">
        <f t="shared" si="191"/>
        <v>123.34986954278959</v>
      </c>
      <c r="K512" s="2">
        <f t="shared" si="213"/>
        <v>84.083073989631615</v>
      </c>
      <c r="L512" s="5">
        <f t="shared" si="192"/>
        <v>28.369866333900855</v>
      </c>
      <c r="M512" s="3">
        <f t="shared" si="193"/>
        <v>18.565044852506034</v>
      </c>
      <c r="N512" s="2">
        <v>0</v>
      </c>
      <c r="O512" s="2">
        <f t="shared" si="194"/>
        <v>123.34986954278959</v>
      </c>
      <c r="P512" s="2">
        <f t="shared" si="195"/>
        <v>84.083073989631615</v>
      </c>
      <c r="Q512" s="5">
        <f t="shared" si="196"/>
        <v>1.0395892056219496</v>
      </c>
      <c r="R512" s="5">
        <f t="shared" si="197"/>
        <v>0.16389412334554748</v>
      </c>
      <c r="S512" s="4">
        <f t="shared" si="214"/>
        <v>0.15050721108436918</v>
      </c>
      <c r="T512" s="5">
        <f t="shared" si="198"/>
        <v>0.10755594673927248</v>
      </c>
      <c r="U512" s="4">
        <f t="shared" si="199"/>
        <v>0</v>
      </c>
      <c r="V512" s="4">
        <f t="shared" si="200"/>
        <v>0</v>
      </c>
      <c r="W512" s="5">
        <f t="shared" si="201"/>
        <v>0</v>
      </c>
      <c r="X512" s="5">
        <f t="shared" si="202"/>
        <v>-13.249165578043495</v>
      </c>
      <c r="Y512" s="5">
        <f t="shared" si="203"/>
        <v>5.0256875481425176</v>
      </c>
      <c r="Z512" s="5">
        <f>1</f>
        <v>1</v>
      </c>
      <c r="AA512" s="5">
        <f>IF(M512=0,0,const*($T512/omega)*O512*(wy*I512-wz*(H512-V512))/Z512)</f>
        <v>0</v>
      </c>
      <c r="AB512" s="5">
        <f>IF(M512=0,0,const*($T512/omega)*O512*(wz*(G512-U512)-wx*I512)/Z512)</f>
        <v>3.2981205867679839</v>
      </c>
      <c r="AC512" s="5">
        <f>IF(M512=0,0,const*($T512/omega)*O512*(wx*(H512-V512)-wy*(G512-U512))/Z512)</f>
        <v>8.694799533765968</v>
      </c>
      <c r="AD512" s="5">
        <f t="shared" si="216"/>
        <v>0</v>
      </c>
      <c r="AE512" s="5">
        <f t="shared" si="216"/>
        <v>-9.951044991275511</v>
      </c>
      <c r="AF512" s="5">
        <f t="shared" si="204"/>
        <v>-18.453512918091512</v>
      </c>
      <c r="AG512">
        <f t="shared" si="215"/>
        <v>0</v>
      </c>
    </row>
    <row r="513" spans="1:33" x14ac:dyDescent="0.2">
      <c r="A513">
        <f t="shared" si="205"/>
        <v>4.8099999999999419</v>
      </c>
      <c r="B513" s="5">
        <f t="shared" si="206"/>
        <v>0</v>
      </c>
      <c r="C513" s="5">
        <f t="shared" si="207"/>
        <v>756.78054856027086</v>
      </c>
      <c r="D513" s="5">
        <f t="shared" si="208"/>
        <v>8.4226458055145024</v>
      </c>
      <c r="E513" s="2">
        <f t="shared" si="190"/>
        <v>252.26018285342363</v>
      </c>
      <c r="F513" s="2">
        <f t="shared" si="209"/>
        <v>0</v>
      </c>
      <c r="G513" s="3">
        <f t="shared" si="210"/>
        <v>0</v>
      </c>
      <c r="H513" s="3">
        <f t="shared" si="211"/>
        <v>115.23190259921672</v>
      </c>
      <c r="I513" s="3">
        <f t="shared" si="212"/>
        <v>-43.932169125938913</v>
      </c>
      <c r="J513" s="2">
        <f t="shared" si="191"/>
        <v>123.32245075713291</v>
      </c>
      <c r="K513" s="2">
        <f t="shared" si="213"/>
        <v>84.064383610860872</v>
      </c>
      <c r="L513" s="5">
        <f t="shared" si="192"/>
        <v>28.3761739224976</v>
      </c>
      <c r="M513" s="3">
        <f t="shared" si="193"/>
        <v>18.559201511361664</v>
      </c>
      <c r="N513" s="2">
        <v>0</v>
      </c>
      <c r="O513" s="2">
        <f t="shared" si="194"/>
        <v>123.32245075713291</v>
      </c>
      <c r="P513" s="2">
        <f t="shared" si="195"/>
        <v>84.064383610860872</v>
      </c>
      <c r="Q513" s="5">
        <f t="shared" si="196"/>
        <v>1.0393581208732943</v>
      </c>
      <c r="R513" s="5">
        <f t="shared" si="197"/>
        <v>0.16389121799368087</v>
      </c>
      <c r="S513" s="4">
        <f t="shared" si="214"/>
        <v>0.15049329134653294</v>
      </c>
      <c r="T513" s="5">
        <f t="shared" si="198"/>
        <v>0.10755196768175881</v>
      </c>
      <c r="U513" s="4">
        <f t="shared" si="199"/>
        <v>0</v>
      </c>
      <c r="V513" s="4">
        <f t="shared" si="200"/>
        <v>0</v>
      </c>
      <c r="W513" s="5">
        <f t="shared" si="201"/>
        <v>0</v>
      </c>
      <c r="X513" s="5">
        <f t="shared" si="202"/>
        <v>-13.234556751425758</v>
      </c>
      <c r="Y513" s="5">
        <f t="shared" si="203"/>
        <v>5.045675480450023</v>
      </c>
      <c r="Z513" s="5">
        <f>1</f>
        <v>1</v>
      </c>
      <c r="AA513" s="5">
        <f>IF(M513=0,0,const*($T513/omega)*O513*(wy*I513-wz*(H513-V513))/Z513)</f>
        <v>0</v>
      </c>
      <c r="AB513" s="5">
        <f>IF(M513=0,0,const*($T513/omega)*O513*(wz*(G513-U513)-wx*I513)/Z513)</f>
        <v>3.3111739167557315</v>
      </c>
      <c r="AC513" s="5">
        <f>IF(M513=0,0,const*($T513/omega)*O513*(wx*(H513-V513)-wy*(G513-U513))/Z513)</f>
        <v>8.6850451014808367</v>
      </c>
      <c r="AD513" s="5">
        <f t="shared" si="216"/>
        <v>0</v>
      </c>
      <c r="AE513" s="5">
        <f t="shared" si="216"/>
        <v>-9.9233828346700275</v>
      </c>
      <c r="AF513" s="5">
        <f t="shared" si="204"/>
        <v>-18.443279418069139</v>
      </c>
      <c r="AG513">
        <f t="shared" si="215"/>
        <v>0</v>
      </c>
    </row>
    <row r="514" spans="1:33" x14ac:dyDescent="0.2">
      <c r="A514">
        <f t="shared" si="205"/>
        <v>4.8199999999999417</v>
      </c>
      <c r="B514" s="5">
        <f t="shared" si="206"/>
        <v>0</v>
      </c>
      <c r="C514" s="5">
        <f t="shared" si="207"/>
        <v>757.93237141712132</v>
      </c>
      <c r="D514" s="5">
        <f t="shared" si="208"/>
        <v>7.9824019502842098</v>
      </c>
      <c r="E514" s="2">
        <f t="shared" si="190"/>
        <v>252.6441238057071</v>
      </c>
      <c r="F514" s="2">
        <f t="shared" si="209"/>
        <v>0</v>
      </c>
      <c r="G514" s="3">
        <f t="shared" si="210"/>
        <v>0</v>
      </c>
      <c r="H514" s="3">
        <f t="shared" si="211"/>
        <v>115.13266877087003</v>
      </c>
      <c r="I514" s="3">
        <f t="shared" si="212"/>
        <v>-44.116601920119606</v>
      </c>
      <c r="J514" s="2">
        <f t="shared" si="191"/>
        <v>123.29560407119619</v>
      </c>
      <c r="K514" s="2">
        <f t="shared" si="213"/>
        <v>84.046083211449343</v>
      </c>
      <c r="L514" s="5">
        <f t="shared" si="192"/>
        <v>28.382352619906328</v>
      </c>
      <c r="M514" s="3">
        <f t="shared" si="193"/>
        <v>18.553348296878308</v>
      </c>
      <c r="N514" s="2">
        <v>0</v>
      </c>
      <c r="O514" s="2">
        <f t="shared" si="194"/>
        <v>123.29560407119619</v>
      </c>
      <c r="P514" s="2">
        <f t="shared" si="195"/>
        <v>84.046083211449343</v>
      </c>
      <c r="Q514" s="5">
        <f t="shared" si="196"/>
        <v>1.0391318577648696</v>
      </c>
      <c r="R514" s="5">
        <f t="shared" si="197"/>
        <v>0.16388814889881798</v>
      </c>
      <c r="S514" s="4">
        <f t="shared" si="214"/>
        <v>0.15047858710489634</v>
      </c>
      <c r="T514" s="5">
        <f t="shared" si="198"/>
        <v>0.10754776412832268</v>
      </c>
      <c r="U514" s="4">
        <f t="shared" si="199"/>
        <v>0</v>
      </c>
      <c r="V514" s="4">
        <f t="shared" si="200"/>
        <v>0</v>
      </c>
      <c r="W514" s="5">
        <f t="shared" si="201"/>
        <v>0</v>
      </c>
      <c r="X514" s="5">
        <f t="shared" si="202"/>
        <v>-13.220033412757338</v>
      </c>
      <c r="Y514" s="5">
        <f t="shared" si="203"/>
        <v>5.0656599700819083</v>
      </c>
      <c r="Z514" s="5">
        <f>1</f>
        <v>1</v>
      </c>
      <c r="AA514" s="5">
        <f>IF(M514=0,0,const*($T514/omega)*O514*(wy*I514-wz*(H514-V514))/Z514)</f>
        <v>0</v>
      </c>
      <c r="AB514" s="5">
        <f>IF(M514=0,0,const*($T514/omega)*O514*(wz*(G514-U514)-wx*I514)/Z514)</f>
        <v>3.3242208620771385</v>
      </c>
      <c r="AC514" s="5">
        <f>IF(M514=0,0,const*($T514/omega)*O514*(wx*(H514-V514)-wy*(G514-U514))/Z514)</f>
        <v>8.6753376909611628</v>
      </c>
      <c r="AD514" s="5">
        <f t="shared" si="216"/>
        <v>0</v>
      </c>
      <c r="AE514" s="5">
        <f t="shared" si="216"/>
        <v>-9.8958125506801995</v>
      </c>
      <c r="AF514" s="5">
        <f t="shared" si="204"/>
        <v>-18.433002338956928</v>
      </c>
      <c r="AG514">
        <f t="shared" si="215"/>
        <v>0</v>
      </c>
    </row>
    <row r="515" spans="1:33" x14ac:dyDescent="0.2">
      <c r="A515">
        <f t="shared" si="205"/>
        <v>4.8299999999999415</v>
      </c>
      <c r="B515" s="5">
        <f t="shared" si="206"/>
        <v>0</v>
      </c>
      <c r="C515" s="5">
        <f t="shared" si="207"/>
        <v>759.08320331420248</v>
      </c>
      <c r="D515" s="5">
        <f t="shared" si="208"/>
        <v>7.5403142809660659</v>
      </c>
      <c r="E515" s="2">
        <f t="shared" si="190"/>
        <v>253.02773443806748</v>
      </c>
      <c r="F515" s="2">
        <f t="shared" si="209"/>
        <v>0</v>
      </c>
      <c r="G515" s="3">
        <f t="shared" si="210"/>
        <v>0</v>
      </c>
      <c r="H515" s="3">
        <f t="shared" si="211"/>
        <v>115.03371064536323</v>
      </c>
      <c r="I515" s="3">
        <f t="shared" si="212"/>
        <v>-44.300931943509177</v>
      </c>
      <c r="J515" s="2">
        <f t="shared" si="191"/>
        <v>123.26932771741957</v>
      </c>
      <c r="K515" s="2">
        <f t="shared" si="213"/>
        <v>84.028171586516407</v>
      </c>
      <c r="L515" s="5">
        <f t="shared" si="192"/>
        <v>28.388402662948369</v>
      </c>
      <c r="M515" s="3">
        <f t="shared" si="193"/>
        <v>18.547485173841327</v>
      </c>
      <c r="N515" s="2">
        <v>0</v>
      </c>
      <c r="O515" s="2">
        <f t="shared" si="194"/>
        <v>123.26932771741957</v>
      </c>
      <c r="P515" s="2">
        <f t="shared" si="195"/>
        <v>84.028171586516407</v>
      </c>
      <c r="Q515" s="5">
        <f t="shared" si="196"/>
        <v>1.038910401399731</v>
      </c>
      <c r="R515" s="5">
        <f t="shared" si="197"/>
        <v>0.16388491638739547</v>
      </c>
      <c r="S515" s="4">
        <f t="shared" si="214"/>
        <v>0.15046309992343962</v>
      </c>
      <c r="T515" s="5">
        <f t="shared" si="198"/>
        <v>0.10754333648662197</v>
      </c>
      <c r="U515" s="4">
        <f t="shared" si="199"/>
        <v>0</v>
      </c>
      <c r="V515" s="4">
        <f t="shared" si="200"/>
        <v>0</v>
      </c>
      <c r="W515" s="5">
        <f t="shared" si="201"/>
        <v>0</v>
      </c>
      <c r="X515" s="5">
        <f t="shared" si="202"/>
        <v>-13.205595151433748</v>
      </c>
      <c r="Y515" s="5">
        <f t="shared" si="203"/>
        <v>5.0856411463658384</v>
      </c>
      <c r="Z515" s="5">
        <f>1</f>
        <v>1</v>
      </c>
      <c r="AA515" s="5">
        <f>IF(M515=0,0,const*($T515/omega)*O515*(wy*I515-wz*(H515-V515))/Z515)</f>
        <v>0</v>
      </c>
      <c r="AB515" s="5">
        <f>IF(M515=0,0,const*($T515/omega)*O515*(wz*(G515-U515)-wx*I515)/Z515)</f>
        <v>3.3372614704881767</v>
      </c>
      <c r="AC515" s="5">
        <f>IF(M515=0,0,const*($T515/omega)*O515*(wx*(H515-V515)-wy*(G515-U515))/Z515)</f>
        <v>8.6656770750012093</v>
      </c>
      <c r="AD515" s="5">
        <f t="shared" si="216"/>
        <v>0</v>
      </c>
      <c r="AE515" s="5">
        <f t="shared" si="216"/>
        <v>-9.8683336809455717</v>
      </c>
      <c r="AF515" s="5">
        <f t="shared" si="204"/>
        <v>-18.422681778632953</v>
      </c>
      <c r="AG515">
        <f t="shared" si="215"/>
        <v>0</v>
      </c>
    </row>
    <row r="516" spans="1:33" x14ac:dyDescent="0.2">
      <c r="A516">
        <f t="shared" si="205"/>
        <v>4.8399999999999412</v>
      </c>
      <c r="B516" s="5">
        <f t="shared" si="206"/>
        <v>0</v>
      </c>
      <c r="C516" s="5">
        <f t="shared" si="207"/>
        <v>760.23304700397205</v>
      </c>
      <c r="D516" s="5">
        <f t="shared" si="208"/>
        <v>7.0963838274420423</v>
      </c>
      <c r="E516" s="2">
        <f t="shared" si="190"/>
        <v>253.41101566799068</v>
      </c>
      <c r="F516" s="2">
        <f t="shared" si="209"/>
        <v>0</v>
      </c>
      <c r="G516" s="3">
        <f t="shared" si="210"/>
        <v>0</v>
      </c>
      <c r="H516" s="3">
        <f t="shared" si="211"/>
        <v>114.93502730855377</v>
      </c>
      <c r="I516" s="3">
        <f t="shared" si="212"/>
        <v>-44.485158761295509</v>
      </c>
      <c r="J516" s="2">
        <f t="shared" si="191"/>
        <v>123.24361992588365</v>
      </c>
      <c r="K516" s="2">
        <f t="shared" si="213"/>
        <v>84.010647529573035</v>
      </c>
      <c r="L516" s="5">
        <f t="shared" si="192"/>
        <v>28.394324293115801</v>
      </c>
      <c r="M516" s="3">
        <f t="shared" si="193"/>
        <v>18.541612107544459</v>
      </c>
      <c r="N516" s="2">
        <v>0</v>
      </c>
      <c r="O516" s="2">
        <f t="shared" si="194"/>
        <v>123.24361992588365</v>
      </c>
      <c r="P516" s="2">
        <f t="shared" si="195"/>
        <v>84.010647529573035</v>
      </c>
      <c r="Q516" s="5">
        <f t="shared" si="196"/>
        <v>1.0386937368610476</v>
      </c>
      <c r="R516" s="5">
        <f t="shared" si="197"/>
        <v>0.16388152079195029</v>
      </c>
      <c r="S516" s="4">
        <f t="shared" si="214"/>
        <v>0.15044683139536982</v>
      </c>
      <c r="T516" s="5">
        <f t="shared" si="198"/>
        <v>0.1075386851706695</v>
      </c>
      <c r="U516" s="4">
        <f t="shared" si="199"/>
        <v>0</v>
      </c>
      <c r="V516" s="4">
        <f t="shared" si="200"/>
        <v>0</v>
      </c>
      <c r="W516" s="5">
        <f t="shared" si="201"/>
        <v>0</v>
      </c>
      <c r="X516" s="5">
        <f t="shared" si="202"/>
        <v>-13.191241558575545</v>
      </c>
      <c r="Y516" s="5">
        <f t="shared" si="203"/>
        <v>5.1056191374668947</v>
      </c>
      <c r="Z516" s="5">
        <f>1</f>
        <v>1</v>
      </c>
      <c r="AA516" s="5">
        <f>IF(M516=0,0,const*($T516/omega)*O516*(wy*I516-wz*(H516-V516))/Z516)</f>
        <v>0</v>
      </c>
      <c r="AB516" s="5">
        <f>IF(M516=0,0,const*($T516/omega)*O516*(wz*(G516-U516)-wx*I516)/Z516)</f>
        <v>3.3502957891294267</v>
      </c>
      <c r="AC516" s="5">
        <f>IF(M516=0,0,const*($T516/omega)*O516*(wx*(H516-V516)-wy*(G516-U516))/Z516)</f>
        <v>8.6560630272573498</v>
      </c>
      <c r="AD516" s="5">
        <f t="shared" si="216"/>
        <v>0</v>
      </c>
      <c r="AE516" s="5">
        <f t="shared" si="216"/>
        <v>-9.8409457694461189</v>
      </c>
      <c r="AF516" s="5">
        <f t="shared" si="204"/>
        <v>-18.412317835275754</v>
      </c>
      <c r="AG516">
        <f t="shared" si="215"/>
        <v>0</v>
      </c>
    </row>
    <row r="517" spans="1:33" x14ac:dyDescent="0.2">
      <c r="A517">
        <f t="shared" si="205"/>
        <v>4.849999999999941</v>
      </c>
      <c r="B517" s="5">
        <f t="shared" si="206"/>
        <v>0</v>
      </c>
      <c r="C517" s="5">
        <f t="shared" si="207"/>
        <v>761.38190522976913</v>
      </c>
      <c r="D517" s="5">
        <f t="shared" si="208"/>
        <v>6.6506116239373236</v>
      </c>
      <c r="E517" s="2">
        <f t="shared" si="190"/>
        <v>253.79396840992305</v>
      </c>
      <c r="F517" s="2">
        <f t="shared" si="209"/>
        <v>0</v>
      </c>
      <c r="G517" s="3">
        <f t="shared" si="210"/>
        <v>0</v>
      </c>
      <c r="H517" s="3">
        <f t="shared" si="211"/>
        <v>114.83661785085931</v>
      </c>
      <c r="I517" s="3">
        <f t="shared" si="212"/>
        <v>-44.669281939648265</v>
      </c>
      <c r="J517" s="2">
        <f t="shared" si="191"/>
        <v>123.21847892434026</v>
      </c>
      <c r="K517" s="2">
        <f t="shared" si="213"/>
        <v>83.99350983254277</v>
      </c>
      <c r="L517" s="5">
        <f t="shared" si="192"/>
        <v>28.40011775654035</v>
      </c>
      <c r="M517" s="3">
        <f t="shared" si="193"/>
        <v>18.535729063789198</v>
      </c>
      <c r="N517" s="2">
        <v>0</v>
      </c>
      <c r="O517" s="2">
        <f t="shared" si="194"/>
        <v>123.21847892434026</v>
      </c>
      <c r="P517" s="2">
        <f t="shared" si="195"/>
        <v>83.99350983254277</v>
      </c>
      <c r="Q517" s="5">
        <f t="shared" si="196"/>
        <v>1.0384818492123624</v>
      </c>
      <c r="R517" s="5">
        <f t="shared" si="197"/>
        <v>0.16387796245107816</v>
      </c>
      <c r="S517" s="4">
        <f t="shared" si="214"/>
        <v>0.15042978314292191</v>
      </c>
      <c r="T517" s="5">
        <f t="shared" si="198"/>
        <v>0.10753381060079115</v>
      </c>
      <c r="U517" s="4">
        <f t="shared" si="199"/>
        <v>0</v>
      </c>
      <c r="V517" s="4">
        <f t="shared" si="200"/>
        <v>0</v>
      </c>
      <c r="W517" s="5">
        <f t="shared" si="201"/>
        <v>0</v>
      </c>
      <c r="X517" s="5">
        <f t="shared" si="202"/>
        <v>-13.17697222702059</v>
      </c>
      <c r="Y517" s="5">
        <f t="shared" si="203"/>
        <v>5.1255940703873062</v>
      </c>
      <c r="Z517" s="5">
        <f>1</f>
        <v>1</v>
      </c>
      <c r="AA517" s="5">
        <f>IF(M517=0,0,const*($T517/omega)*O517*(wy*I517-wz*(H517-V517))/Z517)</f>
        <v>0</v>
      </c>
      <c r="AB517" s="5">
        <f>IF(M517=0,0,const*($T517/omega)*O517*(wz*(G517-U517)-wx*I517)/Z517)</f>
        <v>3.3633238645257557</v>
      </c>
      <c r="AC517" s="5">
        <f>IF(M517=0,0,const*($T517/omega)*O517*(wx*(H517-V517)-wy*(G517-U517))/Z517)</f>
        <v>8.6464953222451726</v>
      </c>
      <c r="AD517" s="5">
        <f t="shared" si="216"/>
        <v>0</v>
      </c>
      <c r="AE517" s="5">
        <f t="shared" si="216"/>
        <v>-9.8136483624948347</v>
      </c>
      <c r="AF517" s="5">
        <f t="shared" si="204"/>
        <v>-18.401910607367519</v>
      </c>
      <c r="AG517">
        <f t="shared" si="215"/>
        <v>0</v>
      </c>
    </row>
    <row r="518" spans="1:33" x14ac:dyDescent="0.2">
      <c r="A518">
        <f t="shared" si="205"/>
        <v>4.8599999999999408</v>
      </c>
      <c r="B518" s="5">
        <f t="shared" si="206"/>
        <v>0</v>
      </c>
      <c r="C518" s="5">
        <f t="shared" si="207"/>
        <v>762.52978072585961</v>
      </c>
      <c r="D518" s="5">
        <f t="shared" si="208"/>
        <v>6.2029987090104726</v>
      </c>
      <c r="E518" s="2">
        <f t="shared" si="190"/>
        <v>254.17659357528655</v>
      </c>
      <c r="F518" s="2">
        <f t="shared" si="209"/>
        <v>0</v>
      </c>
      <c r="G518" s="3">
        <f t="shared" si="210"/>
        <v>0</v>
      </c>
      <c r="H518" s="3">
        <f t="shared" si="211"/>
        <v>114.73848136723436</v>
      </c>
      <c r="I518" s="3">
        <f t="shared" si="212"/>
        <v>-44.853301045721942</v>
      </c>
      <c r="J518" s="2">
        <f t="shared" si="191"/>
        <v>123.19390293824344</v>
      </c>
      <c r="K518" s="2">
        <f t="shared" si="213"/>
        <v>83.976757285782838</v>
      </c>
      <c r="L518" s="5">
        <f t="shared" si="192"/>
        <v>28.405783303961826</v>
      </c>
      <c r="M518" s="3">
        <f t="shared" si="193"/>
        <v>18.529836008884129</v>
      </c>
      <c r="N518" s="2">
        <v>0</v>
      </c>
      <c r="O518" s="2">
        <f t="shared" si="194"/>
        <v>123.19390293824344</v>
      </c>
      <c r="P518" s="2">
        <f t="shared" si="195"/>
        <v>83.976757285782838</v>
      </c>
      <c r="Q518" s="5">
        <f t="shared" si="196"/>
        <v>1.0382747234978524</v>
      </c>
      <c r="R518" s="5">
        <f t="shared" si="197"/>
        <v>0.16387424170939147</v>
      </c>
      <c r="S518" s="4">
        <f t="shared" si="214"/>
        <v>0.15041195681715722</v>
      </c>
      <c r="T518" s="5">
        <f t="shared" si="198"/>
        <v>0.10752871320358372</v>
      </c>
      <c r="U518" s="4">
        <f t="shared" si="199"/>
        <v>0</v>
      </c>
      <c r="V518" s="4">
        <f t="shared" si="200"/>
        <v>0</v>
      </c>
      <c r="W518" s="5">
        <f t="shared" si="201"/>
        <v>0</v>
      </c>
      <c r="X518" s="5">
        <f t="shared" si="202"/>
        <v>-13.162786751316368</v>
      </c>
      <c r="Y518" s="5">
        <f t="shared" si="203"/>
        <v>5.1455660709662414</v>
      </c>
      <c r="Z518" s="5">
        <f>1</f>
        <v>1</v>
      </c>
      <c r="AA518" s="5">
        <f>IF(M518=0,0,const*($T518/omega)*O518*(wy*I518-wz*(H518-V518))/Z518)</f>
        <v>0</v>
      </c>
      <c r="AB518" s="5">
        <f>IF(M518=0,0,const*($T518/omega)*O518*(wz*(G518-U518)-wx*I518)/Z518)</f>
        <v>3.3763457425860435</v>
      </c>
      <c r="AC518" s="5">
        <f>IF(M518=0,0,const*($T518/omega)*O518*(wx*(H518-V518)-wy*(G518-U518))/Z518)</f>
        <v>8.6369737353366833</v>
      </c>
      <c r="AD518" s="5">
        <f t="shared" si="216"/>
        <v>0</v>
      </c>
      <c r="AE518" s="5">
        <f t="shared" si="216"/>
        <v>-9.7864410087303249</v>
      </c>
      <c r="AF518" s="5">
        <f t="shared" si="204"/>
        <v>-18.391460193697075</v>
      </c>
      <c r="AG518">
        <f t="shared" si="215"/>
        <v>0</v>
      </c>
    </row>
    <row r="519" spans="1:33" x14ac:dyDescent="0.2">
      <c r="A519">
        <f t="shared" si="205"/>
        <v>4.8699999999999406</v>
      </c>
      <c r="B519" s="5">
        <f t="shared" si="206"/>
        <v>0</v>
      </c>
      <c r="C519" s="5">
        <f t="shared" si="207"/>
        <v>763.6766762174816</v>
      </c>
      <c r="D519" s="5">
        <f t="shared" si="208"/>
        <v>5.7535461255435685</v>
      </c>
      <c r="E519" s="2">
        <f t="shared" si="190"/>
        <v>254.55889207249388</v>
      </c>
      <c r="F519" s="2">
        <f t="shared" si="209"/>
        <v>0</v>
      </c>
      <c r="G519" s="3">
        <f t="shared" si="210"/>
        <v>0</v>
      </c>
      <c r="H519" s="3">
        <f t="shared" si="211"/>
        <v>114.64061695714706</v>
      </c>
      <c r="I519" s="3">
        <f t="shared" si="212"/>
        <v>-45.037215647658911</v>
      </c>
      <c r="J519" s="2">
        <f t="shared" si="191"/>
        <v>123.16989019078099</v>
      </c>
      <c r="K519" s="2">
        <f t="shared" si="213"/>
        <v>83.960388678105645</v>
      </c>
      <c r="L519" s="5">
        <f t="shared" si="192"/>
        <v>28.411321190696111</v>
      </c>
      <c r="M519" s="3">
        <f t="shared" si="193"/>
        <v>18.523932909644227</v>
      </c>
      <c r="N519" s="2">
        <v>0</v>
      </c>
      <c r="O519" s="2">
        <f t="shared" si="194"/>
        <v>123.16989019078099</v>
      </c>
      <c r="P519" s="2">
        <f t="shared" si="195"/>
        <v>83.960388678105645</v>
      </c>
      <c r="Q519" s="5">
        <f t="shared" si="196"/>
        <v>1.0380723447425946</v>
      </c>
      <c r="R519" s="5">
        <f t="shared" si="197"/>
        <v>0.16387035891747659</v>
      </c>
      <c r="S519" s="4">
        <f t="shared" si="214"/>
        <v>0.15039335409775906</v>
      </c>
      <c r="T519" s="5">
        <f t="shared" si="198"/>
        <v>0.10752339341187198</v>
      </c>
      <c r="U519" s="4">
        <f t="shared" si="199"/>
        <v>0</v>
      </c>
      <c r="V519" s="4">
        <f t="shared" si="200"/>
        <v>0</v>
      </c>
      <c r="W519" s="5">
        <f t="shared" si="201"/>
        <v>0</v>
      </c>
      <c r="X519" s="5">
        <f t="shared" si="202"/>
        <v>-13.148684727712416</v>
      </c>
      <c r="Y519" s="5">
        <f t="shared" si="203"/>
        <v>5.1655352638796579</v>
      </c>
      <c r="Z519" s="5">
        <f>1</f>
        <v>1</v>
      </c>
      <c r="AA519" s="5">
        <f>IF(M519=0,0,const*($T519/omega)*O519*(wy*I519-wz*(H519-V519))/Z519)</f>
        <v>0</v>
      </c>
      <c r="AB519" s="5">
        <f>IF(M519=0,0,const*($T519/omega)*O519*(wz*(G519-U519)-wx*I519)/Z519)</f>
        <v>3.3893614686029467</v>
      </c>
      <c r="AC519" s="5">
        <f>IF(M519=0,0,const*($T519/omega)*O519*(wx*(H519-V519)-wy*(G519-U519))/Z519)</f>
        <v>8.6274980427574803</v>
      </c>
      <c r="AD519" s="5">
        <f t="shared" si="216"/>
        <v>0</v>
      </c>
      <c r="AE519" s="5">
        <f t="shared" si="216"/>
        <v>-9.7593232591094683</v>
      </c>
      <c r="AF519" s="5">
        <f t="shared" si="204"/>
        <v>-18.380966693362861</v>
      </c>
      <c r="AG519">
        <f t="shared" si="215"/>
        <v>0</v>
      </c>
    </row>
    <row r="520" spans="1:33" x14ac:dyDescent="0.2">
      <c r="A520">
        <f t="shared" si="205"/>
        <v>4.8799999999999404</v>
      </c>
      <c r="B520" s="5">
        <f t="shared" si="206"/>
        <v>0</v>
      </c>
      <c r="C520" s="5">
        <f t="shared" si="207"/>
        <v>764.82259442089014</v>
      </c>
      <c r="D520" s="5">
        <f t="shared" si="208"/>
        <v>5.3022549207323113</v>
      </c>
      <c r="E520" s="2">
        <f t="shared" si="190"/>
        <v>254.94086480696339</v>
      </c>
      <c r="F520" s="2">
        <f t="shared" si="209"/>
        <v>0</v>
      </c>
      <c r="G520" s="3">
        <f t="shared" si="210"/>
        <v>0</v>
      </c>
      <c r="H520" s="3">
        <f t="shared" si="211"/>
        <v>114.54302372455597</v>
      </c>
      <c r="I520" s="3">
        <f t="shared" si="212"/>
        <v>-45.221025314592538</v>
      </c>
      <c r="J520" s="2">
        <f t="shared" si="191"/>
        <v>123.1464389029062</v>
      </c>
      <c r="K520" s="2">
        <f t="shared" si="213"/>
        <v>83.944402796800404</v>
      </c>
      <c r="L520" s="5">
        <f t="shared" si="192"/>
        <v>28.416731676602826</v>
      </c>
      <c r="M520" s="3">
        <f t="shared" si="193"/>
        <v>18.518019733390158</v>
      </c>
      <c r="N520" s="2">
        <v>0</v>
      </c>
      <c r="O520" s="2">
        <f t="shared" si="194"/>
        <v>123.1464389029062</v>
      </c>
      <c r="P520" s="2">
        <f t="shared" si="195"/>
        <v>83.944402796800404</v>
      </c>
      <c r="Q520" s="5">
        <f t="shared" si="196"/>
        <v>1.0378746979528337</v>
      </c>
      <c r="R520" s="5">
        <f t="shared" si="197"/>
        <v>0.1638663144318509</v>
      </c>
      <c r="S520" s="4">
        <f t="shared" si="214"/>
        <v>0.15037397669282618</v>
      </c>
      <c r="T520" s="5">
        <f t="shared" si="198"/>
        <v>0.10751785166466558</v>
      </c>
      <c r="U520" s="4">
        <f t="shared" si="199"/>
        <v>0</v>
      </c>
      <c r="V520" s="4">
        <f t="shared" si="200"/>
        <v>0</v>
      </c>
      <c r="W520" s="5">
        <f t="shared" si="201"/>
        <v>0</v>
      </c>
      <c r="X520" s="5">
        <f t="shared" si="202"/>
        <v>-13.134665754152801</v>
      </c>
      <c r="Y520" s="5">
        <f t="shared" si="203"/>
        <v>5.1855017726402179</v>
      </c>
      <c r="Z520" s="5">
        <f>1</f>
        <v>1</v>
      </c>
      <c r="AA520" s="5">
        <f>IF(M520=0,0,const*($T520/omega)*O520*(wy*I520-wz*(H520-V520))/Z520)</f>
        <v>0</v>
      </c>
      <c r="AB520" s="5">
        <f>IF(M520=0,0,const*($T520/omega)*O520*(wz*(G520-U520)-wx*I520)/Z520)</f>
        <v>3.4023710872527122</v>
      </c>
      <c r="AC520" s="5">
        <f>IF(M520=0,0,const*($T520/omega)*O520*(wx*(H520-V520)-wy*(G520-U520))/Z520)</f>
        <v>8.6180680215840049</v>
      </c>
      <c r="AD520" s="5">
        <f t="shared" si="216"/>
        <v>0</v>
      </c>
      <c r="AE520" s="5">
        <f t="shared" si="216"/>
        <v>-9.7322946669000885</v>
      </c>
      <c r="AF520" s="5">
        <f t="shared" si="204"/>
        <v>-18.370430205775776</v>
      </c>
      <c r="AG520">
        <f t="shared" si="215"/>
        <v>0</v>
      </c>
    </row>
    <row r="521" spans="1:33" x14ac:dyDescent="0.2">
      <c r="A521">
        <f t="shared" si="205"/>
        <v>4.8899999999999402</v>
      </c>
      <c r="B521" s="5">
        <f t="shared" si="206"/>
        <v>0</v>
      </c>
      <c r="C521" s="5">
        <f t="shared" si="207"/>
        <v>765.96753804340244</v>
      </c>
      <c r="D521" s="5">
        <f t="shared" si="208"/>
        <v>4.849126146076097</v>
      </c>
      <c r="E521" s="2">
        <f t="shared" si="190"/>
        <v>255.32251268113416</v>
      </c>
      <c r="F521" s="2">
        <f t="shared" si="209"/>
        <v>0</v>
      </c>
      <c r="G521" s="3">
        <f t="shared" si="210"/>
        <v>0</v>
      </c>
      <c r="H521" s="3">
        <f t="shared" si="211"/>
        <v>114.44570077788697</v>
      </c>
      <c r="I521" s="3">
        <f t="shared" si="212"/>
        <v>-45.404729616650293</v>
      </c>
      <c r="J521" s="2">
        <f t="shared" si="191"/>
        <v>123.12354729337017</v>
      </c>
      <c r="K521" s="2">
        <f t="shared" si="213"/>
        <v>83.928798427655181</v>
      </c>
      <c r="L521" s="5">
        <f t="shared" si="192"/>
        <v>28.422015026052474</v>
      </c>
      <c r="M521" s="3">
        <f t="shared" si="193"/>
        <v>18.512096447947563</v>
      </c>
      <c r="N521" s="2">
        <v>0</v>
      </c>
      <c r="O521" s="2">
        <f t="shared" si="194"/>
        <v>123.12354729337017</v>
      </c>
      <c r="P521" s="2">
        <f t="shared" si="195"/>
        <v>83.928798427655181</v>
      </c>
      <c r="Q521" s="5">
        <f t="shared" si="196"/>
        <v>1.0376817681162542</v>
      </c>
      <c r="R521" s="5">
        <f t="shared" si="197"/>
        <v>0.16386210861491893</v>
      </c>
      <c r="S521" s="4">
        <f t="shared" si="214"/>
        <v>0.1503538263386632</v>
      </c>
      <c r="T521" s="5">
        <f t="shared" si="198"/>
        <v>0.10751208840711526</v>
      </c>
      <c r="U521" s="4">
        <f t="shared" si="199"/>
        <v>0</v>
      </c>
      <c r="V521" s="4">
        <f t="shared" si="200"/>
        <v>0</v>
      </c>
      <c r="W521" s="5">
        <f t="shared" si="201"/>
        <v>0</v>
      </c>
      <c r="X521" s="5">
        <f t="shared" si="202"/>
        <v>-13.120729430268682</v>
      </c>
      <c r="Y521" s="5">
        <f t="shared" si="203"/>
        <v>5.2054657195972558</v>
      </c>
      <c r="Z521" s="5">
        <f>1</f>
        <v>1</v>
      </c>
      <c r="AA521" s="5">
        <f>IF(M521=0,0,const*($T521/omega)*O521*(wy*I521-wz*(H521-V521))/Z521)</f>
        <v>0</v>
      </c>
      <c r="AB521" s="5">
        <f>IF(M521=0,0,const*($T521/omega)*O521*(wz*(G521-U521)-wx*I521)/Z521)</f>
        <v>3.415374642595038</v>
      </c>
      <c r="AC521" s="5">
        <f>IF(M521=0,0,const*($T521/omega)*O521*(wx*(H521-V521)-wy*(G521-U521))/Z521)</f>
        <v>8.6086834497408233</v>
      </c>
      <c r="AD521" s="5">
        <f t="shared" si="216"/>
        <v>0</v>
      </c>
      <c r="AE521" s="5">
        <f t="shared" si="216"/>
        <v>-9.7053547876736435</v>
      </c>
      <c r="AF521" s="5">
        <f t="shared" si="204"/>
        <v>-18.359850830661919</v>
      </c>
      <c r="AG521">
        <f t="shared" si="215"/>
        <v>0</v>
      </c>
    </row>
    <row r="522" spans="1:33" x14ac:dyDescent="0.2">
      <c r="A522">
        <f t="shared" si="205"/>
        <v>4.89999999999994</v>
      </c>
      <c r="B522" s="5">
        <f t="shared" si="206"/>
        <v>0</v>
      </c>
      <c r="C522" s="5">
        <f t="shared" si="207"/>
        <v>767.11150978344199</v>
      </c>
      <c r="D522" s="5">
        <f t="shared" si="208"/>
        <v>4.3941608573680613</v>
      </c>
      <c r="E522" s="2">
        <f t="shared" si="190"/>
        <v>255.70383659448066</v>
      </c>
      <c r="F522" s="2">
        <f t="shared" si="209"/>
        <v>0</v>
      </c>
      <c r="G522" s="3">
        <f t="shared" si="210"/>
        <v>0</v>
      </c>
      <c r="H522" s="3">
        <f t="shared" si="211"/>
        <v>114.34864723001023</v>
      </c>
      <c r="I522" s="3">
        <f t="shared" si="212"/>
        <v>-45.588328124956909</v>
      </c>
      <c r="J522" s="2">
        <f t="shared" si="191"/>
        <v>123.10121357875423</v>
      </c>
      <c r="K522" s="2">
        <f t="shared" si="213"/>
        <v>83.913574354979019</v>
      </c>
      <c r="L522" s="5">
        <f t="shared" si="192"/>
        <v>28.427171507893291</v>
      </c>
      <c r="M522" s="3">
        <f t="shared" si="193"/>
        <v>18.506163021646277</v>
      </c>
      <c r="N522" s="2">
        <v>0</v>
      </c>
      <c r="O522" s="2">
        <f t="shared" si="194"/>
        <v>123.10121357875423</v>
      </c>
      <c r="P522" s="2">
        <f t="shared" si="195"/>
        <v>83.913574354979019</v>
      </c>
      <c r="Q522" s="5">
        <f t="shared" si="196"/>
        <v>1.0374935402022547</v>
      </c>
      <c r="R522" s="5">
        <f t="shared" si="197"/>
        <v>0.16385774183492818</v>
      </c>
      <c r="S522" s="4">
        <f t="shared" si="214"/>
        <v>0.15033290479956907</v>
      </c>
      <c r="T522" s="5">
        <f t="shared" si="198"/>
        <v>0.10750610409046867</v>
      </c>
      <c r="U522" s="4">
        <f t="shared" si="199"/>
        <v>0</v>
      </c>
      <c r="V522" s="4">
        <f t="shared" si="200"/>
        <v>0</v>
      </c>
      <c r="W522" s="5">
        <f t="shared" si="201"/>
        <v>0</v>
      </c>
      <c r="X522" s="5">
        <f t="shared" si="202"/>
        <v>-13.106875357370949</v>
      </c>
      <c r="Y522" s="5">
        <f t="shared" si="203"/>
        <v>5.2254272259368051</v>
      </c>
      <c r="Z522" s="5">
        <f>1</f>
        <v>1</v>
      </c>
      <c r="AA522" s="5">
        <f>IF(M522=0,0,const*($T522/omega)*O522*(wy*I522-wz*(H522-V522))/Z522)</f>
        <v>0</v>
      </c>
      <c r="AB522" s="5">
        <f>IF(M522=0,0,const*($T522/omega)*O522*(wz*(G522-U522)-wx*I522)/Z522)</f>
        <v>3.4283721780729688</v>
      </c>
      <c r="AC522" s="5">
        <f>IF(M522=0,0,const*($T522/omega)*O522*(wx*(H522-V522)-wy*(G522-U522))/Z522)</f>
        <v>8.5993441059979272</v>
      </c>
      <c r="AD522" s="5">
        <f t="shared" si="216"/>
        <v>0</v>
      </c>
      <c r="AE522" s="5">
        <f t="shared" si="216"/>
        <v>-9.6785031792979801</v>
      </c>
      <c r="AF522" s="5">
        <f t="shared" si="204"/>
        <v>-18.349228668065265</v>
      </c>
      <c r="AG522">
        <f t="shared" si="215"/>
        <v>0</v>
      </c>
    </row>
    <row r="523" spans="1:33" x14ac:dyDescent="0.2">
      <c r="A523">
        <f t="shared" si="205"/>
        <v>4.9099999999999397</v>
      </c>
      <c r="B523" s="5">
        <f t="shared" si="206"/>
        <v>0</v>
      </c>
      <c r="C523" s="5">
        <f t="shared" si="207"/>
        <v>768.25451233058311</v>
      </c>
      <c r="D523" s="5">
        <f t="shared" si="208"/>
        <v>3.937360114685089</v>
      </c>
      <c r="E523" s="2">
        <f t="shared" si="190"/>
        <v>256.0848374435277</v>
      </c>
      <c r="F523" s="2">
        <f t="shared" si="209"/>
        <v>0</v>
      </c>
      <c r="G523" s="3">
        <f t="shared" si="210"/>
        <v>0</v>
      </c>
      <c r="H523" s="3">
        <f t="shared" si="211"/>
        <v>114.25186219821725</v>
      </c>
      <c r="I523" s="3">
        <f t="shared" si="212"/>
        <v>-45.771820411637563</v>
      </c>
      <c r="J523" s="2">
        <f t="shared" si="191"/>
        <v>123.07943597350301</v>
      </c>
      <c r="K523" s="2">
        <f t="shared" si="213"/>
        <v>83.898729361624405</v>
      </c>
      <c r="L523" s="5">
        <f t="shared" si="192"/>
        <v>28.432201395417643</v>
      </c>
      <c r="M523" s="3">
        <f t="shared" si="193"/>
        <v>18.500219423319578</v>
      </c>
      <c r="N523" s="2">
        <v>0</v>
      </c>
      <c r="O523" s="2">
        <f t="shared" si="194"/>
        <v>123.07943597350301</v>
      </c>
      <c r="P523" s="2">
        <f t="shared" si="195"/>
        <v>83.898729361624405</v>
      </c>
      <c r="Q523" s="5">
        <f t="shared" si="196"/>
        <v>1.0373099991622245</v>
      </c>
      <c r="R523" s="5">
        <f t="shared" si="197"/>
        <v>0.16385321446592449</v>
      </c>
      <c r="S523" s="4">
        <f t="shared" si="214"/>
        <v>0.15031121386762264</v>
      </c>
      <c r="T523" s="5">
        <f t="shared" si="198"/>
        <v>0.10749989917202582</v>
      </c>
      <c r="U523" s="4">
        <f t="shared" si="199"/>
        <v>0</v>
      </c>
      <c r="V523" s="4">
        <f t="shared" si="200"/>
        <v>0</v>
      </c>
      <c r="W523" s="5">
        <f t="shared" si="201"/>
        <v>0</v>
      </c>
      <c r="X523" s="5">
        <f t="shared" si="202"/>
        <v>-13.093103138442936</v>
      </c>
      <c r="Y523" s="5">
        <f t="shared" si="203"/>
        <v>5.2453864116816948</v>
      </c>
      <c r="Z523" s="5">
        <f>1</f>
        <v>1</v>
      </c>
      <c r="AA523" s="5">
        <f>IF(M523=0,0,const*($T523/omega)*O523*(wy*I523-wz*(H523-V523))/Z523)</f>
        <v>0</v>
      </c>
      <c r="AB523" s="5">
        <f>IF(M523=0,0,const*($T523/omega)*O523*(wz*(G523-U523)-wx*I523)/Z523)</f>
        <v>3.4413637365128573</v>
      </c>
      <c r="AC523" s="5">
        <f>IF(M523=0,0,const*($T523/omega)*O523*(wx*(H523-V523)-wy*(G523-U523))/Z523)</f>
        <v>8.5900497699681129</v>
      </c>
      <c r="AD523" s="5">
        <f t="shared" si="216"/>
        <v>0</v>
      </c>
      <c r="AE523" s="5">
        <f t="shared" si="216"/>
        <v>-9.6517394019300795</v>
      </c>
      <c r="AF523" s="5">
        <f t="shared" si="204"/>
        <v>-18.338563818350192</v>
      </c>
      <c r="AG523">
        <f t="shared" si="215"/>
        <v>0</v>
      </c>
    </row>
    <row r="524" spans="1:33" x14ac:dyDescent="0.2">
      <c r="A524">
        <f t="shared" si="205"/>
        <v>4.9199999999999395</v>
      </c>
      <c r="B524" s="5">
        <f t="shared" si="206"/>
        <v>0</v>
      </c>
      <c r="C524" s="5">
        <f t="shared" si="207"/>
        <v>769.39654836559521</v>
      </c>
      <c r="D524" s="5">
        <f t="shared" si="208"/>
        <v>3.4787249823777957</v>
      </c>
      <c r="E524" s="2">
        <f t="shared" si="190"/>
        <v>256.46551612186505</v>
      </c>
      <c r="F524" s="2">
        <f t="shared" si="209"/>
        <v>0</v>
      </c>
      <c r="G524" s="3">
        <f t="shared" si="210"/>
        <v>0</v>
      </c>
      <c r="H524" s="3">
        <f t="shared" si="211"/>
        <v>114.15534480419795</v>
      </c>
      <c r="I524" s="3">
        <f t="shared" si="212"/>
        <v>-45.955206049821065</v>
      </c>
      <c r="J524" s="2">
        <f t="shared" si="191"/>
        <v>123.05821268995757</v>
      </c>
      <c r="K524" s="2">
        <f t="shared" si="213"/>
        <v>83.884262229009934</v>
      </c>
      <c r="L524" s="5">
        <f t="shared" si="192"/>
        <v>28.437104966328075</v>
      </c>
      <c r="M524" s="3">
        <f t="shared" si="193"/>
        <v>18.494265622303377</v>
      </c>
      <c r="N524" s="2">
        <v>0</v>
      </c>
      <c r="O524" s="2">
        <f t="shared" si="194"/>
        <v>123.05821268995757</v>
      </c>
      <c r="P524" s="2">
        <f t="shared" si="195"/>
        <v>83.884262229009934</v>
      </c>
      <c r="Q524" s="5">
        <f t="shared" si="196"/>
        <v>1.0371311299298251</v>
      </c>
      <c r="R524" s="5">
        <f t="shared" si="197"/>
        <v>0.16384852688770679</v>
      </c>
      <c r="S524" s="4">
        <f t="shared" si="214"/>
        <v>0.15028875536246628</v>
      </c>
      <c r="T524" s="5">
        <f t="shared" si="198"/>
        <v>0.10749347411509388</v>
      </c>
      <c r="U524" s="4">
        <f t="shared" si="199"/>
        <v>0</v>
      </c>
      <c r="V524" s="4">
        <f t="shared" si="200"/>
        <v>0</v>
      </c>
      <c r="W524" s="5">
        <f t="shared" si="201"/>
        <v>0</v>
      </c>
      <c r="X524" s="5">
        <f t="shared" si="202"/>
        <v>-13.079412378133203</v>
      </c>
      <c r="Y524" s="5">
        <f t="shared" si="203"/>
        <v>5.2653433956916906</v>
      </c>
      <c r="Z524" s="5">
        <f>1</f>
        <v>1</v>
      </c>
      <c r="AA524" s="5">
        <f>IF(M524=0,0,const*($T524/omega)*O524*(wy*I524-wz*(H524-V524))/Z524)</f>
        <v>0</v>
      </c>
      <c r="AB524" s="5">
        <f>IF(M524=0,0,const*($T524/omega)*O524*(wz*(G524-U524)-wx*I524)/Z524)</f>
        <v>3.454349360124338</v>
      </c>
      <c r="AC524" s="5">
        <f>IF(M524=0,0,const*($T524/omega)*O524*(wx*(H524-V524)-wy*(G524-U524))/Z524)</f>
        <v>8.5808002221043189</v>
      </c>
      <c r="AD524" s="5">
        <f t="shared" si="216"/>
        <v>0</v>
      </c>
      <c r="AE524" s="5">
        <f t="shared" si="216"/>
        <v>-9.6250630180088645</v>
      </c>
      <c r="AF524" s="5">
        <f t="shared" si="204"/>
        <v>-18.32785638220399</v>
      </c>
      <c r="AG524">
        <f t="shared" si="215"/>
        <v>0</v>
      </c>
    </row>
    <row r="525" spans="1:33" x14ac:dyDescent="0.2">
      <c r="A525">
        <f t="shared" si="205"/>
        <v>4.9299999999999393</v>
      </c>
      <c r="B525" s="5">
        <f t="shared" si="206"/>
        <v>0</v>
      </c>
      <c r="C525" s="5">
        <f t="shared" si="207"/>
        <v>770.53762056048629</v>
      </c>
      <c r="D525" s="5">
        <f t="shared" si="208"/>
        <v>3.0182565290604746</v>
      </c>
      <c r="E525" s="2">
        <f t="shared" si="190"/>
        <v>256.84587352016212</v>
      </c>
      <c r="F525" s="2">
        <f t="shared" si="209"/>
        <v>0</v>
      </c>
      <c r="G525" s="3">
        <f t="shared" si="210"/>
        <v>0</v>
      </c>
      <c r="H525" s="3">
        <f t="shared" si="211"/>
        <v>114.05909417401786</v>
      </c>
      <c r="I525" s="3">
        <f t="shared" si="212"/>
        <v>-46.138484613643108</v>
      </c>
      <c r="J525" s="2">
        <f t="shared" si="191"/>
        <v>123.0375419383891</v>
      </c>
      <c r="K525" s="2">
        <f t="shared" si="213"/>
        <v>83.87017173714321</v>
      </c>
      <c r="L525" s="5">
        <f t="shared" si="192"/>
        <v>28.441882502702946</v>
      </c>
      <c r="M525" s="3">
        <f t="shared" si="193"/>
        <v>18.488301588435416</v>
      </c>
      <c r="N525" s="2">
        <v>0</v>
      </c>
      <c r="O525" s="2">
        <f t="shared" si="194"/>
        <v>123.0375419383891</v>
      </c>
      <c r="P525" s="2">
        <f t="shared" si="195"/>
        <v>83.87017173714321</v>
      </c>
      <c r="Q525" s="5">
        <f t="shared" si="196"/>
        <v>1.0369569174212725</v>
      </c>
      <c r="R525" s="5">
        <f t="shared" si="197"/>
        <v>0.16384367948578138</v>
      </c>
      <c r="S525" s="4">
        <f t="shared" si="214"/>
        <v>0.1502655311310869</v>
      </c>
      <c r="T525" s="5">
        <f t="shared" si="198"/>
        <v>0.10748682938894183</v>
      </c>
      <c r="U525" s="4">
        <f t="shared" si="199"/>
        <v>0</v>
      </c>
      <c r="V525" s="4">
        <f t="shared" si="200"/>
        <v>0</v>
      </c>
      <c r="W525" s="5">
        <f t="shared" si="201"/>
        <v>0</v>
      </c>
      <c r="X525" s="5">
        <f t="shared" si="202"/>
        <v>-13.065802682748375</v>
      </c>
      <c r="Y525" s="5">
        <f t="shared" si="203"/>
        <v>5.285298295663706</v>
      </c>
      <c r="Z525" s="5">
        <f>1</f>
        <v>1</v>
      </c>
      <c r="AA525" s="5">
        <f>IF(M525=0,0,const*($T525/omega)*O525*(wy*I525-wz*(H525-V525))/Z525)</f>
        <v>0</v>
      </c>
      <c r="AB525" s="5">
        <f>IF(M525=0,0,const*($T525/omega)*O525*(wz*(G525-U525)-wx*I525)/Z525)</f>
        <v>3.4673290905003786</v>
      </c>
      <c r="AC525" s="5">
        <f>IF(M525=0,0,const*($T525/omega)*O525*(wx*(H525-V525)-wy*(G525-U525))/Z525)</f>
        <v>8.5715952436970841</v>
      </c>
      <c r="AD525" s="5">
        <f t="shared" si="216"/>
        <v>0</v>
      </c>
      <c r="AE525" s="5">
        <f t="shared" si="216"/>
        <v>-9.5984735922479967</v>
      </c>
      <c r="AF525" s="5">
        <f t="shared" si="204"/>
        <v>-18.317106460639209</v>
      </c>
      <c r="AG525">
        <f t="shared" si="215"/>
        <v>0</v>
      </c>
    </row>
    <row r="526" spans="1:33" x14ac:dyDescent="0.2">
      <c r="A526">
        <f t="shared" si="205"/>
        <v>4.9399999999999391</v>
      </c>
      <c r="B526" s="5">
        <f t="shared" si="206"/>
        <v>0</v>
      </c>
      <c r="C526" s="5">
        <f t="shared" si="207"/>
        <v>771.67773157854685</v>
      </c>
      <c r="D526" s="5">
        <f t="shared" si="208"/>
        <v>2.5559558276010117</v>
      </c>
      <c r="E526" s="2">
        <f t="shared" si="190"/>
        <v>257.2259105261823</v>
      </c>
      <c r="F526" s="2">
        <f t="shared" si="209"/>
        <v>0</v>
      </c>
      <c r="G526" s="3">
        <f t="shared" si="210"/>
        <v>0</v>
      </c>
      <c r="H526" s="3">
        <f t="shared" si="211"/>
        <v>113.96310943809537</v>
      </c>
      <c r="I526" s="3">
        <f t="shared" si="212"/>
        <v>-46.321655678249499</v>
      </c>
      <c r="J526" s="2">
        <f t="shared" si="191"/>
        <v>123.01742192703279</v>
      </c>
      <c r="K526" s="2">
        <f t="shared" si="213"/>
        <v>83.856456664644014</v>
      </c>
      <c r="L526" s="5">
        <f t="shared" si="192"/>
        <v>28.446534290961758</v>
      </c>
      <c r="M526" s="3">
        <f t="shared" si="193"/>
        <v>18.4823272920544</v>
      </c>
      <c r="N526" s="2">
        <v>0</v>
      </c>
      <c r="O526" s="2">
        <f t="shared" si="194"/>
        <v>123.01742192703279</v>
      </c>
      <c r="P526" s="2">
        <f t="shared" si="195"/>
        <v>83.856456664644014</v>
      </c>
      <c r="Q526" s="5">
        <f t="shared" si="196"/>
        <v>1.0367873465356241</v>
      </c>
      <c r="R526" s="5">
        <f t="shared" si="197"/>
        <v>0.16383867265131574</v>
      </c>
      <c r="S526" s="4">
        <f t="shared" si="214"/>
        <v>0.15024154304759457</v>
      </c>
      <c r="T526" s="5">
        <f t="shared" si="198"/>
        <v>0.10747996546875438</v>
      </c>
      <c r="U526" s="4">
        <f t="shared" si="199"/>
        <v>0</v>
      </c>
      <c r="V526" s="4">
        <f t="shared" si="200"/>
        <v>0</v>
      </c>
      <c r="W526" s="5">
        <f t="shared" si="201"/>
        <v>0</v>
      </c>
      <c r="X526" s="5">
        <f t="shared" si="202"/>
        <v>-13.052273660246085</v>
      </c>
      <c r="Y526" s="5">
        <f t="shared" si="203"/>
        <v>5.3052512281320645</v>
      </c>
      <c r="Z526" s="5">
        <f>1</f>
        <v>1</v>
      </c>
      <c r="AA526" s="5">
        <f>IF(M526=0,0,const*($T526/omega)*O526*(wy*I526-wz*(H526-V526))/Z526)</f>
        <v>0</v>
      </c>
      <c r="AB526" s="5">
        <f>IF(M526=0,0,const*($T526/omega)*O526*(wz*(G526-U526)-wx*I526)/Z526)</f>
        <v>3.4803029686173539</v>
      </c>
      <c r="AC526" s="5">
        <f>IF(M526=0,0,const*($T526/omega)*O526*(wx*(H526-V526)-wy*(G526-U526))/Z526)</f>
        <v>8.5624346168719736</v>
      </c>
      <c r="AD526" s="5">
        <f t="shared" si="216"/>
        <v>0</v>
      </c>
      <c r="AE526" s="5">
        <f t="shared" si="216"/>
        <v>-9.5719706916287315</v>
      </c>
      <c r="AF526" s="5">
        <f t="shared" si="204"/>
        <v>-18.30631415499596</v>
      </c>
      <c r="AG526">
        <f t="shared" si="215"/>
        <v>0</v>
      </c>
    </row>
    <row r="527" spans="1:33" x14ac:dyDescent="0.2">
      <c r="A527">
        <f t="shared" si="205"/>
        <v>4.9499999999999389</v>
      </c>
      <c r="B527" s="5">
        <f t="shared" si="206"/>
        <v>0</v>
      </c>
      <c r="C527" s="5">
        <f t="shared" si="207"/>
        <v>772.81688407439333</v>
      </c>
      <c r="D527" s="5">
        <f t="shared" si="208"/>
        <v>2.0918239551107671</v>
      </c>
      <c r="E527" s="2">
        <f t="shared" si="190"/>
        <v>257.6056280247978</v>
      </c>
      <c r="F527" s="2">
        <f t="shared" si="209"/>
        <v>0</v>
      </c>
      <c r="G527" s="3">
        <f t="shared" si="210"/>
        <v>0</v>
      </c>
      <c r="H527" s="3">
        <f t="shared" si="211"/>
        <v>113.86738973117909</v>
      </c>
      <c r="I527" s="3">
        <f t="shared" si="212"/>
        <v>-46.504718819799457</v>
      </c>
      <c r="J527" s="2">
        <f t="shared" si="191"/>
        <v>122.99785086212214</v>
      </c>
      <c r="K527" s="2">
        <f t="shared" si="213"/>
        <v>83.843115788767633</v>
      </c>
      <c r="L527" s="5">
        <f t="shared" si="192"/>
        <v>28.451060621830056</v>
      </c>
      <c r="M527" s="3">
        <f t="shared" si="193"/>
        <v>18.476342703999162</v>
      </c>
      <c r="N527" s="2">
        <v>0</v>
      </c>
      <c r="O527" s="2">
        <f t="shared" si="194"/>
        <v>122.99785086212214</v>
      </c>
      <c r="P527" s="2">
        <f t="shared" si="195"/>
        <v>83.843115788767633</v>
      </c>
      <c r="Q527" s="5">
        <f t="shared" si="196"/>
        <v>1.0366224021550658</v>
      </c>
      <c r="R527" s="5">
        <f t="shared" si="197"/>
        <v>0.16383350678109204</v>
      </c>
      <c r="S527" s="4">
        <f t="shared" si="214"/>
        <v>0.15021679301299934</v>
      </c>
      <c r="T527" s="5">
        <f t="shared" si="198"/>
        <v>0.10747288283558569</v>
      </c>
      <c r="U527" s="4">
        <f t="shared" si="199"/>
        <v>0</v>
      </c>
      <c r="V527" s="4">
        <f t="shared" si="200"/>
        <v>0</v>
      </c>
      <c r="W527" s="5">
        <f t="shared" si="201"/>
        <v>0</v>
      </c>
      <c r="X527" s="5">
        <f t="shared" si="202"/>
        <v>-13.038824920227952</v>
      </c>
      <c r="Y527" s="5">
        <f t="shared" si="203"/>
        <v>5.3252023084688309</v>
      </c>
      <c r="Z527" s="5">
        <f>1</f>
        <v>1</v>
      </c>
      <c r="AA527" s="5">
        <f>IF(M527=0,0,const*($T527/omega)*O527*(wy*I527-wz*(H527-V527))/Z527)</f>
        <v>0</v>
      </c>
      <c r="AB527" s="5">
        <f>IF(M527=0,0,const*($T527/omega)*O527*(wz*(G527-U527)-wx*I527)/Z527)</f>
        <v>3.4932710348351752</v>
      </c>
      <c r="AC527" s="5">
        <f>IF(M527=0,0,const*($T527/omega)*O527*(wx*(H527-V527)-wy*(G527-U527))/Z527)</f>
        <v>8.5533181245870722</v>
      </c>
      <c r="AD527" s="5">
        <f t="shared" si="216"/>
        <v>0</v>
      </c>
      <c r="AE527" s="5">
        <f t="shared" si="216"/>
        <v>-9.5455538853927777</v>
      </c>
      <c r="AF527" s="5">
        <f t="shared" si="204"/>
        <v>-18.295479566944095</v>
      </c>
      <c r="AG527">
        <f t="shared" si="215"/>
        <v>0</v>
      </c>
    </row>
    <row r="528" spans="1:33" x14ac:dyDescent="0.2">
      <c r="A528">
        <f t="shared" si="205"/>
        <v>4.9599999999999387</v>
      </c>
      <c r="B528" s="5">
        <f t="shared" si="206"/>
        <v>0</v>
      </c>
      <c r="C528" s="5">
        <f t="shared" si="207"/>
        <v>773.95508069401092</v>
      </c>
      <c r="D528" s="5">
        <f t="shared" si="208"/>
        <v>1.6258619929344253</v>
      </c>
      <c r="E528" s="2">
        <f t="shared" si="190"/>
        <v>257.98502689800364</v>
      </c>
      <c r="F528" s="2">
        <f t="shared" si="209"/>
        <v>0</v>
      </c>
      <c r="G528" s="3">
        <f t="shared" si="210"/>
        <v>0</v>
      </c>
      <c r="H528" s="3">
        <f t="shared" si="211"/>
        <v>113.77193419232516</v>
      </c>
      <c r="I528" s="3">
        <f t="shared" si="212"/>
        <v>-46.687673615468896</v>
      </c>
      <c r="J528" s="2">
        <f t="shared" si="191"/>
        <v>122.97882694792351</v>
      </c>
      <c r="K528" s="2">
        <f t="shared" si="213"/>
        <v>83.830147885428431</v>
      </c>
      <c r="L528" s="5">
        <f t="shared" si="192"/>
        <v>28.455461790304028</v>
      </c>
      <c r="M528" s="3">
        <f t="shared" si="193"/>
        <v>18.470347795607765</v>
      </c>
      <c r="N528" s="2">
        <v>0</v>
      </c>
      <c r="O528" s="2">
        <f t="shared" si="194"/>
        <v>122.97882694792351</v>
      </c>
      <c r="P528" s="2">
        <f t="shared" si="195"/>
        <v>83.830147885428431</v>
      </c>
      <c r="Q528" s="5">
        <f t="shared" si="196"/>
        <v>1.0364620691452067</v>
      </c>
      <c r="R528" s="5">
        <f t="shared" si="197"/>
        <v>0.16382818227745982</v>
      </c>
      <c r="S528" s="4">
        <f t="shared" si="214"/>
        <v>0.15019128295498541</v>
      </c>
      <c r="T528" s="5">
        <f t="shared" si="198"/>
        <v>0.1074655819763126</v>
      </c>
      <c r="U528" s="4">
        <f t="shared" si="199"/>
        <v>0</v>
      </c>
      <c r="V528" s="4">
        <f t="shared" si="200"/>
        <v>0</v>
      </c>
      <c r="W528" s="5">
        <f t="shared" si="201"/>
        <v>0</v>
      </c>
      <c r="X528" s="5">
        <f t="shared" si="202"/>
        <v>-13.025456073932641</v>
      </c>
      <c r="Y528" s="5">
        <f t="shared" si="203"/>
        <v>5.3451516508841879</v>
      </c>
      <c r="Z528" s="5">
        <f>1</f>
        <v>1</v>
      </c>
      <c r="AA528" s="5">
        <f>IF(M528=0,0,const*($T528/omega)*O528*(wy*I528-wz*(H528-V528))/Z528)</f>
        <v>0</v>
      </c>
      <c r="AB528" s="5">
        <f>IF(M528=0,0,const*($T528/omega)*O528*(wz*(G528-U528)-wx*I528)/Z528)</f>
        <v>3.5062333288974576</v>
      </c>
      <c r="AC528" s="5">
        <f>IF(M528=0,0,const*($T528/omega)*O528*(wx*(H528-V528)-wy*(G528-U528))/Z528)</f>
        <v>8.5442455506304906</v>
      </c>
      <c r="AD528" s="5">
        <f t="shared" si="216"/>
        <v>0</v>
      </c>
      <c r="AE528" s="5">
        <f t="shared" si="216"/>
        <v>-9.519222745035183</v>
      </c>
      <c r="AF528" s="5">
        <f t="shared" si="204"/>
        <v>-18.28460279848532</v>
      </c>
      <c r="AG528">
        <f t="shared" si="215"/>
        <v>0</v>
      </c>
    </row>
    <row r="529" spans="1:33" x14ac:dyDescent="0.2">
      <c r="A529">
        <f t="shared" si="205"/>
        <v>4.9699999999999385</v>
      </c>
      <c r="B529" s="5">
        <f t="shared" si="206"/>
        <v>0</v>
      </c>
      <c r="C529" s="5">
        <f t="shared" si="207"/>
        <v>775.09232407479692</v>
      </c>
      <c r="D529" s="5">
        <f t="shared" si="208"/>
        <v>1.1580710266398122</v>
      </c>
      <c r="E529" s="2">
        <f t="shared" si="190"/>
        <v>258.36410802493231</v>
      </c>
      <c r="F529" s="2">
        <f t="shared" si="209"/>
        <v>0</v>
      </c>
      <c r="G529" s="3">
        <f t="shared" si="210"/>
        <v>0</v>
      </c>
      <c r="H529" s="3">
        <f t="shared" si="211"/>
        <v>113.67674196487481</v>
      </c>
      <c r="I529" s="3">
        <f t="shared" si="212"/>
        <v>-46.870519643453747</v>
      </c>
      <c r="J529" s="2">
        <f t="shared" si="191"/>
        <v>122.96034838677106</v>
      </c>
      <c r="K529" s="2">
        <f t="shared" si="213"/>
        <v>83.817551729223624</v>
      </c>
      <c r="L529" s="5">
        <f t="shared" si="192"/>
        <v>28.459738095614739</v>
      </c>
      <c r="M529" s="3">
        <f t="shared" si="193"/>
        <v>18.464342538716604</v>
      </c>
      <c r="N529" s="2">
        <v>0</v>
      </c>
      <c r="O529" s="2">
        <f t="shared" si="194"/>
        <v>122.96034838677106</v>
      </c>
      <c r="P529" s="2">
        <f t="shared" si="195"/>
        <v>83.817551729223624</v>
      </c>
      <c r="Q529" s="5">
        <f t="shared" si="196"/>
        <v>1.0363063323553687</v>
      </c>
      <c r="R529" s="5">
        <f t="shared" si="197"/>
        <v>0.16382269954828871</v>
      </c>
      <c r="S529" s="4">
        <f t="shared" si="214"/>
        <v>0.15016501482768349</v>
      </c>
      <c r="T529" s="5">
        <f t="shared" si="198"/>
        <v>0.10745806338358753</v>
      </c>
      <c r="U529" s="4">
        <f t="shared" si="199"/>
        <v>0</v>
      </c>
      <c r="V529" s="4">
        <f t="shared" si="200"/>
        <v>0</v>
      </c>
      <c r="W529" s="5">
        <f t="shared" si="201"/>
        <v>0</v>
      </c>
      <c r="X529" s="5">
        <f t="shared" si="202"/>
        <v>-13.012166734229003</v>
      </c>
      <c r="Y529" s="5">
        <f t="shared" si="203"/>
        <v>5.3650993684268862</v>
      </c>
      <c r="Z529" s="5">
        <f>1</f>
        <v>1</v>
      </c>
      <c r="AA529" s="5">
        <f>IF(M529=0,0,const*($T529/omega)*O529*(wy*I529-wz*(H529-V529))/Z529)</f>
        <v>0</v>
      </c>
      <c r="AB529" s="5">
        <f>IF(M529=0,0,const*($T529/omega)*O529*(wz*(G529-U529)-wx*I529)/Z529)</f>
        <v>3.5191898899317344</v>
      </c>
      <c r="AC529" s="5">
        <f>IF(M529=0,0,const*($T529/omega)*O529*(wx*(H529-V529)-wy*(G529-U529))/Z529)</f>
        <v>8.5352166796179247</v>
      </c>
      <c r="AD529" s="5">
        <f t="shared" si="216"/>
        <v>0</v>
      </c>
      <c r="AE529" s="5">
        <f t="shared" si="216"/>
        <v>-9.4929768442972691</v>
      </c>
      <c r="AF529" s="5">
        <f t="shared" si="204"/>
        <v>-18.273683951955189</v>
      </c>
      <c r="AG529">
        <f t="shared" si="215"/>
        <v>0</v>
      </c>
    </row>
    <row r="530" spans="1:33" x14ac:dyDescent="0.2">
      <c r="A530">
        <f t="shared" si="205"/>
        <v>4.9799999999999383</v>
      </c>
      <c r="B530" s="5">
        <f t="shared" si="206"/>
        <v>0</v>
      </c>
      <c r="C530" s="5">
        <f t="shared" si="207"/>
        <v>776.22861684560348</v>
      </c>
      <c r="D530" s="5">
        <f t="shared" si="208"/>
        <v>0.68845214600767701</v>
      </c>
      <c r="E530" s="2">
        <f t="shared" si="190"/>
        <v>258.74287228186785</v>
      </c>
      <c r="F530" s="2">
        <f t="shared" si="209"/>
        <v>0</v>
      </c>
      <c r="G530" s="3">
        <f t="shared" si="210"/>
        <v>0</v>
      </c>
      <c r="H530" s="3">
        <f t="shared" si="211"/>
        <v>113.58181219643184</v>
      </c>
      <c r="I530" s="3">
        <f t="shared" si="212"/>
        <v>-47.053256482973296</v>
      </c>
      <c r="J530" s="2">
        <f t="shared" si="191"/>
        <v>122.94241337910194</v>
      </c>
      <c r="K530" s="2">
        <f t="shared" si="213"/>
        <v>83.805326093457353</v>
      </c>
      <c r="L530" s="5">
        <f t="shared" si="192"/>
        <v>28.463889841192014</v>
      </c>
      <c r="M530" s="3">
        <f t="shared" si="193"/>
        <v>18.458326905659462</v>
      </c>
      <c r="N530" s="2">
        <v>0</v>
      </c>
      <c r="O530" s="2">
        <f t="shared" si="194"/>
        <v>122.94241337910194</v>
      </c>
      <c r="P530" s="2">
        <f t="shared" si="195"/>
        <v>83.805326093457353</v>
      </c>
      <c r="Q530" s="5">
        <f t="shared" si="196"/>
        <v>1.0361551766188879</v>
      </c>
      <c r="R530" s="5">
        <f t="shared" si="197"/>
        <v>0.16381705900692015</v>
      </c>
      <c r="S530" s="4">
        <f t="shared" si="214"/>
        <v>0.15013799061144065</v>
      </c>
      <c r="T530" s="5">
        <f t="shared" si="198"/>
        <v>0.10745032755579079</v>
      </c>
      <c r="U530" s="4">
        <f t="shared" si="199"/>
        <v>0</v>
      </c>
      <c r="V530" s="4">
        <f t="shared" si="200"/>
        <v>0</v>
      </c>
      <c r="W530" s="5">
        <f t="shared" si="201"/>
        <v>0</v>
      </c>
      <c r="X530" s="5">
        <f t="shared" si="202"/>
        <v>-12.998956515609247</v>
      </c>
      <c r="Y530" s="5">
        <f t="shared" si="203"/>
        <v>5.3850455729847342</v>
      </c>
      <c r="Z530" s="5">
        <f>1</f>
        <v>1</v>
      </c>
      <c r="AA530" s="5">
        <f>IF(M530=0,0,const*($T530/omega)*O530*(wy*I530-wz*(H530-V530))/Z530)</f>
        <v>0</v>
      </c>
      <c r="AB530" s="5">
        <f>IF(M530=0,0,const*($T530/omega)*O530*(wz*(G530-U530)-wx*I530)/Z530)</f>
        <v>3.5321407564497167</v>
      </c>
      <c r="AC530" s="5">
        <f>IF(M530=0,0,const*($T530/omega)*O530*(wx*(H530-V530)-wy*(G530-U530))/Z530)</f>
        <v>8.5262312969902094</v>
      </c>
      <c r="AD530" s="5">
        <f t="shared" si="216"/>
        <v>0</v>
      </c>
      <c r="AE530" s="5">
        <f t="shared" si="216"/>
        <v>-9.4668157591595303</v>
      </c>
      <c r="AF530" s="5">
        <f t="shared" si="204"/>
        <v>-18.262723130025055</v>
      </c>
      <c r="AG530">
        <f t="shared" si="215"/>
        <v>0</v>
      </c>
    </row>
    <row r="531" spans="1:33" x14ac:dyDescent="0.2">
      <c r="A531">
        <f t="shared" si="205"/>
        <v>4.989999999999938</v>
      </c>
      <c r="B531" s="5">
        <f t="shared" si="206"/>
        <v>0</v>
      </c>
      <c r="C531" s="5">
        <f t="shared" si="207"/>
        <v>777.36396162677988</v>
      </c>
      <c r="D531" s="5">
        <f t="shared" si="208"/>
        <v>0.21700644502144276</v>
      </c>
      <c r="E531" s="2">
        <f t="shared" si="190"/>
        <v>259.12132054225998</v>
      </c>
      <c r="F531" s="2">
        <f t="shared" si="209"/>
        <v>0</v>
      </c>
      <c r="G531" s="3">
        <f t="shared" si="210"/>
        <v>0</v>
      </c>
      <c r="H531" s="3">
        <f t="shared" si="211"/>
        <v>113.48714403884024</v>
      </c>
      <c r="I531" s="3">
        <f t="shared" si="212"/>
        <v>-47.235883714273548</v>
      </c>
      <c r="J531" s="2">
        <f t="shared" si="191"/>
        <v>122.92502012349172</v>
      </c>
      <c r="K531" s="2">
        <f t="shared" si="213"/>
        <v>83.793469750164761</v>
      </c>
      <c r="L531" s="5">
        <f t="shared" si="192"/>
        <v>28.467917334628027</v>
      </c>
      <c r="M531" s="3">
        <f t="shared" si="193"/>
        <v>18.45230086926658</v>
      </c>
      <c r="N531" s="2">
        <v>0</v>
      </c>
      <c r="O531" s="2">
        <f t="shared" si="194"/>
        <v>122.92502012349172</v>
      </c>
      <c r="P531" s="2">
        <f t="shared" si="195"/>
        <v>83.793469750164761</v>
      </c>
      <c r="Q531" s="5">
        <f t="shared" si="196"/>
        <v>1.0360085867534097</v>
      </c>
      <c r="R531" s="5">
        <f t="shared" si="197"/>
        <v>0.16381126107211919</v>
      </c>
      <c r="S531" s="4">
        <f t="shared" si="214"/>
        <v>0.1501102123125887</v>
      </c>
      <c r="T531" s="5">
        <f t="shared" si="198"/>
        <v>0.10744237499698271</v>
      </c>
      <c r="U531" s="4">
        <f t="shared" si="199"/>
        <v>0</v>
      </c>
      <c r="V531" s="4">
        <f t="shared" si="200"/>
        <v>0</v>
      </c>
      <c r="W531" s="5">
        <f t="shared" si="201"/>
        <v>0</v>
      </c>
      <c r="X531" s="5">
        <f t="shared" si="202"/>
        <v>-12.985825034182206</v>
      </c>
      <c r="Y531" s="5">
        <f t="shared" si="203"/>
        <v>5.404990375285168</v>
      </c>
      <c r="Z531" s="5">
        <f>1</f>
        <v>1</v>
      </c>
      <c r="AA531" s="5">
        <f>IF(M531=0,0,const*($T531/omega)*O531*(wy*I531-wz*(H531-V531))/Z531)</f>
        <v>0</v>
      </c>
      <c r="AB531" s="5">
        <f>IF(M531=0,0,const*($T531/omega)*O531*(wz*(G531-U531)-wx*I531)/Z531)</f>
        <v>3.545085966347592</v>
      </c>
      <c r="AC531" s="5">
        <f>IF(M531=0,0,const*($T531/omega)*O531*(wx*(H531-V531)-wy*(G531-U531))/Z531)</f>
        <v>8.5172891890109472</v>
      </c>
      <c r="AD531" s="5">
        <f t="shared" si="216"/>
        <v>0</v>
      </c>
      <c r="AE531" s="5">
        <f t="shared" si="216"/>
        <v>-9.4407390678346133</v>
      </c>
      <c r="AF531" s="5">
        <f t="shared" si="204"/>
        <v>-18.251720435703884</v>
      </c>
      <c r="AG531">
        <f t="shared" si="215"/>
        <v>1</v>
      </c>
    </row>
    <row r="532" spans="1:33" x14ac:dyDescent="0.2">
      <c r="A532">
        <f t="shared" si="205"/>
        <v>4.9999999999999378</v>
      </c>
      <c r="B532" s="5">
        <f t="shared" si="206"/>
        <v>0</v>
      </c>
      <c r="C532" s="5">
        <f t="shared" si="207"/>
        <v>778.49836103021494</v>
      </c>
      <c r="D532" s="5">
        <f t="shared" si="208"/>
        <v>-0.25626497814307786</v>
      </c>
      <c r="E532" s="2">
        <f t="shared" si="190"/>
        <v>259.49945367673831</v>
      </c>
      <c r="F532" s="2">
        <f t="shared" si="209"/>
        <v>0</v>
      </c>
      <c r="G532" s="3">
        <f t="shared" si="210"/>
        <v>0</v>
      </c>
      <c r="H532" s="3">
        <f t="shared" si="211"/>
        <v>113.3927366481619</v>
      </c>
      <c r="I532" s="3">
        <f t="shared" si="212"/>
        <v>-47.418400918630589</v>
      </c>
      <c r="J532" s="2">
        <f t="shared" si="191"/>
        <v>122.90816681669035</v>
      </c>
      <c r="K532" s="2">
        <f t="shared" si="213"/>
        <v>83.781981470136571</v>
      </c>
      <c r="L532" s="5">
        <f t="shared" si="192"/>
        <v>28.471820887640511</v>
      </c>
      <c r="M532" s="3">
        <f t="shared" si="193"/>
        <v>18.446264402863683</v>
      </c>
      <c r="N532" s="2">
        <v>0</v>
      </c>
      <c r="O532" s="2">
        <f t="shared" si="194"/>
        <v>122.90816681669035</v>
      </c>
      <c r="P532" s="2">
        <f t="shared" si="195"/>
        <v>83.781981470136571</v>
      </c>
      <c r="Q532" s="5">
        <f t="shared" si="196"/>
        <v>1.0358665475611943</v>
      </c>
      <c r="R532" s="5">
        <f t="shared" si="197"/>
        <v>0.16380530616802561</v>
      </c>
      <c r="S532" s="4">
        <f t="shared" si="214"/>
        <v>0.15008168196321001</v>
      </c>
      <c r="T532" s="5">
        <f t="shared" si="198"/>
        <v>0.10743420621685543</v>
      </c>
      <c r="U532" s="4">
        <f t="shared" si="199"/>
        <v>0</v>
      </c>
      <c r="V532" s="4">
        <f t="shared" si="200"/>
        <v>0</v>
      </c>
      <c r="W532" s="5">
        <f t="shared" si="201"/>
        <v>0</v>
      </c>
      <c r="X532" s="5">
        <f t="shared" si="202"/>
        <v>-12.972771907666671</v>
      </c>
      <c r="Y532" s="5">
        <f t="shared" si="203"/>
        <v>5.4249338848958626</v>
      </c>
      <c r="Z532" s="5">
        <f>1</f>
        <v>1</v>
      </c>
      <c r="AA532" s="5">
        <f>IF(M532=0,0,const*($T532/omega)*O532*(wy*I532-wz*(H532-V532))/Z532)</f>
        <v>0</v>
      </c>
      <c r="AB532" s="5">
        <f>IF(M532=0,0,const*($T532/omega)*O532*(wz*(G532-U532)-wx*I532)/Z532)</f>
        <v>3.5580255569063755</v>
      </c>
      <c r="AC532" s="5">
        <f>IF(M532=0,0,const*($T532/omega)*O532*(wx*(H532-V532)-wy*(G532-U532))/Z532)</f>
        <v>8.5083901427641351</v>
      </c>
      <c r="AD532" s="5">
        <f t="shared" si="216"/>
        <v>0</v>
      </c>
      <c r="AE532" s="5">
        <f t="shared" si="216"/>
        <v>-9.4147463507602946</v>
      </c>
      <c r="AF532" s="5">
        <f t="shared" si="204"/>
        <v>-18.24067597234</v>
      </c>
      <c r="AG532">
        <f t="shared" si="215"/>
        <v>0</v>
      </c>
    </row>
    <row r="533" spans="1:33" x14ac:dyDescent="0.2">
      <c r="A533">
        <f t="shared" si="205"/>
        <v>5.0099999999999376</v>
      </c>
      <c r="B533" s="5">
        <f t="shared" si="206"/>
        <v>0</v>
      </c>
      <c r="C533" s="5">
        <f t="shared" si="207"/>
        <v>779.63181765937907</v>
      </c>
      <c r="D533" s="5">
        <f t="shared" si="208"/>
        <v>-0.73136102112800083</v>
      </c>
      <c r="E533" s="2">
        <f t="shared" si="190"/>
        <v>259.87727255312637</v>
      </c>
      <c r="F533" s="2">
        <f t="shared" si="209"/>
        <v>0</v>
      </c>
      <c r="G533" s="3">
        <f t="shared" si="210"/>
        <v>0</v>
      </c>
      <c r="H533" s="3">
        <f t="shared" si="211"/>
        <v>113.2985891846543</v>
      </c>
      <c r="I533" s="3">
        <f t="shared" si="212"/>
        <v>-47.600807678353988</v>
      </c>
      <c r="J533" s="2">
        <f t="shared" si="191"/>
        <v>122.89185165365811</v>
      </c>
      <c r="K533" s="2">
        <f t="shared" si="213"/>
        <v>83.770860022943495</v>
      </c>
      <c r="L533" s="5">
        <f t="shared" si="192"/>
        <v>28.475600816035733</v>
      </c>
      <c r="M533" s="3">
        <f t="shared" si="193"/>
        <v>18.440217480270974</v>
      </c>
      <c r="N533" s="2">
        <v>0</v>
      </c>
      <c r="O533" s="2">
        <f t="shared" si="194"/>
        <v>122.89185165365811</v>
      </c>
      <c r="P533" s="2">
        <f t="shared" si="195"/>
        <v>83.770860022943495</v>
      </c>
      <c r="Q533" s="5">
        <f t="shared" si="196"/>
        <v>1.0357290438294178</v>
      </c>
      <c r="R533" s="5">
        <f t="shared" si="197"/>
        <v>0.16379919472410465</v>
      </c>
      <c r="S533" s="4">
        <f t="shared" si="214"/>
        <v>0.15005240162090167</v>
      </c>
      <c r="T533" s="5">
        <f t="shared" si="198"/>
        <v>0.107425821730684</v>
      </c>
      <c r="U533" s="4">
        <f t="shared" si="199"/>
        <v>0</v>
      </c>
      <c r="V533" s="4">
        <f t="shared" si="200"/>
        <v>0</v>
      </c>
      <c r="W533" s="5">
        <f t="shared" si="201"/>
        <v>0</v>
      </c>
      <c r="X533" s="5">
        <f t="shared" si="202"/>
        <v>-12.959796755384753</v>
      </c>
      <c r="Y533" s="5">
        <f t="shared" si="203"/>
        <v>5.4448762102254058</v>
      </c>
      <c r="Z533" s="5">
        <f>1</f>
        <v>1</v>
      </c>
      <c r="AA533" s="5">
        <f>IF(M533=0,0,const*($T533/omega)*O533*(wy*I533-wz*(H533-V533))/Z533)</f>
        <v>0</v>
      </c>
      <c r="AB533" s="5">
        <f>IF(M533=0,0,const*($T533/omega)*O533*(wz*(G533-U533)-wx*I533)/Z533)</f>
        <v>3.5709595647922932</v>
      </c>
      <c r="AC533" s="5">
        <f>IF(M533=0,0,const*($T533/omega)*O533*(wx*(H533-V533)-wy*(G533-U533))/Z533)</f>
        <v>8.4995339461518213</v>
      </c>
      <c r="AD533" s="5">
        <f t="shared" si="216"/>
        <v>0</v>
      </c>
      <c r="AE533" s="5">
        <f t="shared" si="216"/>
        <v>-9.3888371905924597</v>
      </c>
      <c r="AF533" s="5">
        <f t="shared" si="204"/>
        <v>-18.229589843622772</v>
      </c>
      <c r="AG533">
        <f t="shared" si="215"/>
        <v>0</v>
      </c>
    </row>
    <row r="534" spans="1:33" x14ac:dyDescent="0.2">
      <c r="A534">
        <f t="shared" si="205"/>
        <v>5.0199999999999374</v>
      </c>
      <c r="B534" s="5">
        <f t="shared" si="206"/>
        <v>0</v>
      </c>
      <c r="C534" s="5">
        <f t="shared" si="207"/>
        <v>780.76433410936602</v>
      </c>
      <c r="D534" s="5">
        <f t="shared" si="208"/>
        <v>-1.208280577403722</v>
      </c>
      <c r="E534" s="2">
        <f t="shared" si="190"/>
        <v>260.25477803645532</v>
      </c>
      <c r="F534" s="2">
        <f t="shared" si="209"/>
        <v>0</v>
      </c>
      <c r="G534" s="3">
        <f t="shared" si="210"/>
        <v>0</v>
      </c>
      <c r="H534" s="3">
        <f t="shared" si="211"/>
        <v>113.20470081274838</v>
      </c>
      <c r="I534" s="3">
        <f t="shared" si="212"/>
        <v>-47.783103576790218</v>
      </c>
      <c r="J534" s="2">
        <f t="shared" si="191"/>
        <v>122.87607282760194</v>
      </c>
      <c r="K534" s="2">
        <f t="shared" si="213"/>
        <v>83.760104176961107</v>
      </c>
      <c r="L534" s="5">
        <f t="shared" si="192"/>
        <v>28.479257439671084</v>
      </c>
      <c r="M534" s="3">
        <f t="shared" si="193"/>
        <v>18.43416007580214</v>
      </c>
      <c r="N534" s="2">
        <v>0</v>
      </c>
      <c r="O534" s="2">
        <f t="shared" si="194"/>
        <v>122.87607282760194</v>
      </c>
      <c r="P534" s="2">
        <f t="shared" si="195"/>
        <v>83.760104176961107</v>
      </c>
      <c r="Q534" s="5">
        <f t="shared" si="196"/>
        <v>1.0355960603304797</v>
      </c>
      <c r="R534" s="5">
        <f t="shared" si="197"/>
        <v>0.16379292717509741</v>
      </c>
      <c r="S534" s="4">
        <f t="shared" si="214"/>
        <v>0.1500223733685378</v>
      </c>
      <c r="T534" s="5">
        <f t="shared" si="198"/>
        <v>0.10741722205927763</v>
      </c>
      <c r="U534" s="4">
        <f t="shared" si="199"/>
        <v>0</v>
      </c>
      <c r="V534" s="4">
        <f t="shared" si="200"/>
        <v>0</v>
      </c>
      <c r="W534" s="5">
        <f t="shared" si="201"/>
        <v>0</v>
      </c>
      <c r="X534" s="5">
        <f t="shared" si="202"/>
        <v>-12.946899198255345</v>
      </c>
      <c r="Y534" s="5">
        <f t="shared" si="203"/>
        <v>5.4648174585240348</v>
      </c>
      <c r="Z534" s="5">
        <f>1</f>
        <v>1</v>
      </c>
      <c r="AA534" s="5">
        <f>IF(M534=0,0,const*($T534/omega)*O534*(wy*I534-wz*(H534-V534))/Z534)</f>
        <v>0</v>
      </c>
      <c r="AB534" s="5">
        <f>IF(M534=0,0,const*($T534/omega)*O534*(wz*(G534-U534)-wx*I534)/Z534)</f>
        <v>3.5838880260572181</v>
      </c>
      <c r="AC534" s="5">
        <f>IF(M534=0,0,const*($T534/omega)*O534*(wx*(H534-V534)-wy*(G534-U534))/Z534)</f>
        <v>8.4907203878918107</v>
      </c>
      <c r="AD534" s="5">
        <f t="shared" si="216"/>
        <v>0</v>
      </c>
      <c r="AE534" s="5">
        <f t="shared" si="216"/>
        <v>-9.3630111721981262</v>
      </c>
      <c r="AF534" s="5">
        <f t="shared" si="204"/>
        <v>-18.218462153584156</v>
      </c>
      <c r="AG534">
        <f t="shared" si="215"/>
        <v>0</v>
      </c>
    </row>
    <row r="535" spans="1:33" x14ac:dyDescent="0.2">
      <c r="A535">
        <f t="shared" si="205"/>
        <v>5.0299999999999372</v>
      </c>
      <c r="B535" s="5">
        <f t="shared" si="206"/>
        <v>0</v>
      </c>
      <c r="C535" s="5">
        <f t="shared" si="207"/>
        <v>781.89591296693493</v>
      </c>
      <c r="D535" s="5">
        <f t="shared" si="208"/>
        <v>-1.6870225362793032</v>
      </c>
      <c r="E535" s="2">
        <f t="shared" si="190"/>
        <v>260.63197098897831</v>
      </c>
      <c r="F535" s="2">
        <f t="shared" si="209"/>
        <v>0</v>
      </c>
      <c r="G535" s="3">
        <f t="shared" si="210"/>
        <v>0</v>
      </c>
      <c r="H535" s="3">
        <f t="shared" si="211"/>
        <v>113.11107070102641</v>
      </c>
      <c r="I535" s="3">
        <f t="shared" si="212"/>
        <v>-47.965288198326057</v>
      </c>
      <c r="J535" s="2">
        <f t="shared" si="191"/>
        <v>122.86082853001224</v>
      </c>
      <c r="K535" s="2">
        <f t="shared" si="213"/>
        <v>83.749712699394848</v>
      </c>
      <c r="L535" s="5">
        <f t="shared" si="192"/>
        <v>28.482791082417425</v>
      </c>
      <c r="M535" s="3">
        <f t="shared" si="193"/>
        <v>18.428092164263315</v>
      </c>
      <c r="N535" s="2">
        <v>0</v>
      </c>
      <c r="O535" s="2">
        <f t="shared" si="194"/>
        <v>122.86082853001224</v>
      </c>
      <c r="P535" s="2">
        <f t="shared" si="195"/>
        <v>83.749712699394848</v>
      </c>
      <c r="Q535" s="5">
        <f t="shared" si="196"/>
        <v>1.035467581822312</v>
      </c>
      <c r="R535" s="5">
        <f t="shared" si="197"/>
        <v>0.1637865039609708</v>
      </c>
      <c r="S535" s="4">
        <f t="shared" si="214"/>
        <v>0.14999159931402978</v>
      </c>
      <c r="T535" s="5">
        <f t="shared" si="198"/>
        <v>0.10740840772893002</v>
      </c>
      <c r="U535" s="4">
        <f t="shared" si="199"/>
        <v>0</v>
      </c>
      <c r="V535" s="4">
        <f t="shared" si="200"/>
        <v>0</v>
      </c>
      <c r="W535" s="5">
        <f t="shared" si="201"/>
        <v>0</v>
      </c>
      <c r="X535" s="5">
        <f t="shared" si="202"/>
        <v>-12.934078858787624</v>
      </c>
      <c r="Y535" s="5">
        <f t="shared" si="203"/>
        <v>5.4847577358844237</v>
      </c>
      <c r="Z535" s="5">
        <f>1</f>
        <v>1</v>
      </c>
      <c r="AA535" s="5">
        <f>IF(M535=0,0,const*($T535/omega)*O535*(wy*I535-wz*(H535-V535))/Z535)</f>
        <v>0</v>
      </c>
      <c r="AB535" s="5">
        <f>IF(M535=0,0,const*($T535/omega)*O535*(wz*(G535-U535)-wx*I535)/Z535)</f>
        <v>3.5968109761391442</v>
      </c>
      <c r="AC535" s="5">
        <f>IF(M535=0,0,const*($T535/omega)*O535*(wx*(H535-V535)-wy*(G535-U535))/Z535)</f>
        <v>8.481949257515371</v>
      </c>
      <c r="AD535" s="5">
        <f t="shared" si="216"/>
        <v>0</v>
      </c>
      <c r="AE535" s="5">
        <f t="shared" si="216"/>
        <v>-9.3372678826484794</v>
      </c>
      <c r="AF535" s="5">
        <f t="shared" si="204"/>
        <v>-18.207293006600203</v>
      </c>
      <c r="AG535">
        <f t="shared" si="215"/>
        <v>0</v>
      </c>
    </row>
    <row r="536" spans="1:33" x14ac:dyDescent="0.2">
      <c r="A536">
        <f t="shared" si="205"/>
        <v>5.039999999999937</v>
      </c>
      <c r="B536" s="5">
        <f t="shared" si="206"/>
        <v>0</v>
      </c>
      <c r="C536" s="5">
        <f t="shared" si="207"/>
        <v>783.02655681055114</v>
      </c>
      <c r="D536" s="5">
        <f t="shared" si="208"/>
        <v>-2.1675857829128939</v>
      </c>
      <c r="E536" s="2">
        <f t="shared" si="190"/>
        <v>261.0088522701837</v>
      </c>
      <c r="F536" s="2">
        <f t="shared" si="209"/>
        <v>0</v>
      </c>
      <c r="G536" s="3">
        <f t="shared" si="210"/>
        <v>0</v>
      </c>
      <c r="H536" s="3">
        <f t="shared" si="211"/>
        <v>113.01769802219992</v>
      </c>
      <c r="I536" s="3">
        <f t="shared" si="212"/>
        <v>-48.147361128392056</v>
      </c>
      <c r="J536" s="2">
        <f t="shared" si="191"/>
        <v>122.84611695069964</v>
      </c>
      <c r="K536" s="2">
        <f t="shared" si="213"/>
        <v>83.739684356305133</v>
      </c>
      <c r="L536" s="5">
        <f t="shared" si="192"/>
        <v>28.486202072121085</v>
      </c>
      <c r="M536" s="3">
        <f t="shared" si="193"/>
        <v>18.422013720952005</v>
      </c>
      <c r="N536" s="2">
        <v>0</v>
      </c>
      <c r="O536" s="2">
        <f t="shared" si="194"/>
        <v>122.84611695069964</v>
      </c>
      <c r="P536" s="2">
        <f t="shared" si="195"/>
        <v>83.739684356305133</v>
      </c>
      <c r="Q536" s="5">
        <f t="shared" si="196"/>
        <v>1.0353435930486898</v>
      </c>
      <c r="R536" s="5">
        <f t="shared" si="197"/>
        <v>0.16377992552686718</v>
      </c>
      <c r="S536" s="4">
        <f t="shared" si="214"/>
        <v>0.1499600815900847</v>
      </c>
      <c r="T536" s="5">
        <f t="shared" si="198"/>
        <v>0.10739937927136986</v>
      </c>
      <c r="U536" s="4">
        <f t="shared" si="199"/>
        <v>0</v>
      </c>
      <c r="V536" s="4">
        <f t="shared" si="200"/>
        <v>0</v>
      </c>
      <c r="W536" s="5">
        <f t="shared" si="201"/>
        <v>0</v>
      </c>
      <c r="X536" s="5">
        <f t="shared" si="202"/>
        <v>-12.921335361074625</v>
      </c>
      <c r="Y536" s="5">
        <f t="shared" si="203"/>
        <v>5.5046971472425348</v>
      </c>
      <c r="Z536" s="5">
        <f>1</f>
        <v>1</v>
      </c>
      <c r="AA536" s="5">
        <f>IF(M536=0,0,const*($T536/omega)*O536*(wy*I536-wz*(H536-V536))/Z536)</f>
        <v>0</v>
      </c>
      <c r="AB536" s="5">
        <f>IF(M536=0,0,const*($T536/omega)*O536*(wz*(G536-U536)-wx*I536)/Z536)</f>
        <v>3.609728449862712</v>
      </c>
      <c r="AC536" s="5">
        <f>IF(M536=0,0,const*($T536/omega)*O536*(wx*(H536-V536)-wy*(G536-U536))/Z536)</f>
        <v>8.4732203453650055</v>
      </c>
      <c r="AD536" s="5">
        <f t="shared" si="216"/>
        <v>0</v>
      </c>
      <c r="AE536" s="5">
        <f t="shared" si="216"/>
        <v>-9.3116069112119142</v>
      </c>
      <c r="AF536" s="5">
        <f t="shared" si="204"/>
        <v>-18.196082507392461</v>
      </c>
      <c r="AG536">
        <f t="shared" si="215"/>
        <v>0</v>
      </c>
    </row>
    <row r="537" spans="1:33" x14ac:dyDescent="0.2">
      <c r="A537">
        <f t="shared" si="205"/>
        <v>5.0499999999999368</v>
      </c>
      <c r="B537" s="5">
        <f t="shared" si="206"/>
        <v>0</v>
      </c>
      <c r="C537" s="5">
        <f t="shared" si="207"/>
        <v>784.15626821042758</v>
      </c>
      <c r="D537" s="5">
        <f t="shared" si="208"/>
        <v>-2.649969198322184</v>
      </c>
      <c r="E537" s="2">
        <f t="shared" si="190"/>
        <v>261.38542273680918</v>
      </c>
      <c r="F537" s="2">
        <f t="shared" si="209"/>
        <v>0</v>
      </c>
      <c r="G537" s="3">
        <f t="shared" si="210"/>
        <v>0</v>
      </c>
      <c r="H537" s="3">
        <f t="shared" si="211"/>
        <v>112.92458195308781</v>
      </c>
      <c r="I537" s="3">
        <f t="shared" si="212"/>
        <v>-48.329321953465978</v>
      </c>
      <c r="J537" s="2">
        <f t="shared" si="191"/>
        <v>122.83193627783213</v>
      </c>
      <c r="K537" s="2">
        <f t="shared" si="213"/>
        <v>83.730017912632661</v>
      </c>
      <c r="L537" s="5">
        <f t="shared" si="192"/>
        <v>28.489490740565657</v>
      </c>
      <c r="M537" s="3">
        <f t="shared" si="193"/>
        <v>18.41592472165604</v>
      </c>
      <c r="N537" s="2">
        <v>0</v>
      </c>
      <c r="O537" s="2">
        <f t="shared" si="194"/>
        <v>122.83193627783213</v>
      </c>
      <c r="P537" s="2">
        <f t="shared" si="195"/>
        <v>83.730017912632661</v>
      </c>
      <c r="Q537" s="5">
        <f t="shared" si="196"/>
        <v>1.035224078739545</v>
      </c>
      <c r="R537" s="5">
        <f t="shared" si="197"/>
        <v>0.16377319232305357</v>
      </c>
      <c r="S537" s="4">
        <f t="shared" si="214"/>
        <v>0.14992782235396238</v>
      </c>
      <c r="T537" s="5">
        <f t="shared" si="198"/>
        <v>0.10739013722371066</v>
      </c>
      <c r="U537" s="4">
        <f t="shared" si="199"/>
        <v>0</v>
      </c>
      <c r="V537" s="4">
        <f t="shared" si="200"/>
        <v>0</v>
      </c>
      <c r="W537" s="5">
        <f t="shared" si="201"/>
        <v>0</v>
      </c>
      <c r="X537" s="5">
        <f t="shared" si="202"/>
        <v>-12.908668330786854</v>
      </c>
      <c r="Y537" s="5">
        <f t="shared" si="203"/>
        <v>5.5246357963785142</v>
      </c>
      <c r="Z537" s="5">
        <f>1</f>
        <v>1</v>
      </c>
      <c r="AA537" s="5">
        <f>IF(M537=0,0,const*($T537/omega)*O537*(wy*I537-wz*(H537-V537))/Z537)</f>
        <v>0</v>
      </c>
      <c r="AB537" s="5">
        <f>IF(M537=0,0,const*($T537/omega)*O537*(wz*(G537-U537)-wx*I537)/Z537)</f>
        <v>3.6226404814397575</v>
      </c>
      <c r="AC537" s="5">
        <f>IF(M537=0,0,const*($T537/omega)*O537*(wx*(H537-V537)-wy*(G537-U537))/Z537)</f>
        <v>8.4645334425921828</v>
      </c>
      <c r="AD537" s="5">
        <f t="shared" si="216"/>
        <v>0</v>
      </c>
      <c r="AE537" s="5">
        <f t="shared" si="216"/>
        <v>-9.2860278493470965</v>
      </c>
      <c r="AF537" s="5">
        <f t="shared" si="204"/>
        <v>-18.184830761029303</v>
      </c>
      <c r="AG537">
        <f t="shared" si="215"/>
        <v>0</v>
      </c>
    </row>
    <row r="538" spans="1:33" x14ac:dyDescent="0.2">
      <c r="A538">
        <f t="shared" si="205"/>
        <v>5.0599999999999365</v>
      </c>
      <c r="B538" s="5">
        <f t="shared" si="206"/>
        <v>0</v>
      </c>
      <c r="C538" s="5">
        <f t="shared" si="207"/>
        <v>785.28504972856604</v>
      </c>
      <c r="D538" s="5">
        <f t="shared" si="208"/>
        <v>-3.1341716593948954</v>
      </c>
      <c r="E538" s="2">
        <f t="shared" si="190"/>
        <v>261.76168324285533</v>
      </c>
      <c r="F538" s="2">
        <f t="shared" si="209"/>
        <v>0</v>
      </c>
      <c r="G538" s="3">
        <f t="shared" si="210"/>
        <v>0</v>
      </c>
      <c r="H538" s="3">
        <f t="shared" si="211"/>
        <v>112.83172167459433</v>
      </c>
      <c r="I538" s="3">
        <f t="shared" si="212"/>
        <v>-48.511170261076273</v>
      </c>
      <c r="J538" s="2">
        <f t="shared" si="191"/>
        <v>122.8182846979726</v>
      </c>
      <c r="K538" s="2">
        <f t="shared" si="213"/>
        <v>83.720712132223994</v>
      </c>
      <c r="L538" s="5">
        <f t="shared" si="192"/>
        <v>28.492657423433425</v>
      </c>
      <c r="M538" s="3">
        <f t="shared" si="193"/>
        <v>18.409825142652455</v>
      </c>
      <c r="N538" s="2">
        <v>0</v>
      </c>
      <c r="O538" s="2">
        <f t="shared" si="194"/>
        <v>122.8182846979726</v>
      </c>
      <c r="P538" s="2">
        <f t="shared" si="195"/>
        <v>83.720712132223994</v>
      </c>
      <c r="Q538" s="5">
        <f t="shared" si="196"/>
        <v>1.0351090236112808</v>
      </c>
      <c r="R538" s="5">
        <f t="shared" si="197"/>
        <v>0.16376630480487042</v>
      </c>
      <c r="S538" s="4">
        <f t="shared" si="214"/>
        <v>0.14989482378723004</v>
      </c>
      <c r="T538" s="5">
        <f t="shared" si="198"/>
        <v>0.10738068212840043</v>
      </c>
      <c r="U538" s="4">
        <f t="shared" si="199"/>
        <v>0</v>
      </c>
      <c r="V538" s="4">
        <f t="shared" si="200"/>
        <v>0</v>
      </c>
      <c r="W538" s="5">
        <f t="shared" si="201"/>
        <v>0</v>
      </c>
      <c r="X538" s="5">
        <f t="shared" si="202"/>
        <v>-12.896077395165987</v>
      </c>
      <c r="Y538" s="5">
        <f t="shared" si="203"/>
        <v>5.5445737859176694</v>
      </c>
      <c r="Z538" s="5">
        <f>1</f>
        <v>1</v>
      </c>
      <c r="AA538" s="5">
        <f>IF(M538=0,0,const*($T538/omega)*O538*(wy*I538-wz*(H538-V538))/Z538)</f>
        <v>0</v>
      </c>
      <c r="AB538" s="5">
        <f>IF(M538=0,0,const*($T538/omega)*O538*(wz*(G538-U538)-wx*I538)/Z538)</f>
        <v>3.635547104469933</v>
      </c>
      <c r="AC538" s="5">
        <f>IF(M538=0,0,const*($T538/omega)*O538*(wx*(H538-V538)-wy*(G538-U538))/Z538)</f>
        <v>8.4558883411551804</v>
      </c>
      <c r="AD538" s="5">
        <f t="shared" si="216"/>
        <v>0</v>
      </c>
      <c r="AE538" s="5">
        <f t="shared" si="216"/>
        <v>-9.2605302906960532</v>
      </c>
      <c r="AF538" s="5">
        <f t="shared" si="204"/>
        <v>-18.173537872927149</v>
      </c>
      <c r="AG538">
        <f t="shared" si="215"/>
        <v>0</v>
      </c>
    </row>
    <row r="539" spans="1:33" x14ac:dyDescent="0.2">
      <c r="A539">
        <f t="shared" si="205"/>
        <v>5.0699999999999363</v>
      </c>
      <c r="B539" s="5">
        <f t="shared" si="206"/>
        <v>0</v>
      </c>
      <c r="C539" s="5">
        <f t="shared" si="207"/>
        <v>786.41290391879738</v>
      </c>
      <c r="D539" s="5">
        <f t="shared" si="208"/>
        <v>-3.6201920388993045</v>
      </c>
      <c r="E539" s="2">
        <f t="shared" si="190"/>
        <v>262.13763463959913</v>
      </c>
      <c r="F539" s="2">
        <f t="shared" si="209"/>
        <v>0</v>
      </c>
      <c r="G539" s="3">
        <f t="shared" si="210"/>
        <v>0</v>
      </c>
      <c r="H539" s="3">
        <f t="shared" si="211"/>
        <v>112.73911637168737</v>
      </c>
      <c r="I539" s="3">
        <f t="shared" si="212"/>
        <v>-48.692905639805545</v>
      </c>
      <c r="J539" s="2">
        <f t="shared" si="191"/>
        <v>122.80516039611639</v>
      </c>
      <c r="K539" s="2">
        <f t="shared" si="213"/>
        <v>83.71176577785711</v>
      </c>
      <c r="L539" s="5">
        <f t="shared" si="192"/>
        <v>28.495702460266607</v>
      </c>
      <c r="M539" s="3">
        <f t="shared" si="193"/>
        <v>18.403714960706392</v>
      </c>
      <c r="N539" s="2">
        <v>0</v>
      </c>
      <c r="O539" s="2">
        <f t="shared" si="194"/>
        <v>122.80516039611639</v>
      </c>
      <c r="P539" s="2">
        <f t="shared" si="195"/>
        <v>83.71176577785711</v>
      </c>
      <c r="Q539" s="5">
        <f t="shared" si="196"/>
        <v>1.0349984123670886</v>
      </c>
      <c r="R539" s="5">
        <f t="shared" si="197"/>
        <v>0.16375926343268041</v>
      </c>
      <c r="S539" s="4">
        <f t="shared" si="214"/>
        <v>0.14986108809551615</v>
      </c>
      <c r="T539" s="5">
        <f t="shared" si="198"/>
        <v>0.10737101453317095</v>
      </c>
      <c r="U539" s="4">
        <f t="shared" si="199"/>
        <v>0</v>
      </c>
      <c r="V539" s="4">
        <f t="shared" si="200"/>
        <v>0</v>
      </c>
      <c r="W539" s="5">
        <f t="shared" si="201"/>
        <v>0</v>
      </c>
      <c r="X539" s="5">
        <f t="shared" si="202"/>
        <v>-12.883562183018617</v>
      </c>
      <c r="Y539" s="5">
        <f t="shared" si="203"/>
        <v>5.5645112173314724</v>
      </c>
      <c r="Z539" s="5">
        <f>1</f>
        <v>1</v>
      </c>
      <c r="AA539" s="5">
        <f>IF(M539=0,0,const*($T539/omega)*O539*(wy*I539-wz*(H539-V539))/Z539)</f>
        <v>0</v>
      </c>
      <c r="AB539" s="5">
        <f>IF(M539=0,0,const*($T539/omega)*O539*(wz*(G539-U539)-wx*I539)/Z539)</f>
        <v>3.6484483519413384</v>
      </c>
      <c r="AC539" s="5">
        <f>IF(M539=0,0,const*($T539/omega)*O539*(wx*(H539-V539)-wy*(G539-U539))/Z539)</f>
        <v>8.4472848338168749</v>
      </c>
      <c r="AD539" s="5">
        <f t="shared" si="216"/>
        <v>0</v>
      </c>
      <c r="AE539" s="5">
        <f t="shared" si="216"/>
        <v>-9.2351138310772782</v>
      </c>
      <c r="AF539" s="5">
        <f t="shared" si="204"/>
        <v>-18.162203948851651</v>
      </c>
      <c r="AG539">
        <f t="shared" si="215"/>
        <v>0</v>
      </c>
    </row>
    <row r="540" spans="1:33" x14ac:dyDescent="0.2">
      <c r="A540">
        <f t="shared" si="205"/>
        <v>5.0799999999999361</v>
      </c>
      <c r="B540" s="5">
        <f t="shared" si="206"/>
        <v>0</v>
      </c>
      <c r="C540" s="5">
        <f t="shared" si="207"/>
        <v>787.53983332682276</v>
      </c>
      <c r="D540" s="5">
        <f t="shared" si="208"/>
        <v>-4.1080292054948018</v>
      </c>
      <c r="E540" s="2">
        <f t="shared" si="190"/>
        <v>262.51327777560761</v>
      </c>
      <c r="F540" s="2">
        <f t="shared" si="209"/>
        <v>0</v>
      </c>
      <c r="G540" s="3">
        <f t="shared" si="210"/>
        <v>0</v>
      </c>
      <c r="H540" s="3">
        <f t="shared" si="211"/>
        <v>112.6467652333766</v>
      </c>
      <c r="I540" s="3">
        <f t="shared" si="212"/>
        <v>-48.874527679294061</v>
      </c>
      <c r="J540" s="2">
        <f t="shared" si="191"/>
        <v>122.79256155572919</v>
      </c>
      <c r="K540" s="2">
        <f t="shared" si="213"/>
        <v>83.703177611267336</v>
      </c>
      <c r="L540" s="5">
        <f t="shared" si="192"/>
        <v>28.498626194428262</v>
      </c>
      <c r="M540" s="3">
        <f t="shared" si="193"/>
        <v>18.397594153069942</v>
      </c>
      <c r="N540" s="2">
        <v>0</v>
      </c>
      <c r="O540" s="2">
        <f t="shared" si="194"/>
        <v>122.79256155572919</v>
      </c>
      <c r="P540" s="2">
        <f t="shared" si="195"/>
        <v>83.703177611267336</v>
      </c>
      <c r="Q540" s="5">
        <f t="shared" si="196"/>
        <v>1.0348922296972696</v>
      </c>
      <c r="R540" s="5">
        <f t="shared" si="197"/>
        <v>0.16375206867181633</v>
      </c>
      <c r="S540" s="4">
        <f t="shared" si="214"/>
        <v>0.1498266175082619</v>
      </c>
      <c r="T540" s="5">
        <f t="shared" si="198"/>
        <v>0.10736113499098691</v>
      </c>
      <c r="U540" s="4">
        <f t="shared" si="199"/>
        <v>0</v>
      </c>
      <c r="V540" s="4">
        <f t="shared" si="200"/>
        <v>0</v>
      </c>
      <c r="W540" s="5">
        <f t="shared" si="201"/>
        <v>0</v>
      </c>
      <c r="X540" s="5">
        <f t="shared" si="202"/>
        <v>-12.871122324710026</v>
      </c>
      <c r="Y540" s="5">
        <f t="shared" si="203"/>
        <v>5.5844481909386419</v>
      </c>
      <c r="Z540" s="5">
        <f>1</f>
        <v>1</v>
      </c>
      <c r="AA540" s="5">
        <f>IF(M540=0,0,const*($T540/omega)*O540*(wy*I540-wz*(H540-V540))/Z540)</f>
        <v>0</v>
      </c>
      <c r="AB540" s="5">
        <f>IF(M540=0,0,const*($T540/omega)*O540*(wz*(G540-U540)-wx*I540)/Z540)</f>
        <v>3.6613442562312271</v>
      </c>
      <c r="AC540" s="5">
        <f>IF(M540=0,0,const*($T540/omega)*O540*(wx*(H540-V540)-wy*(G540-U540))/Z540)</f>
        <v>8.4387227141426173</v>
      </c>
      <c r="AD540" s="5">
        <f t="shared" si="216"/>
        <v>0</v>
      </c>
      <c r="AE540" s="5">
        <f t="shared" si="216"/>
        <v>-9.2097780684787978</v>
      </c>
      <c r="AF540" s="5">
        <f t="shared" si="204"/>
        <v>-18.150829094918741</v>
      </c>
      <c r="AG540">
        <f t="shared" si="215"/>
        <v>0</v>
      </c>
    </row>
    <row r="541" spans="1:33" x14ac:dyDescent="0.2">
      <c r="A541">
        <f t="shared" si="205"/>
        <v>5.0899999999999359</v>
      </c>
      <c r="B541" s="5">
        <f t="shared" si="206"/>
        <v>0</v>
      </c>
      <c r="C541" s="5">
        <f t="shared" si="207"/>
        <v>788.66584049025312</v>
      </c>
      <c r="D541" s="5">
        <f t="shared" si="208"/>
        <v>-4.5976820237424878</v>
      </c>
      <c r="E541" s="2">
        <f t="shared" si="190"/>
        <v>262.88861349675102</v>
      </c>
      <c r="F541" s="2">
        <f t="shared" si="209"/>
        <v>0</v>
      </c>
      <c r="G541" s="3">
        <f t="shared" si="210"/>
        <v>0</v>
      </c>
      <c r="H541" s="3">
        <f t="shared" si="211"/>
        <v>112.55466745269182</v>
      </c>
      <c r="I541" s="3">
        <f t="shared" si="212"/>
        <v>-49.056035970243251</v>
      </c>
      <c r="J541" s="2">
        <f t="shared" si="191"/>
        <v>122.78048635878523</v>
      </c>
      <c r="K541" s="2">
        <f t="shared" si="213"/>
        <v>83.694946393173296</v>
      </c>
      <c r="L541" s="5">
        <f t="shared" si="192"/>
        <v>28.501428973063007</v>
      </c>
      <c r="M541" s="3">
        <f t="shared" si="193"/>
        <v>18.39146269748101</v>
      </c>
      <c r="N541" s="2">
        <v>0</v>
      </c>
      <c r="O541" s="2">
        <f t="shared" si="194"/>
        <v>122.78048635878523</v>
      </c>
      <c r="P541" s="2">
        <f t="shared" si="195"/>
        <v>83.694946393173296</v>
      </c>
      <c r="Q541" s="5">
        <f t="shared" si="196"/>
        <v>1.0347904602795537</v>
      </c>
      <c r="R541" s="5">
        <f t="shared" si="197"/>
        <v>0.16374472099252912</v>
      </c>
      <c r="S541" s="4">
        <f t="shared" si="214"/>
        <v>0.14979141427847145</v>
      </c>
      <c r="T541" s="5">
        <f t="shared" si="198"/>
        <v>0.10735104405999443</v>
      </c>
      <c r="U541" s="4">
        <f t="shared" si="199"/>
        <v>0</v>
      </c>
      <c r="V541" s="4">
        <f t="shared" si="200"/>
        <v>0</v>
      </c>
      <c r="W541" s="5">
        <f t="shared" si="201"/>
        <v>0</v>
      </c>
      <c r="X541" s="5">
        <f t="shared" si="202"/>
        <v>-12.858757452158075</v>
      </c>
      <c r="Y541" s="5">
        <f t="shared" si="203"/>
        <v>5.6043848059062791</v>
      </c>
      <c r="Z541" s="5">
        <f>1</f>
        <v>1</v>
      </c>
      <c r="AA541" s="5">
        <f>IF(M541=0,0,const*($T541/omega)*O541*(wy*I541-wz*(H541-V541))/Z541)</f>
        <v>0</v>
      </c>
      <c r="AB541" s="5">
        <f>IF(M541=0,0,const*($T541/omega)*O541*(wz*(G541-U541)-wx*I541)/Z541)</f>
        <v>3.6742348491067265</v>
      </c>
      <c r="AC541" s="5">
        <f>IF(M541=0,0,const*($T541/omega)*O541*(wx*(H541-V541)-wy*(G541-U541))/Z541)</f>
        <v>8.430201776498091</v>
      </c>
      <c r="AD541" s="5">
        <f t="shared" si="216"/>
        <v>0</v>
      </c>
      <c r="AE541" s="5">
        <f t="shared" si="216"/>
        <v>-9.1845226030513487</v>
      </c>
      <c r="AF541" s="5">
        <f t="shared" si="204"/>
        <v>-18.13941341759563</v>
      </c>
      <c r="AG541">
        <f t="shared" si="215"/>
        <v>0</v>
      </c>
    </row>
    <row r="542" spans="1:33" x14ac:dyDescent="0.2">
      <c r="A542">
        <f t="shared" si="205"/>
        <v>5.0999999999999357</v>
      </c>
      <c r="B542" s="5">
        <f t="shared" si="206"/>
        <v>0</v>
      </c>
      <c r="C542" s="5">
        <f t="shared" si="207"/>
        <v>789.79092793864993</v>
      </c>
      <c r="D542" s="5">
        <f t="shared" si="208"/>
        <v>-5.0891493541158006</v>
      </c>
      <c r="E542" s="2">
        <f t="shared" si="190"/>
        <v>263.26364264621662</v>
      </c>
      <c r="F542" s="2">
        <f t="shared" si="209"/>
        <v>0</v>
      </c>
      <c r="G542" s="3">
        <f t="shared" si="210"/>
        <v>0</v>
      </c>
      <c r="H542" s="3">
        <f t="shared" si="211"/>
        <v>112.4628222266613</v>
      </c>
      <c r="I542" s="3">
        <f t="shared" si="212"/>
        <v>-49.237430104419204</v>
      </c>
      <c r="J542" s="2">
        <f t="shared" si="191"/>
        <v>122.76893298580545</v>
      </c>
      <c r="K542" s="2">
        <f t="shared" si="213"/>
        <v>83.687070883302965</v>
      </c>
      <c r="L542" s="5">
        <f t="shared" si="192"/>
        <v>28.504111147057472</v>
      </c>
      <c r="M542" s="3">
        <f t="shared" si="193"/>
        <v>18.385320572162112</v>
      </c>
      <c r="N542" s="2">
        <v>0</v>
      </c>
      <c r="O542" s="2">
        <f t="shared" si="194"/>
        <v>122.76893298580545</v>
      </c>
      <c r="P542" s="2">
        <f t="shared" si="195"/>
        <v>83.687070883302965</v>
      </c>
      <c r="Q542" s="5">
        <f t="shared" si="196"/>
        <v>1.034693088779423</v>
      </c>
      <c r="R542" s="5">
        <f t="shared" si="197"/>
        <v>0.16373722086993545</v>
      </c>
      <c r="S542" s="4">
        <f t="shared" si="214"/>
        <v>0.14975548068246081</v>
      </c>
      <c r="T542" s="5">
        <f t="shared" si="198"/>
        <v>0.10734074230346968</v>
      </c>
      <c r="U542" s="4">
        <f t="shared" si="199"/>
        <v>0</v>
      </c>
      <c r="V542" s="4">
        <f t="shared" si="200"/>
        <v>0</v>
      </c>
      <c r="W542" s="5">
        <f t="shared" si="201"/>
        <v>0</v>
      </c>
      <c r="X542" s="5">
        <f t="shared" si="202"/>
        <v>-12.846467198827087</v>
      </c>
      <c r="Y542" s="5">
        <f t="shared" si="203"/>
        <v>5.6243211602510446</v>
      </c>
      <c r="Z542" s="5">
        <f>1</f>
        <v>1</v>
      </c>
      <c r="AA542" s="5">
        <f>IF(M542=0,0,const*($T542/omega)*O542*(wy*I542-wz*(H542-V542))/Z542)</f>
        <v>0</v>
      </c>
      <c r="AB542" s="5">
        <f>IF(M542=0,0,const*($T542/omega)*O542*(wz*(G542-U542)-wx*I542)/Z542)</f>
        <v>3.687120161725614</v>
      </c>
      <c r="AC542" s="5">
        <f>IF(M542=0,0,const*($T542/omega)*O542*(wx*(H542-V542)-wy*(G542-U542))/Z542)</f>
        <v>8.4217218160471994</v>
      </c>
      <c r="AD542" s="5">
        <f t="shared" si="216"/>
        <v>0</v>
      </c>
      <c r="AE542" s="5">
        <f t="shared" si="216"/>
        <v>-9.1593470371014725</v>
      </c>
      <c r="AF542" s="5">
        <f t="shared" si="204"/>
        <v>-18.127957023701754</v>
      </c>
      <c r="AG542">
        <f t="shared" si="215"/>
        <v>0</v>
      </c>
    </row>
    <row r="543" spans="1:33" x14ac:dyDescent="0.2">
      <c r="A543">
        <f t="shared" si="205"/>
        <v>5.1099999999999355</v>
      </c>
      <c r="B543" s="5">
        <f t="shared" si="206"/>
        <v>0</v>
      </c>
      <c r="C543" s="5">
        <f t="shared" si="207"/>
        <v>790.91509819356475</v>
      </c>
      <c r="D543" s="5">
        <f t="shared" si="208"/>
        <v>-5.5824300530111781</v>
      </c>
      <c r="E543" s="2">
        <f t="shared" si="190"/>
        <v>263.63836606452156</v>
      </c>
      <c r="F543" s="2">
        <f t="shared" si="209"/>
        <v>0</v>
      </c>
      <c r="G543" s="3">
        <f t="shared" si="210"/>
        <v>0</v>
      </c>
      <c r="H543" s="3">
        <f t="shared" si="211"/>
        <v>112.37122875629029</v>
      </c>
      <c r="I543" s="3">
        <f t="shared" si="212"/>
        <v>-49.41870967465622</v>
      </c>
      <c r="J543" s="2">
        <f t="shared" si="191"/>
        <v>122.75789961589633</v>
      </c>
      <c r="K543" s="2">
        <f t="shared" si="213"/>
        <v>83.679549840420123</v>
      </c>
      <c r="L543" s="5">
        <f t="shared" si="192"/>
        <v>28.506673071000453</v>
      </c>
      <c r="M543" s="3">
        <f t="shared" si="193"/>
        <v>18.379167755819189</v>
      </c>
      <c r="N543" s="2">
        <v>0</v>
      </c>
      <c r="O543" s="2">
        <f t="shared" si="194"/>
        <v>122.75789961589633</v>
      </c>
      <c r="P543" s="2">
        <f t="shared" si="195"/>
        <v>83.679549840420123</v>
      </c>
      <c r="Q543" s="5">
        <f t="shared" si="196"/>
        <v>1.0346000998504385</v>
      </c>
      <c r="R543" s="5">
        <f t="shared" si="197"/>
        <v>0.16372956878396477</v>
      </c>
      <c r="S543" s="4">
        <f t="shared" si="214"/>
        <v>0.14971881901960474</v>
      </c>
      <c r="T543" s="5">
        <f t="shared" si="198"/>
        <v>0.10733023028976695</v>
      </c>
      <c r="U543" s="4">
        <f t="shared" si="199"/>
        <v>0</v>
      </c>
      <c r="V543" s="4">
        <f t="shared" si="200"/>
        <v>0</v>
      </c>
      <c r="W543" s="5">
        <f t="shared" si="201"/>
        <v>0</v>
      </c>
      <c r="X543" s="5">
        <f t="shared" si="202"/>
        <v>-12.834251199721827</v>
      </c>
      <c r="Y543" s="5">
        <f t="shared" si="203"/>
        <v>5.6442573508404141</v>
      </c>
      <c r="Z543" s="5">
        <f>1</f>
        <v>1</v>
      </c>
      <c r="AA543" s="5">
        <f>IF(M543=0,0,const*($T543/omega)*O543*(wy*I543-wz*(H543-V543))/Z543)</f>
        <v>0</v>
      </c>
      <c r="AB543" s="5">
        <f>IF(M543=0,0,const*($T543/omega)*O543*(wz*(G543-U543)-wx*I543)/Z543)</f>
        <v>3.7000002246371388</v>
      </c>
      <c r="AC543" s="5">
        <f>IF(M543=0,0,const*($T543/omega)*O543*(wx*(H543-V543)-wy*(G543-U543))/Z543)</f>
        <v>8.4132826287500126</v>
      </c>
      <c r="AD543" s="5">
        <f t="shared" si="216"/>
        <v>0</v>
      </c>
      <c r="AE543" s="5">
        <f t="shared" si="216"/>
        <v>-9.1342509750846883</v>
      </c>
      <c r="AF543" s="5">
        <f t="shared" si="204"/>
        <v>-18.116460020409573</v>
      </c>
      <c r="AG543">
        <f t="shared" si="215"/>
        <v>0</v>
      </c>
    </row>
    <row r="544" spans="1:33" x14ac:dyDescent="0.2">
      <c r="A544">
        <f t="shared" si="205"/>
        <v>5.1199999999999353</v>
      </c>
      <c r="B544" s="5">
        <f t="shared" si="206"/>
        <v>0</v>
      </c>
      <c r="C544" s="5">
        <f t="shared" si="207"/>
        <v>792.03835376857887</v>
      </c>
      <c r="D544" s="5">
        <f t="shared" si="208"/>
        <v>-6.0775229727587607</v>
      </c>
      <c r="E544" s="2">
        <f t="shared" ref="E544:E607" si="217">SQRT(B544^2+C544^2)/3</f>
        <v>264.01278458952629</v>
      </c>
      <c r="F544" s="2">
        <f t="shared" si="209"/>
        <v>0</v>
      </c>
      <c r="G544" s="3">
        <f t="shared" si="210"/>
        <v>0</v>
      </c>
      <c r="H544" s="3">
        <f t="shared" si="211"/>
        <v>112.27988624653945</v>
      </c>
      <c r="I544" s="3">
        <f t="shared" si="212"/>
        <v>-49.599874274860319</v>
      </c>
      <c r="J544" s="2">
        <f t="shared" ref="J544:J607" si="218">SQRT(G544^2+H544^2+I544^2)</f>
        <v>122.74738442678846</v>
      </c>
      <c r="K544" s="2">
        <f t="shared" si="213"/>
        <v>83.672382022350675</v>
      </c>
      <c r="L544" s="5">
        <f t="shared" ref="L544:L607" si="219">1/(0.00002*J544/(circ/(2*PI()*12)))</f>
        <v>28.509115103142953</v>
      </c>
      <c r="M544" s="3">
        <f t="shared" ref="M544:M607" si="220">romega*EXP(-A544/L544)</f>
        <v>18.373004227640394</v>
      </c>
      <c r="N544" s="2">
        <v>0</v>
      </c>
      <c r="O544" s="2">
        <f t="shared" ref="O544:O607" si="221">IF(D544&gt;=hwind,SQRT((G544-vxw)^2+(H544-vyw)^2+I544^2),J544)</f>
        <v>122.74738442678846</v>
      </c>
      <c r="P544" s="2">
        <f t="shared" ref="P544:P607" si="222">J544/1.467</f>
        <v>83.672382022350675</v>
      </c>
      <c r="Q544" s="5">
        <f t="shared" ref="Q544:Q607" si="223">(P544/100)*Re_100*0.00001</f>
        <v>1.0345114781345655</v>
      </c>
      <c r="R544" s="5">
        <f t="shared" ref="R544:R607" si="224">IF(Q544&lt;=ReLow,CdL,IF(Q544&lt;ReHigh,CdL+(CdH-CdL)*(Q544-ReLow)/(ReHigh-ReLow),CdH))+CdS*S544</f>
        <v>0.16372176521930648</v>
      </c>
      <c r="S544" s="4">
        <f t="shared" si="214"/>
        <v>0.14968143161208297</v>
      </c>
      <c r="T544" s="5">
        <f t="shared" ref="T544:T607" si="225">ClAmp*S544^0.4</f>
        <v>0.10731950859226651</v>
      </c>
      <c r="U544" s="4">
        <f t="shared" ref="U544:U607" si="226">IF(D544&gt;=hwind,vxw,0)</f>
        <v>0</v>
      </c>
      <c r="V544" s="4">
        <f t="shared" ref="V544:V607" si="227">IF(D544&gt;=hwind,vyw,0)</f>
        <v>0</v>
      </c>
      <c r="W544" s="5">
        <f t="shared" ref="W544:W607" si="228">-const*$R544*$O544*(G544-U544)</f>
        <v>0</v>
      </c>
      <c r="X544" s="5">
        <f t="shared" ref="X544:X607" si="229">-const*$R544*$O544*(H544-V544)</f>
        <v>-12.822109091381506</v>
      </c>
      <c r="Y544" s="5">
        <f t="shared" ref="Y544:Y607" si="230">-const*$R544*$O544*I544</f>
        <v>5.6641934733939703</v>
      </c>
      <c r="Z544" s="5">
        <f>1</f>
        <v>1</v>
      </c>
      <c r="AA544" s="5">
        <f>IF(M544=0,0,const*($T544/omega)*O544*(wy*I544-wz*(H544-V544))/Z544)</f>
        <v>0</v>
      </c>
      <c r="AB544" s="5">
        <f>IF(M544=0,0,const*($T544/omega)*O544*(wz*(G544-U544)-wx*I544)/Z544)</f>
        <v>3.7128750677828726</v>
      </c>
      <c r="AC544" s="5">
        <f>IF(M544=0,0,const*($T544/omega)*O544*(wx*(H544-V544)-wy*(G544-U544))/Z544)</f>
        <v>8.4048840113606786</v>
      </c>
      <c r="AD544" s="5">
        <f t="shared" si="216"/>
        <v>0</v>
      </c>
      <c r="AE544" s="5">
        <f t="shared" si="216"/>
        <v>-9.1092340235986331</v>
      </c>
      <c r="AF544" s="5">
        <f t="shared" ref="AF544:AF607" si="231">Y544+AC544-32.174</f>
        <v>-18.104922515245349</v>
      </c>
      <c r="AG544">
        <f t="shared" si="215"/>
        <v>0</v>
      </c>
    </row>
    <row r="545" spans="1:33" x14ac:dyDescent="0.2">
      <c r="A545">
        <f t="shared" ref="A545:A608" si="232">A544+dt</f>
        <v>5.1299999999999351</v>
      </c>
      <c r="B545" s="5">
        <f t="shared" ref="B545:B608" si="233">B544+G544*dt+0.5*AD544*dt*dt</f>
        <v>0</v>
      </c>
      <c r="C545" s="5">
        <f t="shared" ref="C545:C608" si="234">C544+H544*dt+0.5*AE544*dt*dt</f>
        <v>793.16069716934305</v>
      </c>
      <c r="D545" s="5">
        <f t="shared" ref="D545:D608" si="235">D544+I544*dt+0.5*AF544*dt*dt</f>
        <v>-6.5744269616331259</v>
      </c>
      <c r="E545" s="2">
        <f t="shared" si="217"/>
        <v>264.3868990564477</v>
      </c>
      <c r="F545" s="2">
        <f t="shared" ref="F545:F608" si="236">ATAN2(C545,B545)*180/PI()</f>
        <v>0</v>
      </c>
      <c r="G545" s="3">
        <f t="shared" ref="G545:G608" si="237">G544+AD544*dt</f>
        <v>0</v>
      </c>
      <c r="H545" s="3">
        <f t="shared" ref="H545:H608" si="238">H544+AE544*dt</f>
        <v>112.18879390630346</v>
      </c>
      <c r="I545" s="3">
        <f t="shared" ref="I545:I608" si="239">I544+AF544*dt</f>
        <v>-49.780923500012776</v>
      </c>
      <c r="J545" s="2">
        <f t="shared" si="218"/>
        <v>122.73738559487552</v>
      </c>
      <c r="K545" s="2">
        <f t="shared" ref="K545:K608" si="240">J545/1.467</f>
        <v>83.665566186009215</v>
      </c>
      <c r="L545" s="5">
        <f t="shared" si="219"/>
        <v>28.511437605357912</v>
      </c>
      <c r="M545" s="3">
        <f t="shared" si="220"/>
        <v>18.366829967294837</v>
      </c>
      <c r="N545" s="2">
        <v>0</v>
      </c>
      <c r="O545" s="2">
        <f t="shared" si="221"/>
        <v>122.73738559487552</v>
      </c>
      <c r="P545" s="2">
        <f t="shared" si="222"/>
        <v>83.665566186009215</v>
      </c>
      <c r="Q545" s="5">
        <f t="shared" si="223"/>
        <v>1.034427208262501</v>
      </c>
      <c r="R545" s="5">
        <f t="shared" si="224"/>
        <v>0.16371381066535651</v>
      </c>
      <c r="S545" s="4">
        <f t="shared" ref="S545:S608" si="241">(M545/O545)</f>
        <v>0.14964332080462436</v>
      </c>
      <c r="T545" s="5">
        <f t="shared" si="225"/>
        <v>0.10730857778932237</v>
      </c>
      <c r="U545" s="4">
        <f t="shared" si="226"/>
        <v>0</v>
      </c>
      <c r="V545" s="4">
        <f t="shared" si="227"/>
        <v>0</v>
      </c>
      <c r="W545" s="5">
        <f t="shared" si="228"/>
        <v>0</v>
      </c>
      <c r="X545" s="5">
        <f t="shared" si="229"/>
        <v>-12.810040511873867</v>
      </c>
      <c r="Y545" s="5">
        <f t="shared" si="230"/>
        <v>5.6841296224847619</v>
      </c>
      <c r="Z545" s="5">
        <f>1</f>
        <v>1</v>
      </c>
      <c r="AA545" s="5">
        <f>IF(M545=0,0,const*($T545/omega)*O545*(wy*I545-wz*(H545-V545))/Z545)</f>
        <v>0</v>
      </c>
      <c r="AB545" s="5">
        <f>IF(M545=0,0,const*($T545/omega)*O545*(wz*(G545-U545)-wx*I545)/Z545)</f>
        <v>3.725744720497612</v>
      </c>
      <c r="AC545" s="5">
        <f>IF(M545=0,0,const*($T545/omega)*O545*(wx*(H545-V545)-wy*(G545-U545))/Z545)</f>
        <v>8.3965257614254085</v>
      </c>
      <c r="AD545" s="5">
        <f t="shared" si="216"/>
        <v>0</v>
      </c>
      <c r="AE545" s="5">
        <f t="shared" si="216"/>
        <v>-9.0842957913762543</v>
      </c>
      <c r="AF545" s="5">
        <f t="shared" si="231"/>
        <v>-18.09334461608983</v>
      </c>
      <c r="AG545">
        <f t="shared" si="215"/>
        <v>0</v>
      </c>
    </row>
    <row r="546" spans="1:33" x14ac:dyDescent="0.2">
      <c r="A546">
        <f t="shared" si="232"/>
        <v>5.1399999999999348</v>
      </c>
      <c r="B546" s="5">
        <f t="shared" si="233"/>
        <v>0</v>
      </c>
      <c r="C546" s="5">
        <f t="shared" si="234"/>
        <v>794.28213089361657</v>
      </c>
      <c r="D546" s="5">
        <f t="shared" si="235"/>
        <v>-7.073140863864058</v>
      </c>
      <c r="E546" s="2">
        <f t="shared" si="217"/>
        <v>264.76071029787221</v>
      </c>
      <c r="F546" s="2">
        <f t="shared" si="236"/>
        <v>0</v>
      </c>
      <c r="G546" s="3">
        <f t="shared" si="237"/>
        <v>0</v>
      </c>
      <c r="H546" s="3">
        <f t="shared" si="238"/>
        <v>112.09795094838969</v>
      </c>
      <c r="I546" s="3">
        <f t="shared" si="239"/>
        <v>-49.961856946173675</v>
      </c>
      <c r="J546" s="2">
        <f t="shared" si="218"/>
        <v>122.72790129525357</v>
      </c>
      <c r="K546" s="2">
        <f t="shared" si="240"/>
        <v>83.659101087425739</v>
      </c>
      <c r="L546" s="5">
        <f t="shared" si="219"/>
        <v>28.513640943099766</v>
      </c>
      <c r="M546" s="3">
        <f t="shared" si="220"/>
        <v>18.360644954931345</v>
      </c>
      <c r="N546" s="2">
        <v>0</v>
      </c>
      <c r="O546" s="2">
        <f t="shared" si="221"/>
        <v>122.72790129525357</v>
      </c>
      <c r="P546" s="2">
        <f t="shared" si="222"/>
        <v>83.659101087425739</v>
      </c>
      <c r="Q546" s="5">
        <f t="shared" si="223"/>
        <v>1.034347274854007</v>
      </c>
      <c r="R546" s="5">
        <f t="shared" si="224"/>
        <v>0.16370570561616357</v>
      </c>
      <c r="S546" s="4">
        <f t="shared" si="241"/>
        <v>0.14960448896425016</v>
      </c>
      <c r="T546" s="5">
        <f t="shared" si="225"/>
        <v>0.10729743846420954</v>
      </c>
      <c r="U546" s="4">
        <f t="shared" si="226"/>
        <v>0</v>
      </c>
      <c r="V546" s="4">
        <f t="shared" si="227"/>
        <v>0</v>
      </c>
      <c r="W546" s="5">
        <f t="shared" si="228"/>
        <v>0</v>
      </c>
      <c r="X546" s="5">
        <f t="shared" si="229"/>
        <v>-12.798045100789274</v>
      </c>
      <c r="Y546" s="5">
        <f t="shared" si="230"/>
        <v>5.7040658915407043</v>
      </c>
      <c r="Z546" s="5">
        <f>1</f>
        <v>1</v>
      </c>
      <c r="AA546" s="5">
        <f>IF(M546=0,0,const*($T546/omega)*O546*(wy*I546-wz*(H546-V546))/Z546)</f>
        <v>0</v>
      </c>
      <c r="AB546" s="5">
        <f>IF(M546=0,0,const*($T546/omega)*O546*(wz*(G546-U546)-wx*I546)/Z546)</f>
        <v>3.7386092115103167</v>
      </c>
      <c r="AC546" s="5">
        <f>IF(M546=0,0,const*($T546/omega)*O546*(wx*(H546-V546)-wy*(G546-U546))/Z546)</f>
        <v>8.3882076772804446</v>
      </c>
      <c r="AD546" s="5">
        <f t="shared" si="216"/>
        <v>0</v>
      </c>
      <c r="AE546" s="5">
        <f t="shared" si="216"/>
        <v>-9.0594358892789568</v>
      </c>
      <c r="AF546" s="5">
        <f t="shared" si="231"/>
        <v>-18.081726431178851</v>
      </c>
      <c r="AG546">
        <f t="shared" ref="AG546:AG609" si="242">IF($D546*$D547&lt;0,1,0)</f>
        <v>0</v>
      </c>
    </row>
    <row r="547" spans="1:33" x14ac:dyDescent="0.2">
      <c r="A547">
        <f t="shared" si="232"/>
        <v>5.1499999999999346</v>
      </c>
      <c r="B547" s="5">
        <f t="shared" si="233"/>
        <v>0</v>
      </c>
      <c r="C547" s="5">
        <f t="shared" si="234"/>
        <v>795.4026574313059</v>
      </c>
      <c r="D547" s="5">
        <f t="shared" si="235"/>
        <v>-7.5736635196473534</v>
      </c>
      <c r="E547" s="2">
        <f t="shared" si="217"/>
        <v>265.13421914376863</v>
      </c>
      <c r="F547" s="2">
        <f t="shared" si="236"/>
        <v>0</v>
      </c>
      <c r="G547" s="3">
        <f t="shared" si="237"/>
        <v>0</v>
      </c>
      <c r="H547" s="3">
        <f t="shared" si="238"/>
        <v>112.00735658949691</v>
      </c>
      <c r="I547" s="3">
        <f t="shared" si="239"/>
        <v>-50.142674210485467</v>
      </c>
      <c r="J547" s="2">
        <f t="shared" si="218"/>
        <v>122.71892970176036</v>
      </c>
      <c r="K547" s="2">
        <f t="shared" si="240"/>
        <v>83.652985481772561</v>
      </c>
      <c r="L547" s="5">
        <f t="shared" si="219"/>
        <v>28.515725485363738</v>
      </c>
      <c r="M547" s="3">
        <f t="shared" si="220"/>
        <v>18.354449171177173</v>
      </c>
      <c r="N547" s="2">
        <v>0</v>
      </c>
      <c r="O547" s="2">
        <f t="shared" si="221"/>
        <v>122.71892970176036</v>
      </c>
      <c r="P547" s="2">
        <f t="shared" si="222"/>
        <v>83.652985481772561</v>
      </c>
      <c r="Q547" s="5">
        <f t="shared" si="223"/>
        <v>1.0342716625182391</v>
      </c>
      <c r="R547" s="5">
        <f t="shared" si="224"/>
        <v>0.16369745057037552</v>
      </c>
      <c r="S547" s="4">
        <f t="shared" si="241"/>
        <v>0.14956493848001581</v>
      </c>
      <c r="T547" s="5">
        <f t="shared" si="225"/>
        <v>0.10728609120507125</v>
      </c>
      <c r="U547" s="4">
        <f t="shared" si="226"/>
        <v>0</v>
      </c>
      <c r="V547" s="4">
        <f t="shared" si="227"/>
        <v>0</v>
      </c>
      <c r="W547" s="5">
        <f t="shared" si="228"/>
        <v>0</v>
      </c>
      <c r="X547" s="5">
        <f t="shared" si="229"/>
        <v>-12.786122499234931</v>
      </c>
      <c r="Y547" s="5">
        <f t="shared" si="230"/>
        <v>5.7240023728460629</v>
      </c>
      <c r="Z547" s="5">
        <f>1</f>
        <v>1</v>
      </c>
      <c r="AA547" s="5">
        <f>IF(M547=0,0,const*($T547/omega)*O547*(wy*I547-wz*(H547-V547))/Z547)</f>
        <v>0</v>
      </c>
      <c r="AB547" s="5">
        <f>IF(M547=0,0,const*($T547/omega)*O547*(wz*(G547-U547)-wx*I547)/Z547)</f>
        <v>3.7514685689450942</v>
      </c>
      <c r="AC547" s="5">
        <f>IF(M547=0,0,const*($T547/omega)*O547*(wx*(H547-V547)-wy*(G547-U547))/Z547)</f>
        <v>8.379929558050085</v>
      </c>
      <c r="AD547" s="5">
        <f t="shared" si="216"/>
        <v>0</v>
      </c>
      <c r="AE547" s="5">
        <f t="shared" si="216"/>
        <v>-9.0346539302898368</v>
      </c>
      <c r="AF547" s="5">
        <f t="shared" si="231"/>
        <v>-18.070068069103851</v>
      </c>
      <c r="AG547">
        <f t="shared" si="242"/>
        <v>0</v>
      </c>
    </row>
    <row r="548" spans="1:33" x14ac:dyDescent="0.2">
      <c r="A548">
        <f t="shared" si="232"/>
        <v>5.1599999999999344</v>
      </c>
      <c r="B548" s="5">
        <f t="shared" si="233"/>
        <v>0</v>
      </c>
      <c r="C548" s="5">
        <f t="shared" si="234"/>
        <v>796.52227926450428</v>
      </c>
      <c r="D548" s="5">
        <f t="shared" si="235"/>
        <v>-8.0759937651556637</v>
      </c>
      <c r="E548" s="2">
        <f t="shared" si="217"/>
        <v>265.50742642150141</v>
      </c>
      <c r="F548" s="2">
        <f t="shared" si="236"/>
        <v>0</v>
      </c>
      <c r="G548" s="3">
        <f t="shared" si="237"/>
        <v>0</v>
      </c>
      <c r="H548" s="3">
        <f t="shared" si="238"/>
        <v>111.91701005019401</v>
      </c>
      <c r="I548" s="3">
        <f t="shared" si="239"/>
        <v>-50.323374891176506</v>
      </c>
      <c r="J548" s="2">
        <f t="shared" si="218"/>
        <v>122.71046898701479</v>
      </c>
      <c r="K548" s="2">
        <f t="shared" si="240"/>
        <v>83.647218123391127</v>
      </c>
      <c r="L548" s="5">
        <f t="shared" si="219"/>
        <v>28.517691604645051</v>
      </c>
      <c r="M548" s="3">
        <f t="shared" si="220"/>
        <v>18.3482425971367</v>
      </c>
      <c r="N548" s="2">
        <v>0</v>
      </c>
      <c r="O548" s="2">
        <f t="shared" si="221"/>
        <v>122.71046898701479</v>
      </c>
      <c r="P548" s="2">
        <f t="shared" si="222"/>
        <v>83.647218123391127</v>
      </c>
      <c r="Q548" s="5">
        <f t="shared" si="223"/>
        <v>1.034200355854082</v>
      </c>
      <c r="R548" s="5">
        <f t="shared" si="224"/>
        <v>0.16368904603118503</v>
      </c>
      <c r="S548" s="4">
        <f t="shared" si="241"/>
        <v>0.14952467176275164</v>
      </c>
      <c r="T548" s="5">
        <f t="shared" si="225"/>
        <v>0.1072745366048658</v>
      </c>
      <c r="U548" s="4">
        <f t="shared" si="226"/>
        <v>0</v>
      </c>
      <c r="V548" s="4">
        <f t="shared" si="227"/>
        <v>0</v>
      </c>
      <c r="W548" s="5">
        <f t="shared" si="228"/>
        <v>0</v>
      </c>
      <c r="X548" s="5">
        <f t="shared" si="229"/>
        <v>-12.774272349829046</v>
      </c>
      <c r="Y548" s="5">
        <f t="shared" si="230"/>
        <v>5.7439391575429504</v>
      </c>
      <c r="Z548" s="5">
        <f>1</f>
        <v>1</v>
      </c>
      <c r="AA548" s="5">
        <f>IF(M548=0,0,const*($T548/omega)*O548*(wy*I548-wz*(H548-V548))/Z548)</f>
        <v>0</v>
      </c>
      <c r="AB548" s="5">
        <f>IF(M548=0,0,const*($T548/omega)*O548*(wz*(G548-U548)-wx*I548)/Z548)</f>
        <v>3.7643228203222145</v>
      </c>
      <c r="AC548" s="5">
        <f>IF(M548=0,0,const*($T548/omega)*O548*(wx*(H548-V548)-wy*(G548-U548))/Z548)</f>
        <v>8.37169120364468</v>
      </c>
      <c r="AD548" s="5">
        <f t="shared" si="216"/>
        <v>0</v>
      </c>
      <c r="AE548" s="5">
        <f t="shared" si="216"/>
        <v>-9.0099495295068301</v>
      </c>
      <c r="AF548" s="5">
        <f t="shared" si="231"/>
        <v>-18.058369638812369</v>
      </c>
      <c r="AG548">
        <f t="shared" si="242"/>
        <v>0</v>
      </c>
    </row>
    <row r="549" spans="1:33" x14ac:dyDescent="0.2">
      <c r="A549">
        <f t="shared" si="232"/>
        <v>5.1699999999999342</v>
      </c>
      <c r="B549" s="5">
        <f t="shared" si="233"/>
        <v>0</v>
      </c>
      <c r="C549" s="5">
        <f t="shared" si="234"/>
        <v>797.64099886752979</v>
      </c>
      <c r="D549" s="5">
        <f t="shared" si="235"/>
        <v>-8.5801304325493692</v>
      </c>
      <c r="E549" s="2">
        <f t="shared" si="217"/>
        <v>265.88033295584324</v>
      </c>
      <c r="F549" s="2">
        <f t="shared" si="236"/>
        <v>0</v>
      </c>
      <c r="G549" s="3">
        <f t="shared" si="237"/>
        <v>0</v>
      </c>
      <c r="H549" s="3">
        <f t="shared" si="238"/>
        <v>111.82691055489894</v>
      </c>
      <c r="I549" s="3">
        <f t="shared" si="239"/>
        <v>-50.503958587564632</v>
      </c>
      <c r="J549" s="2">
        <f t="shared" si="218"/>
        <v>122.7025173224568</v>
      </c>
      <c r="K549" s="2">
        <f t="shared" si="240"/>
        <v>83.64179776581922</v>
      </c>
      <c r="L549" s="5">
        <f t="shared" si="219"/>
        <v>28.519539676897821</v>
      </c>
      <c r="M549" s="3">
        <f t="shared" si="220"/>
        <v>18.342025214390134</v>
      </c>
      <c r="N549" s="2">
        <v>0</v>
      </c>
      <c r="O549" s="2">
        <f t="shared" si="221"/>
        <v>122.7025173224568</v>
      </c>
      <c r="P549" s="2">
        <f t="shared" si="222"/>
        <v>83.64179776581922</v>
      </c>
      <c r="Q549" s="5">
        <f t="shared" si="223"/>
        <v>1.0341333394504824</v>
      </c>
      <c r="R549" s="5">
        <f t="shared" si="224"/>
        <v>0.16368049250627531</v>
      </c>
      <c r="S549" s="4">
        <f t="shared" si="241"/>
        <v>0.14948369124480226</v>
      </c>
      <c r="T549" s="5">
        <f t="shared" si="225"/>
        <v>0.10726277526131332</v>
      </c>
      <c r="U549" s="4">
        <f t="shared" si="226"/>
        <v>0</v>
      </c>
      <c r="V549" s="4">
        <f t="shared" si="227"/>
        <v>0</v>
      </c>
      <c r="W549" s="5">
        <f t="shared" si="228"/>
        <v>0</v>
      </c>
      <c r="X549" s="5">
        <f t="shared" si="229"/>
        <v>-12.762494296695142</v>
      </c>
      <c r="Y549" s="5">
        <f t="shared" si="230"/>
        <v>5.7638763356329203</v>
      </c>
      <c r="Z549" s="5">
        <f>1</f>
        <v>1</v>
      </c>
      <c r="AA549" s="5">
        <f>IF(M549=0,0,const*($T549/omega)*O549*(wy*I549-wz*(H549-V549))/Z549)</f>
        <v>0</v>
      </c>
      <c r="AB549" s="5">
        <f>IF(M549=0,0,const*($T549/omega)*O549*(wz*(G549-U549)-wx*I549)/Z549)</f>
        <v>3.7771719925591816</v>
      </c>
      <c r="AC549" s="5">
        <f>IF(M549=0,0,const*($T549/omega)*O549*(wx*(H549-V549)-wy*(G549-U549))/Z549)</f>
        <v>8.3634924147587135</v>
      </c>
      <c r="AD549" s="5">
        <f t="shared" si="216"/>
        <v>0</v>
      </c>
      <c r="AE549" s="5">
        <f t="shared" si="216"/>
        <v>-8.9853223041359591</v>
      </c>
      <c r="AF549" s="5">
        <f t="shared" si="231"/>
        <v>-18.046631249608367</v>
      </c>
      <c r="AG549">
        <f t="shared" si="242"/>
        <v>0</v>
      </c>
    </row>
    <row r="550" spans="1:33" x14ac:dyDescent="0.2">
      <c r="A550">
        <f t="shared" si="232"/>
        <v>5.179999999999934</v>
      </c>
      <c r="B550" s="5">
        <f t="shared" si="233"/>
        <v>0</v>
      </c>
      <c r="C550" s="5">
        <f t="shared" si="234"/>
        <v>798.75881870696355</v>
      </c>
      <c r="D550" s="5">
        <f t="shared" si="235"/>
        <v>-9.0860723499874965</v>
      </c>
      <c r="E550" s="2">
        <f t="shared" si="217"/>
        <v>266.25293956898787</v>
      </c>
      <c r="F550" s="2">
        <f t="shared" si="236"/>
        <v>0</v>
      </c>
      <c r="G550" s="3">
        <f t="shared" si="237"/>
        <v>0</v>
      </c>
      <c r="H550" s="3">
        <f t="shared" si="238"/>
        <v>111.73705733185759</v>
      </c>
      <c r="I550" s="3">
        <f t="shared" si="239"/>
        <v>-50.684424900060719</v>
      </c>
      <c r="J550" s="2">
        <f t="shared" si="218"/>
        <v>122.69507287838711</v>
      </c>
      <c r="K550" s="2">
        <f t="shared" si="240"/>
        <v>83.636723161818068</v>
      </c>
      <c r="L550" s="5">
        <f t="shared" si="219"/>
        <v>28.521270081493846</v>
      </c>
      <c r="M550" s="3">
        <f t="shared" si="220"/>
        <v>18.335797004992148</v>
      </c>
      <c r="N550" s="2">
        <v>0</v>
      </c>
      <c r="O550" s="2">
        <f t="shared" si="221"/>
        <v>122.69507287838711</v>
      </c>
      <c r="P550" s="2">
        <f t="shared" si="222"/>
        <v>83.636723161818068</v>
      </c>
      <c r="Q550" s="5">
        <f t="shared" si="223"/>
        <v>1.0340705978867875</v>
      </c>
      <c r="R550" s="5">
        <f t="shared" si="224"/>
        <v>0.16367179050776545</v>
      </c>
      <c r="S550" s="4">
        <f t="shared" si="241"/>
        <v>0.14944199937976502</v>
      </c>
      <c r="T550" s="5">
        <f t="shared" si="225"/>
        <v>0.10725080777684225</v>
      </c>
      <c r="U550" s="4">
        <f t="shared" si="226"/>
        <v>0</v>
      </c>
      <c r="V550" s="4">
        <f t="shared" si="227"/>
        <v>0</v>
      </c>
      <c r="W550" s="5">
        <f t="shared" si="228"/>
        <v>0</v>
      </c>
      <c r="X550" s="5">
        <f t="shared" si="229"/>
        <v>-12.750787985456354</v>
      </c>
      <c r="Y550" s="5">
        <f t="shared" si="230"/>
        <v>5.7838139959785817</v>
      </c>
      <c r="Z550" s="5">
        <f>1</f>
        <v>1</v>
      </c>
      <c r="AA550" s="5">
        <f>IF(M550=0,0,const*($T550/omega)*O550*(wy*I550-wz*(H550-V550))/Z550)</f>
        <v>0</v>
      </c>
      <c r="AB550" s="5">
        <f>IF(M550=0,0,const*($T550/omega)*O550*(wz*(G550-U550)-wx*I550)/Z550)</f>
        <v>3.790016111971827</v>
      </c>
      <c r="AC550" s="5">
        <f>IF(M550=0,0,const*($T550/omega)*O550*(wx*(H550-V550)-wy*(G550-U550))/Z550)</f>
        <v>8.3553329928688331</v>
      </c>
      <c r="AD550" s="5">
        <f t="shared" si="216"/>
        <v>0</v>
      </c>
      <c r="AE550" s="5">
        <f t="shared" si="216"/>
        <v>-8.9607718734845268</v>
      </c>
      <c r="AF550" s="5">
        <f t="shared" si="231"/>
        <v>-18.034853011152585</v>
      </c>
      <c r="AG550">
        <f t="shared" si="242"/>
        <v>0</v>
      </c>
    </row>
    <row r="551" spans="1:33" x14ac:dyDescent="0.2">
      <c r="A551">
        <f t="shared" si="232"/>
        <v>5.1899999999999338</v>
      </c>
      <c r="B551" s="5">
        <f t="shared" si="233"/>
        <v>0</v>
      </c>
      <c r="C551" s="5">
        <f t="shared" si="234"/>
        <v>799.8757412416885</v>
      </c>
      <c r="D551" s="5">
        <f t="shared" si="235"/>
        <v>-9.5938183416386611</v>
      </c>
      <c r="E551" s="2">
        <f t="shared" si="217"/>
        <v>266.62524708056281</v>
      </c>
      <c r="F551" s="2">
        <f t="shared" si="236"/>
        <v>0</v>
      </c>
      <c r="G551" s="3">
        <f t="shared" si="237"/>
        <v>0</v>
      </c>
      <c r="H551" s="3">
        <f t="shared" si="238"/>
        <v>111.64744961312275</v>
      </c>
      <c r="I551" s="3">
        <f t="shared" si="239"/>
        <v>-50.864773430172242</v>
      </c>
      <c r="J551" s="2">
        <f t="shared" si="218"/>
        <v>122.68813382400735</v>
      </c>
      <c r="K551" s="2">
        <f t="shared" si="240"/>
        <v>83.63199306339969</v>
      </c>
      <c r="L551" s="5">
        <f t="shared" si="219"/>
        <v>28.522883201181191</v>
      </c>
      <c r="M551" s="3">
        <f t="shared" si="220"/>
        <v>18.329557951470555</v>
      </c>
      <c r="N551" s="2">
        <v>0</v>
      </c>
      <c r="O551" s="2">
        <f t="shared" si="221"/>
        <v>122.68813382400735</v>
      </c>
      <c r="P551" s="2">
        <f t="shared" si="222"/>
        <v>83.63199306339969</v>
      </c>
      <c r="Q551" s="5">
        <f t="shared" si="223"/>
        <v>1.0340121157330797</v>
      </c>
      <c r="R551" s="5">
        <f t="shared" si="224"/>
        <v>0.16366294055215561</v>
      </c>
      <c r="S551" s="4">
        <f t="shared" si="241"/>
        <v>0.14939959864222718</v>
      </c>
      <c r="T551" s="5">
        <f t="shared" si="225"/>
        <v>0.10723863475853551</v>
      </c>
      <c r="U551" s="4">
        <f t="shared" si="226"/>
        <v>0</v>
      </c>
      <c r="V551" s="4">
        <f t="shared" si="227"/>
        <v>0</v>
      </c>
      <c r="W551" s="5">
        <f t="shared" si="228"/>
        <v>0</v>
      </c>
      <c r="X551" s="5">
        <f t="shared" si="229"/>
        <v>-12.739153063229793</v>
      </c>
      <c r="Y551" s="5">
        <f t="shared" si="230"/>
        <v>5.8037522263052832</v>
      </c>
      <c r="Z551" s="5">
        <f>1</f>
        <v>1</v>
      </c>
      <c r="AA551" s="5">
        <f>IF(M551=0,0,const*($T551/omega)*O551*(wy*I551-wz*(H551-V551))/Z551)</f>
        <v>0</v>
      </c>
      <c r="AB551" s="5">
        <f>IF(M551=0,0,const*($T551/omega)*O551*(wz*(G551-U551)-wx*I551)/Z551)</f>
        <v>3.8028552042754566</v>
      </c>
      <c r="AC551" s="5">
        <f>IF(M551=0,0,const*($T551/omega)*O551*(wx*(H551-V551)-wy*(G551-U551))/Z551)</f>
        <v>8.3472127402319565</v>
      </c>
      <c r="AD551" s="5">
        <f t="shared" si="216"/>
        <v>0</v>
      </c>
      <c r="AE551" s="5">
        <f t="shared" si="216"/>
        <v>-8.9362978589543367</v>
      </c>
      <c r="AF551" s="5">
        <f t="shared" si="231"/>
        <v>-18.023035033462762</v>
      </c>
      <c r="AG551">
        <f t="shared" si="242"/>
        <v>0</v>
      </c>
    </row>
    <row r="552" spans="1:33" x14ac:dyDescent="0.2">
      <c r="A552">
        <f t="shared" si="232"/>
        <v>5.1999999999999336</v>
      </c>
      <c r="B552" s="5">
        <f t="shared" si="233"/>
        <v>0</v>
      </c>
      <c r="C552" s="5">
        <f t="shared" si="234"/>
        <v>800.99176892292678</v>
      </c>
      <c r="D552" s="5">
        <f t="shared" si="235"/>
        <v>-10.103367227692058</v>
      </c>
      <c r="E552" s="2">
        <f t="shared" si="217"/>
        <v>266.99725630764226</v>
      </c>
      <c r="F552" s="2">
        <f t="shared" si="236"/>
        <v>0</v>
      </c>
      <c r="G552" s="3">
        <f t="shared" si="237"/>
        <v>0</v>
      </c>
      <c r="H552" s="3">
        <f t="shared" si="238"/>
        <v>111.5580866345332</v>
      </c>
      <c r="I552" s="3">
        <f t="shared" si="239"/>
        <v>-51.045003780506867</v>
      </c>
      <c r="J552" s="2">
        <f t="shared" si="218"/>
        <v>122.6816983274603</v>
      </c>
      <c r="K552" s="2">
        <f t="shared" si="240"/>
        <v>83.627606221854322</v>
      </c>
      <c r="L552" s="5">
        <f t="shared" si="219"/>
        <v>28.524379422042617</v>
      </c>
      <c r="M552" s="3">
        <f t="shared" si="220"/>
        <v>18.323308036824908</v>
      </c>
      <c r="N552" s="2">
        <v>0</v>
      </c>
      <c r="O552" s="2">
        <f t="shared" si="221"/>
        <v>122.6816983274603</v>
      </c>
      <c r="P552" s="2">
        <f t="shared" si="222"/>
        <v>83.627606221854322</v>
      </c>
      <c r="Q552" s="5">
        <f t="shared" si="223"/>
        <v>1.0339578775505187</v>
      </c>
      <c r="R552" s="5">
        <f t="shared" si="224"/>
        <v>0.16365394316027193</v>
      </c>
      <c r="S552" s="4">
        <f t="shared" si="241"/>
        <v>0.14935649152750224</v>
      </c>
      <c r="T552" s="5">
        <f t="shared" si="225"/>
        <v>0.10722625681807671</v>
      </c>
      <c r="U552" s="4">
        <f t="shared" si="226"/>
        <v>0</v>
      </c>
      <c r="V552" s="4">
        <f t="shared" si="227"/>
        <v>0</v>
      </c>
      <c r="W552" s="5">
        <f t="shared" si="228"/>
        <v>0</v>
      </c>
      <c r="X552" s="5">
        <f t="shared" si="229"/>
        <v>-12.727589178620965</v>
      </c>
      <c r="Y552" s="5">
        <f t="shared" si="230"/>
        <v>5.8236911132028579</v>
      </c>
      <c r="Z552" s="5">
        <f>1</f>
        <v>1</v>
      </c>
      <c r="AA552" s="5">
        <f>IF(M552=0,0,const*($T552/omega)*O552*(wy*I552-wz*(H552-V552))/Z552)</f>
        <v>0</v>
      </c>
      <c r="AB552" s="5">
        <f>IF(M552=0,0,const*($T552/omega)*O552*(wz*(G552-U552)-wx*I552)/Z552)</f>
        <v>3.8156892945860328</v>
      </c>
      <c r="AC552" s="5">
        <f>IF(M552=0,0,const*($T552/omega)*O552*(wx*(H552-V552)-wy*(G552-U552))/Z552)</f>
        <v>8.3391314598833528</v>
      </c>
      <c r="AD552" s="5">
        <f t="shared" si="216"/>
        <v>0</v>
      </c>
      <c r="AE552" s="5">
        <f t="shared" si="216"/>
        <v>-8.9118998840349324</v>
      </c>
      <c r="AF552" s="5">
        <f t="shared" si="231"/>
        <v>-18.01117742691379</v>
      </c>
      <c r="AG552">
        <f t="shared" si="242"/>
        <v>0</v>
      </c>
    </row>
    <row r="553" spans="1:33" x14ac:dyDescent="0.2">
      <c r="A553">
        <f t="shared" si="232"/>
        <v>5.2099999999999334</v>
      </c>
      <c r="B553" s="5">
        <f t="shared" si="233"/>
        <v>0</v>
      </c>
      <c r="C553" s="5">
        <f t="shared" si="234"/>
        <v>802.10690419427794</v>
      </c>
      <c r="D553" s="5">
        <f t="shared" si="235"/>
        <v>-10.614717824368471</v>
      </c>
      <c r="E553" s="2">
        <f t="shared" si="217"/>
        <v>267.36896806475931</v>
      </c>
      <c r="F553" s="2">
        <f t="shared" si="236"/>
        <v>0</v>
      </c>
      <c r="G553" s="3">
        <f t="shared" si="237"/>
        <v>0</v>
      </c>
      <c r="H553" s="3">
        <f t="shared" si="238"/>
        <v>111.46896763569285</v>
      </c>
      <c r="I553" s="3">
        <f t="shared" si="239"/>
        <v>-51.225115554776004</v>
      </c>
      <c r="J553" s="2">
        <f t="shared" si="218"/>
        <v>122.67576455587017</v>
      </c>
      <c r="K553" s="2">
        <f t="shared" si="240"/>
        <v>83.623561387777897</v>
      </c>
      <c r="L553" s="5">
        <f t="shared" si="219"/>
        <v>28.52575913345386</v>
      </c>
      <c r="M553" s="3">
        <f t="shared" si="220"/>
        <v>18.317047244525124</v>
      </c>
      <c r="N553" s="2">
        <v>0</v>
      </c>
      <c r="O553" s="2">
        <f t="shared" si="221"/>
        <v>122.67576455587017</v>
      </c>
      <c r="P553" s="2">
        <f t="shared" si="222"/>
        <v>83.623561387777897</v>
      </c>
      <c r="Q553" s="5">
        <f t="shared" si="223"/>
        <v>1.0339078678916793</v>
      </c>
      <c r="R553" s="5">
        <f t="shared" si="224"/>
        <v>0.16364479885721137</v>
      </c>
      <c r="S553" s="4">
        <f t="shared" si="241"/>
        <v>0.14931268055136512</v>
      </c>
      <c r="T553" s="5">
        <f t="shared" si="225"/>
        <v>0.10721367457169599</v>
      </c>
      <c r="U553" s="4">
        <f t="shared" si="226"/>
        <v>0</v>
      </c>
      <c r="V553" s="4">
        <f t="shared" si="227"/>
        <v>0</v>
      </c>
      <c r="W553" s="5">
        <f t="shared" si="228"/>
        <v>0</v>
      </c>
      <c r="X553" s="5">
        <f t="shared" si="229"/>
        <v>-12.716095981718224</v>
      </c>
      <c r="Y553" s="5">
        <f t="shared" si="230"/>
        <v>5.8436307421273996</v>
      </c>
      <c r="Z553" s="5">
        <f>1</f>
        <v>1</v>
      </c>
      <c r="AA553" s="5">
        <f>IF(M553=0,0,const*($T553/omega)*O553*(wy*I553-wz*(H553-V553))/Z553)</f>
        <v>0</v>
      </c>
      <c r="AB553" s="5">
        <f>IF(M553=0,0,const*($T553/omega)*O553*(wz*(G553-U553)-wx*I553)/Z553)</f>
        <v>3.8285184074213947</v>
      </c>
      <c r="AC553" s="5">
        <f>IF(M553=0,0,const*($T553/omega)*O553*(wx*(H553-V553)-wy*(G553-U553))/Z553)</f>
        <v>8.3310889556347796</v>
      </c>
      <c r="AD553" s="5">
        <f t="shared" si="216"/>
        <v>0</v>
      </c>
      <c r="AE553" s="5">
        <f t="shared" si="216"/>
        <v>-8.887577574296829</v>
      </c>
      <c r="AF553" s="5">
        <f t="shared" si="231"/>
        <v>-17.999280302237821</v>
      </c>
      <c r="AG553">
        <f t="shared" si="242"/>
        <v>0</v>
      </c>
    </row>
    <row r="554" spans="1:33" x14ac:dyDescent="0.2">
      <c r="A554">
        <f t="shared" si="232"/>
        <v>5.2199999999999331</v>
      </c>
      <c r="B554" s="5">
        <f t="shared" si="233"/>
        <v>0</v>
      </c>
      <c r="C554" s="5">
        <f t="shared" si="234"/>
        <v>803.22114949175614</v>
      </c>
      <c r="D554" s="5">
        <f t="shared" si="235"/>
        <v>-11.127868943931343</v>
      </c>
      <c r="E554" s="2">
        <f t="shared" si="217"/>
        <v>267.74038316391869</v>
      </c>
      <c r="F554" s="2">
        <f t="shared" si="236"/>
        <v>0</v>
      </c>
      <c r="G554" s="3">
        <f t="shared" si="237"/>
        <v>0</v>
      </c>
      <c r="H554" s="3">
        <f t="shared" si="238"/>
        <v>111.38009185994989</v>
      </c>
      <c r="I554" s="3">
        <f t="shared" si="239"/>
        <v>-51.405108357798383</v>
      </c>
      <c r="J554" s="2">
        <f t="shared" si="218"/>
        <v>122.67033067538324</v>
      </c>
      <c r="K554" s="2">
        <f t="shared" si="240"/>
        <v>83.619857311099679</v>
      </c>
      <c r="L554" s="5">
        <f t="shared" si="219"/>
        <v>28.527022728041704</v>
      </c>
      <c r="M554" s="3">
        <f t="shared" si="220"/>
        <v>18.310775558510059</v>
      </c>
      <c r="N554" s="2">
        <v>0</v>
      </c>
      <c r="O554" s="2">
        <f t="shared" si="221"/>
        <v>122.67033067538324</v>
      </c>
      <c r="P554" s="2">
        <f t="shared" si="222"/>
        <v>83.619857311099679</v>
      </c>
      <c r="Q554" s="5">
        <f t="shared" si="223"/>
        <v>1.0338620713008941</v>
      </c>
      <c r="R554" s="5">
        <f t="shared" si="224"/>
        <v>0.16363550817228611</v>
      </c>
      <c r="S554" s="4">
        <f t="shared" si="241"/>
        <v>0.14926816824978656</v>
      </c>
      <c r="T554" s="5">
        <f t="shared" si="225"/>
        <v>0.10720088864011566</v>
      </c>
      <c r="U554" s="4">
        <f t="shared" si="226"/>
        <v>0</v>
      </c>
      <c r="V554" s="4">
        <f t="shared" si="227"/>
        <v>0</v>
      </c>
      <c r="W554" s="5">
        <f t="shared" si="228"/>
        <v>0</v>
      </c>
      <c r="X554" s="5">
        <f t="shared" si="229"/>
        <v>-12.704673124087263</v>
      </c>
      <c r="Y554" s="5">
        <f t="shared" si="230"/>
        <v>5.8635711974031093</v>
      </c>
      <c r="Z554" s="5">
        <f>1</f>
        <v>1</v>
      </c>
      <c r="AA554" s="5">
        <f>IF(M554=0,0,const*($T554/omega)*O554*(wy*I554-wz*(H554-V554))/Z554)</f>
        <v>0</v>
      </c>
      <c r="AB554" s="5">
        <f>IF(M554=0,0,const*($T554/omega)*O554*(wz*(G554-U554)-wx*I554)/Z554)</f>
        <v>3.8413425667025183</v>
      </c>
      <c r="AC554" s="5">
        <f>IF(M554=0,0,const*($T554/omega)*O554*(wx*(H554-V554)-wy*(G554-U554))/Z554)</f>
        <v>8.3230850320726066</v>
      </c>
      <c r="AD554" s="5">
        <f t="shared" si="216"/>
        <v>0</v>
      </c>
      <c r="AE554" s="5">
        <f t="shared" si="216"/>
        <v>-8.8633305573847441</v>
      </c>
      <c r="AF554" s="5">
        <f t="shared" si="231"/>
        <v>-17.987343770524284</v>
      </c>
      <c r="AG554">
        <f t="shared" si="242"/>
        <v>0</v>
      </c>
    </row>
    <row r="555" spans="1:33" x14ac:dyDescent="0.2">
      <c r="A555">
        <f t="shared" si="232"/>
        <v>5.2299999999999329</v>
      </c>
      <c r="B555" s="5">
        <f t="shared" si="233"/>
        <v>0</v>
      </c>
      <c r="C555" s="5">
        <f t="shared" si="234"/>
        <v>804.33450724382783</v>
      </c>
      <c r="D555" s="5">
        <f t="shared" si="235"/>
        <v>-11.642819394697852</v>
      </c>
      <c r="E555" s="2">
        <f t="shared" si="217"/>
        <v>268.11150241460928</v>
      </c>
      <c r="F555" s="2">
        <f t="shared" si="236"/>
        <v>0</v>
      </c>
      <c r="G555" s="3">
        <f t="shared" si="237"/>
        <v>0</v>
      </c>
      <c r="H555" s="3">
        <f t="shared" si="238"/>
        <v>111.29145855437604</v>
      </c>
      <c r="I555" s="3">
        <f t="shared" si="239"/>
        <v>-51.584981795503623</v>
      </c>
      <c r="J555" s="2">
        <f t="shared" si="218"/>
        <v>122.6653948512083</v>
      </c>
      <c r="K555" s="2">
        <f t="shared" si="240"/>
        <v>83.616492741109951</v>
      </c>
      <c r="L555" s="5">
        <f t="shared" si="219"/>
        <v>28.528170601642</v>
      </c>
      <c r="M555" s="3">
        <f t="shared" si="220"/>
        <v>18.304492963186096</v>
      </c>
      <c r="N555" s="2">
        <v>0</v>
      </c>
      <c r="O555" s="2">
        <f t="shared" si="221"/>
        <v>122.6653948512083</v>
      </c>
      <c r="P555" s="2">
        <f t="shared" si="222"/>
        <v>83.616492741109951</v>
      </c>
      <c r="Q555" s="5">
        <f t="shared" si="223"/>
        <v>1.033820472314595</v>
      </c>
      <c r="R555" s="5">
        <f t="shared" si="224"/>
        <v>0.16362607163896808</v>
      </c>
      <c r="S555" s="4">
        <f t="shared" si="241"/>
        <v>0.14922295717866668</v>
      </c>
      <c r="T555" s="5">
        <f t="shared" si="225"/>
        <v>0.10718789964849594</v>
      </c>
      <c r="U555" s="4">
        <f t="shared" si="226"/>
        <v>0</v>
      </c>
      <c r="V555" s="4">
        <f t="shared" si="227"/>
        <v>0</v>
      </c>
      <c r="W555" s="5">
        <f t="shared" si="228"/>
        <v>0</v>
      </c>
      <c r="X555" s="5">
        <f t="shared" si="229"/>
        <v>-12.693320258765665</v>
      </c>
      <c r="Y555" s="5">
        <f t="shared" si="230"/>
        <v>5.8835125622241904</v>
      </c>
      <c r="Z555" s="5">
        <f>1</f>
        <v>1</v>
      </c>
      <c r="AA555" s="5">
        <f>IF(M555=0,0,const*($T555/omega)*O555*(wy*I555-wz*(H555-V555))/Z555)</f>
        <v>0</v>
      </c>
      <c r="AB555" s="5">
        <f>IF(M555=0,0,const*($T555/omega)*O555*(wz*(G555-U555)-wx*I555)/Z555)</f>
        <v>3.8541617957548175</v>
      </c>
      <c r="AC555" s="5">
        <f>IF(M555=0,0,const*($T555/omega)*O555*(wx*(H555-V555)-wy*(G555-U555))/Z555)</f>
        <v>8.3151194945559652</v>
      </c>
      <c r="AD555" s="5">
        <f t="shared" si="216"/>
        <v>0</v>
      </c>
      <c r="AE555" s="5">
        <f t="shared" si="216"/>
        <v>-8.8391584630108468</v>
      </c>
      <c r="AF555" s="5">
        <f t="shared" si="231"/>
        <v>-17.975367943219844</v>
      </c>
      <c r="AG555">
        <f t="shared" si="242"/>
        <v>0</v>
      </c>
    </row>
    <row r="556" spans="1:33" x14ac:dyDescent="0.2">
      <c r="A556">
        <f t="shared" si="232"/>
        <v>5.2399999999999327</v>
      </c>
      <c r="B556" s="5">
        <f t="shared" si="233"/>
        <v>0</v>
      </c>
      <c r="C556" s="5">
        <f t="shared" si="234"/>
        <v>805.44697987144843</v>
      </c>
      <c r="D556" s="5">
        <f t="shared" si="235"/>
        <v>-12.159567981050049</v>
      </c>
      <c r="E556" s="2">
        <f t="shared" si="217"/>
        <v>268.48232662381616</v>
      </c>
      <c r="F556" s="2">
        <f t="shared" si="236"/>
        <v>0</v>
      </c>
      <c r="G556" s="3">
        <f t="shared" si="237"/>
        <v>0</v>
      </c>
      <c r="H556" s="3">
        <f t="shared" si="238"/>
        <v>111.20306696974593</v>
      </c>
      <c r="I556" s="3">
        <f t="shared" si="239"/>
        <v>-51.764735474935819</v>
      </c>
      <c r="J556" s="2">
        <f t="shared" si="218"/>
        <v>122.66095524765767</v>
      </c>
      <c r="K556" s="2">
        <f t="shared" si="240"/>
        <v>83.613466426487847</v>
      </c>
      <c r="L556" s="5">
        <f t="shared" si="219"/>
        <v>28.52920315325747</v>
      </c>
      <c r="M556" s="3">
        <f t="shared" si="220"/>
        <v>18.298199443425677</v>
      </c>
      <c r="N556" s="2">
        <v>0</v>
      </c>
      <c r="O556" s="2">
        <f t="shared" si="221"/>
        <v>122.66095524765767</v>
      </c>
      <c r="P556" s="2">
        <f t="shared" si="222"/>
        <v>83.613466426487847</v>
      </c>
      <c r="Q556" s="5">
        <f t="shared" si="223"/>
        <v>1.0337830554616581</v>
      </c>
      <c r="R556" s="5">
        <f t="shared" si="224"/>
        <v>0.16361648979483304</v>
      </c>
      <c r="S556" s="4">
        <f t="shared" si="241"/>
        <v>0.14917704991356734</v>
      </c>
      <c r="T556" s="5">
        <f t="shared" si="225"/>
        <v>0.10717470822638007</v>
      </c>
      <c r="U556" s="4">
        <f t="shared" si="226"/>
        <v>0</v>
      </c>
      <c r="V556" s="4">
        <f t="shared" si="227"/>
        <v>0</v>
      </c>
      <c r="W556" s="5">
        <f t="shared" si="228"/>
        <v>0</v>
      </c>
      <c r="X556" s="5">
        <f t="shared" si="229"/>
        <v>-12.682037040257491</v>
      </c>
      <c r="Y556" s="5">
        <f t="shared" si="230"/>
        <v>5.9034549186567897</v>
      </c>
      <c r="Z556" s="5">
        <f>1</f>
        <v>1</v>
      </c>
      <c r="AA556" s="5">
        <f>IF(M556=0,0,const*($T556/omega)*O556*(wy*I556-wz*(H556-V556))/Z556)</f>
        <v>0</v>
      </c>
      <c r="AB556" s="5">
        <f>IF(M556=0,0,const*($T556/omega)*O556*(wz*(G556-U556)-wx*I556)/Z556)</f>
        <v>3.8669761173094814</v>
      </c>
      <c r="AC556" s="5">
        <f>IF(M556=0,0,const*($T556/omega)*O556*(wx*(H556-V556)-wy*(G556-U556))/Z556)</f>
        <v>8.307192149214929</v>
      </c>
      <c r="AD556" s="5">
        <f t="shared" si="216"/>
        <v>0</v>
      </c>
      <c r="AE556" s="5">
        <f t="shared" si="216"/>
        <v>-8.8150609229480104</v>
      </c>
      <c r="AF556" s="5">
        <f t="shared" si="231"/>
        <v>-17.963352932128281</v>
      </c>
      <c r="AG556">
        <f t="shared" si="242"/>
        <v>0</v>
      </c>
    </row>
    <row r="557" spans="1:33" x14ac:dyDescent="0.2">
      <c r="A557">
        <f t="shared" si="232"/>
        <v>5.2499999999999325</v>
      </c>
      <c r="B557" s="5">
        <f t="shared" si="233"/>
        <v>0</v>
      </c>
      <c r="C557" s="5">
        <f t="shared" si="234"/>
        <v>806.5585697880997</v>
      </c>
      <c r="D557" s="5">
        <f t="shared" si="235"/>
        <v>-12.678113503446015</v>
      </c>
      <c r="E557" s="2">
        <f t="shared" si="217"/>
        <v>268.85285659603323</v>
      </c>
      <c r="F557" s="2">
        <f t="shared" si="236"/>
        <v>0</v>
      </c>
      <c r="G557" s="3">
        <f t="shared" si="237"/>
        <v>0</v>
      </c>
      <c r="H557" s="3">
        <f t="shared" si="238"/>
        <v>111.11491636051645</v>
      </c>
      <c r="I557" s="3">
        <f t="shared" si="239"/>
        <v>-51.944369004257105</v>
      </c>
      <c r="J557" s="2">
        <f t="shared" si="218"/>
        <v>122.65701002818791</v>
      </c>
      <c r="K557" s="2">
        <f t="shared" si="240"/>
        <v>83.610777115329185</v>
      </c>
      <c r="L557" s="5">
        <f t="shared" si="219"/>
        <v>28.530120785015423</v>
      </c>
      <c r="M557" s="3">
        <f t="shared" si="220"/>
        <v>18.291894984565864</v>
      </c>
      <c r="N557" s="2">
        <v>0</v>
      </c>
      <c r="O557" s="2">
        <f t="shared" si="221"/>
        <v>122.65701002818791</v>
      </c>
      <c r="P557" s="2">
        <f t="shared" si="222"/>
        <v>83.610777115329185</v>
      </c>
      <c r="Q557" s="5">
        <f t="shared" si="223"/>
        <v>1.0337498052637473</v>
      </c>
      <c r="R557" s="5">
        <f t="shared" si="224"/>
        <v>0.16360676318150463</v>
      </c>
      <c r="S557" s="4">
        <f t="shared" si="241"/>
        <v>0.14913044904944436</v>
      </c>
      <c r="T557" s="5">
        <f t="shared" si="225"/>
        <v>0.10716131500763988</v>
      </c>
      <c r="U557" s="4">
        <f t="shared" si="226"/>
        <v>0</v>
      </c>
      <c r="V557" s="4">
        <f t="shared" si="227"/>
        <v>0</v>
      </c>
      <c r="W557" s="5">
        <f t="shared" si="228"/>
        <v>0</v>
      </c>
      <c r="X557" s="5">
        <f t="shared" si="229"/>
        <v>-12.67082312452791</v>
      </c>
      <c r="Y557" s="5">
        <f t="shared" si="230"/>
        <v>5.9233983476410064</v>
      </c>
      <c r="Z557" s="5">
        <f>1</f>
        <v>1</v>
      </c>
      <c r="AA557" s="5">
        <f>IF(M557=0,0,const*($T557/omega)*O557*(wy*I557-wz*(H557-V557))/Z557)</f>
        <v>0</v>
      </c>
      <c r="AB557" s="5">
        <f>IF(M557=0,0,const*($T557/omega)*O557*(wz*(G557-U557)-wx*I557)/Z557)</f>
        <v>3.8797855535048531</v>
      </c>
      <c r="AC557" s="5">
        <f>IF(M557=0,0,const*($T557/omega)*O557*(wx*(H557-V557)-wy*(G557-U557))/Z557)</f>
        <v>8.2993028029486844</v>
      </c>
      <c r="AD557" s="5">
        <f t="shared" si="216"/>
        <v>0</v>
      </c>
      <c r="AE557" s="5">
        <f t="shared" si="216"/>
        <v>-8.7910375710230575</v>
      </c>
      <c r="AF557" s="5">
        <f t="shared" si="231"/>
        <v>-17.951298849410307</v>
      </c>
      <c r="AG557">
        <f t="shared" si="242"/>
        <v>0</v>
      </c>
    </row>
    <row r="558" spans="1:33" x14ac:dyDescent="0.2">
      <c r="A558">
        <f t="shared" si="232"/>
        <v>5.2599999999999323</v>
      </c>
      <c r="B558" s="5">
        <f t="shared" si="233"/>
        <v>0</v>
      </c>
      <c r="C558" s="5">
        <f t="shared" si="234"/>
        <v>807.66927939982634</v>
      </c>
      <c r="D558" s="5">
        <f t="shared" si="235"/>
        <v>-13.198454758431057</v>
      </c>
      <c r="E558" s="2">
        <f t="shared" si="217"/>
        <v>269.22309313327543</v>
      </c>
      <c r="F558" s="2">
        <f t="shared" si="236"/>
        <v>0</v>
      </c>
      <c r="G558" s="3">
        <f t="shared" si="237"/>
        <v>0</v>
      </c>
      <c r="H558" s="3">
        <f t="shared" si="238"/>
        <v>111.02700598480621</v>
      </c>
      <c r="I558" s="3">
        <f t="shared" si="239"/>
        <v>-52.123881992751208</v>
      </c>
      <c r="J558" s="2">
        <f t="shared" si="218"/>
        <v>122.65355735544097</v>
      </c>
      <c r="K558" s="2">
        <f t="shared" si="240"/>
        <v>83.608423555174483</v>
      </c>
      <c r="L558" s="5">
        <f t="shared" si="219"/>
        <v>28.530923902125309</v>
      </c>
      <c r="M558" s="3">
        <f t="shared" si="220"/>
        <v>18.285579572406814</v>
      </c>
      <c r="N558" s="2">
        <v>0</v>
      </c>
      <c r="O558" s="2">
        <f t="shared" si="221"/>
        <v>122.65355735544097</v>
      </c>
      <c r="P558" s="2">
        <f t="shared" si="222"/>
        <v>83.608423555174483</v>
      </c>
      <c r="Q558" s="5">
        <f t="shared" si="223"/>
        <v>1.033720706235661</v>
      </c>
      <c r="R558" s="5">
        <f t="shared" si="224"/>
        <v>0.16359689234459834</v>
      </c>
      <c r="S558" s="4">
        <f t="shared" si="241"/>
        <v>0.14908315720037824</v>
      </c>
      <c r="T558" s="5">
        <f t="shared" si="225"/>
        <v>0.10714772063042051</v>
      </c>
      <c r="U558" s="4">
        <f t="shared" si="226"/>
        <v>0</v>
      </c>
      <c r="V558" s="4">
        <f t="shared" si="227"/>
        <v>0</v>
      </c>
      <c r="W558" s="5">
        <f t="shared" si="228"/>
        <v>0</v>
      </c>
      <c r="X558" s="5">
        <f t="shared" si="229"/>
        <v>-12.659678168997868</v>
      </c>
      <c r="Y558" s="5">
        <f t="shared" si="230"/>
        <v>5.9433429289929283</v>
      </c>
      <c r="Z558" s="5">
        <f>1</f>
        <v>1</v>
      </c>
      <c r="AA558" s="5">
        <f>IF(M558=0,0,const*($T558/omega)*O558*(wy*I558-wz*(H558-V558))/Z558)</f>
        <v>0</v>
      </c>
      <c r="AB558" s="5">
        <f>IF(M558=0,0,const*($T558/omega)*O558*(wz*(G558-U558)-wx*I558)/Z558)</f>
        <v>3.8925901258878408</v>
      </c>
      <c r="AC558" s="5">
        <f>IF(M558=0,0,const*($T558/omega)*O558*(wx*(H558-V558)-wy*(G558-U558))/Z558)</f>
        <v>8.2914512634237383</v>
      </c>
      <c r="AD558" s="5">
        <f t="shared" si="216"/>
        <v>0</v>
      </c>
      <c r="AE558" s="5">
        <f t="shared" si="216"/>
        <v>-8.7670880431100269</v>
      </c>
      <c r="AF558" s="5">
        <f t="shared" si="231"/>
        <v>-17.939205807583335</v>
      </c>
      <c r="AG558">
        <f t="shared" si="242"/>
        <v>0</v>
      </c>
    </row>
    <row r="559" spans="1:33" x14ac:dyDescent="0.2">
      <c r="A559">
        <f t="shared" si="232"/>
        <v>5.2699999999999321</v>
      </c>
      <c r="B559" s="5">
        <f t="shared" si="233"/>
        <v>0</v>
      </c>
      <c r="C559" s="5">
        <f t="shared" si="234"/>
        <v>808.77911110527225</v>
      </c>
      <c r="D559" s="5">
        <f t="shared" si="235"/>
        <v>-13.720590538648949</v>
      </c>
      <c r="E559" s="2">
        <f t="shared" si="217"/>
        <v>269.59303703509073</v>
      </c>
      <c r="F559" s="2">
        <f t="shared" si="236"/>
        <v>0</v>
      </c>
      <c r="G559" s="3">
        <f t="shared" si="237"/>
        <v>0</v>
      </c>
      <c r="H559" s="3">
        <f t="shared" si="238"/>
        <v>110.9393351043751</v>
      </c>
      <c r="I559" s="3">
        <f t="shared" si="239"/>
        <v>-52.303274050827042</v>
      </c>
      <c r="J559" s="2">
        <f t="shared" si="218"/>
        <v>122.65059539128521</v>
      </c>
      <c r="K559" s="2">
        <f t="shared" si="240"/>
        <v>83.606404493036948</v>
      </c>
      <c r="L559" s="5">
        <f t="shared" si="219"/>
        <v>28.531612912836263</v>
      </c>
      <c r="M559" s="3">
        <f t="shared" si="220"/>
        <v>18.27925319321033</v>
      </c>
      <c r="N559" s="2">
        <v>0</v>
      </c>
      <c r="O559" s="2">
        <f t="shared" si="221"/>
        <v>122.65059539128521</v>
      </c>
      <c r="P559" s="2">
        <f t="shared" si="222"/>
        <v>83.606404493036948</v>
      </c>
      <c r="Q559" s="5">
        <f t="shared" si="223"/>
        <v>1.0336957428856779</v>
      </c>
      <c r="R559" s="5">
        <f t="shared" si="224"/>
        <v>0.1635868778336651</v>
      </c>
      <c r="S559" s="4">
        <f t="shared" si="241"/>
        <v>0.14903517699930496</v>
      </c>
      <c r="T559" s="5">
        <f t="shared" si="225"/>
        <v>0.1071339257370857</v>
      </c>
      <c r="U559" s="4">
        <f t="shared" si="226"/>
        <v>0</v>
      </c>
      <c r="V559" s="4">
        <f t="shared" si="227"/>
        <v>0</v>
      </c>
      <c r="W559" s="5">
        <f t="shared" si="228"/>
        <v>0</v>
      </c>
      <c r="X559" s="5">
        <f t="shared" si="229"/>
        <v>-12.6486018325388</v>
      </c>
      <c r="Y559" s="5">
        <f t="shared" si="230"/>
        <v>5.9632887414067435</v>
      </c>
      <c r="Z559" s="5">
        <f>1</f>
        <v>1</v>
      </c>
      <c r="AA559" s="5">
        <f>IF(M559=0,0,const*($T559/omega)*O559*(wy*I559-wz*(H559-V559))/Z559)</f>
        <v>0</v>
      </c>
      <c r="AB559" s="5">
        <f>IF(M559=0,0,const*($T559/omega)*O559*(wz*(G559-U559)-wx*I559)/Z559)</f>
        <v>3.905389855415371</v>
      </c>
      <c r="AC559" s="5">
        <f>IF(M559=0,0,const*($T559/omega)*O559*(wx*(H559-V559)-wy*(G559-U559))/Z559)</f>
        <v>8.2836373390721221</v>
      </c>
      <c r="AD559" s="5">
        <f t="shared" si="216"/>
        <v>0</v>
      </c>
      <c r="AE559" s="5">
        <f t="shared" si="216"/>
        <v>-8.7432119771234298</v>
      </c>
      <c r="AF559" s="5">
        <f t="shared" si="231"/>
        <v>-17.927073919521135</v>
      </c>
      <c r="AG559">
        <f t="shared" si="242"/>
        <v>0</v>
      </c>
    </row>
    <row r="560" spans="1:33" x14ac:dyDescent="0.2">
      <c r="A560">
        <f t="shared" si="232"/>
        <v>5.2799999999999319</v>
      </c>
      <c r="B560" s="5">
        <f t="shared" si="233"/>
        <v>0</v>
      </c>
      <c r="C560" s="5">
        <f t="shared" si="234"/>
        <v>809.88806729571718</v>
      </c>
      <c r="D560" s="5">
        <f t="shared" si="235"/>
        <v>-14.244519632853196</v>
      </c>
      <c r="E560" s="2">
        <f t="shared" si="217"/>
        <v>269.96268909857241</v>
      </c>
      <c r="F560" s="2">
        <f t="shared" si="236"/>
        <v>0</v>
      </c>
      <c r="G560" s="3">
        <f t="shared" si="237"/>
        <v>0</v>
      </c>
      <c r="H560" s="3">
        <f t="shared" si="238"/>
        <v>110.85190298460387</v>
      </c>
      <c r="I560" s="3">
        <f t="shared" si="239"/>
        <v>-52.482544790022253</v>
      </c>
      <c r="J560" s="2">
        <f t="shared" si="218"/>
        <v>122.6481222968567</v>
      </c>
      <c r="K560" s="2">
        <f t="shared" si="240"/>
        <v>83.604718675430604</v>
      </c>
      <c r="L560" s="5">
        <f t="shared" si="219"/>
        <v>28.532188228394375</v>
      </c>
      <c r="M560" s="3">
        <f t="shared" si="220"/>
        <v>18.272915833698292</v>
      </c>
      <c r="N560" s="2">
        <v>0</v>
      </c>
      <c r="O560" s="2">
        <f t="shared" si="221"/>
        <v>122.6481222968567</v>
      </c>
      <c r="P560" s="2">
        <f t="shared" si="222"/>
        <v>83.604718675430604</v>
      </c>
      <c r="Q560" s="5">
        <f t="shared" si="223"/>
        <v>1.0336748997159046</v>
      </c>
      <c r="R560" s="5">
        <f t="shared" si="224"/>
        <v>0.16357672020213498</v>
      </c>
      <c r="S560" s="4">
        <f t="shared" si="241"/>
        <v>0.14898651109774552</v>
      </c>
      <c r="T560" s="5">
        <f t="shared" si="225"/>
        <v>0.10711993097416241</v>
      </c>
      <c r="U560" s="4">
        <f t="shared" si="226"/>
        <v>0</v>
      </c>
      <c r="V560" s="4">
        <f t="shared" si="227"/>
        <v>0</v>
      </c>
      <c r="W560" s="5">
        <f t="shared" si="228"/>
        <v>0</v>
      </c>
      <c r="X560" s="5">
        <f t="shared" si="229"/>
        <v>-12.637593775467378</v>
      </c>
      <c r="Y560" s="5">
        <f t="shared" si="230"/>
        <v>5.9832358624568833</v>
      </c>
      <c r="Z560" s="5">
        <f>1</f>
        <v>1</v>
      </c>
      <c r="AA560" s="5">
        <f>IF(M560=0,0,const*($T560/omega)*O560*(wy*I560-wz*(H560-V560))/Z560)</f>
        <v>0</v>
      </c>
      <c r="AB560" s="5">
        <f>IF(M560=0,0,const*($T560/omega)*O560*(wz*(G560-U560)-wx*I560)/Z560)</f>
        <v>3.9181847624558817</v>
      </c>
      <c r="AC560" s="5">
        <f>IF(M560=0,0,const*($T560/omega)*O560*(wx*(H560-V560)-wy*(G560-U560))/Z560)</f>
        <v>8.2758608390896278</v>
      </c>
      <c r="AD560" s="5">
        <f t="shared" ref="AD560:AE623" si="243">W560+AA560</f>
        <v>0</v>
      </c>
      <c r="AE560" s="5">
        <f t="shared" si="243"/>
        <v>-8.7194090130114965</v>
      </c>
      <c r="AF560" s="5">
        <f t="shared" si="231"/>
        <v>-17.914903298453488</v>
      </c>
      <c r="AG560">
        <f t="shared" si="242"/>
        <v>0</v>
      </c>
    </row>
    <row r="561" spans="1:33" x14ac:dyDescent="0.2">
      <c r="A561">
        <f t="shared" si="232"/>
        <v>5.2899999999999316</v>
      </c>
      <c r="B561" s="5">
        <f t="shared" si="233"/>
        <v>0</v>
      </c>
      <c r="C561" s="5">
        <f t="shared" si="234"/>
        <v>810.9961503551126</v>
      </c>
      <c r="D561" s="5">
        <f t="shared" si="235"/>
        <v>-14.770240825918341</v>
      </c>
      <c r="E561" s="2">
        <f t="shared" si="217"/>
        <v>270.33205011837089</v>
      </c>
      <c r="F561" s="2">
        <f t="shared" si="236"/>
        <v>0</v>
      </c>
      <c r="G561" s="3">
        <f t="shared" si="237"/>
        <v>0</v>
      </c>
      <c r="H561" s="3">
        <f t="shared" si="238"/>
        <v>110.76470889447376</v>
      </c>
      <c r="I561" s="3">
        <f t="shared" si="239"/>
        <v>-52.661693823006786</v>
      </c>
      <c r="J561" s="2">
        <f t="shared" si="218"/>
        <v>122.6461362326006</v>
      </c>
      <c r="K561" s="2">
        <f t="shared" si="240"/>
        <v>83.603364848398499</v>
      </c>
      <c r="L561" s="5">
        <f t="shared" si="219"/>
        <v>28.532650263000029</v>
      </c>
      <c r="M561" s="3">
        <f t="shared" si="220"/>
        <v>18.266567481051158</v>
      </c>
      <c r="N561" s="2">
        <v>0</v>
      </c>
      <c r="O561" s="2">
        <f t="shared" si="221"/>
        <v>122.6461362326006</v>
      </c>
      <c r="P561" s="2">
        <f t="shared" si="222"/>
        <v>83.603364848398499</v>
      </c>
      <c r="Q561" s="5">
        <f t="shared" si="223"/>
        <v>1.0336581612226257</v>
      </c>
      <c r="R561" s="5">
        <f t="shared" si="224"/>
        <v>0.16356642000726065</v>
      </c>
      <c r="S561" s="4">
        <f t="shared" si="241"/>
        <v>0.14893716216553521</v>
      </c>
      <c r="T561" s="5">
        <f t="shared" si="225"/>
        <v>0.10710573699228562</v>
      </c>
      <c r="U561" s="4">
        <f t="shared" si="226"/>
        <v>0</v>
      </c>
      <c r="V561" s="4">
        <f t="shared" si="227"/>
        <v>0</v>
      </c>
      <c r="W561" s="5">
        <f t="shared" si="228"/>
        <v>0</v>
      </c>
      <c r="X561" s="5">
        <f t="shared" si="229"/>
        <v>-12.626653659540322</v>
      </c>
      <c r="Y561" s="5">
        <f t="shared" si="230"/>
        <v>6.0031843686002375</v>
      </c>
      <c r="Z561" s="5">
        <f>1</f>
        <v>1</v>
      </c>
      <c r="AA561" s="5">
        <f>IF(M561=0,0,const*($T561/omega)*O561*(wy*I561-wz*(H561-V561))/Z561)</f>
        <v>0</v>
      </c>
      <c r="AB561" s="5">
        <f>IF(M561=0,0,const*($T561/omega)*O561*(wz*(G561-U561)-wx*I561)/Z561)</f>
        <v>3.9309748667908475</v>
      </c>
      <c r="AC561" s="5">
        <f>IF(M561=0,0,const*($T561/omega)*O561*(wx*(H561-V561)-wy*(G561-U561))/Z561)</f>
        <v>8.2681215734340476</v>
      </c>
      <c r="AD561" s="5">
        <f t="shared" si="243"/>
        <v>0</v>
      </c>
      <c r="AE561" s="5">
        <f t="shared" si="243"/>
        <v>-8.6956787927494741</v>
      </c>
      <c r="AF561" s="5">
        <f t="shared" si="231"/>
        <v>-17.902694057965714</v>
      </c>
      <c r="AG561">
        <f t="shared" si="242"/>
        <v>0</v>
      </c>
    </row>
    <row r="562" spans="1:33" x14ac:dyDescent="0.2">
      <c r="A562">
        <f t="shared" si="232"/>
        <v>5.2999999999999314</v>
      </c>
      <c r="B562" s="5">
        <f t="shared" si="233"/>
        <v>0</v>
      </c>
      <c r="C562" s="5">
        <f t="shared" si="234"/>
        <v>812.10336266011768</v>
      </c>
      <c r="D562" s="5">
        <f t="shared" si="235"/>
        <v>-15.297752898851307</v>
      </c>
      <c r="E562" s="2">
        <f t="shared" si="217"/>
        <v>270.70112088670589</v>
      </c>
      <c r="F562" s="2">
        <f t="shared" si="236"/>
        <v>0</v>
      </c>
      <c r="G562" s="3">
        <f t="shared" si="237"/>
        <v>0</v>
      </c>
      <c r="H562" s="3">
        <f t="shared" si="238"/>
        <v>110.67775210654627</v>
      </c>
      <c r="I562" s="3">
        <f t="shared" si="239"/>
        <v>-52.84072076358644</v>
      </c>
      <c r="J562" s="2">
        <f t="shared" si="218"/>
        <v>122.64463535831244</v>
      </c>
      <c r="K562" s="2">
        <f t="shared" si="240"/>
        <v>83.602341757540856</v>
      </c>
      <c r="L562" s="5">
        <f t="shared" si="219"/>
        <v>28.532999433765042</v>
      </c>
      <c r="M562" s="3">
        <f t="shared" si="220"/>
        <v>18.260208122906384</v>
      </c>
      <c r="N562" s="2">
        <v>0</v>
      </c>
      <c r="O562" s="2">
        <f t="shared" si="221"/>
        <v>122.64463535831244</v>
      </c>
      <c r="P562" s="2">
        <f t="shared" si="222"/>
        <v>83.602341757540856</v>
      </c>
      <c r="Q562" s="5">
        <f t="shared" si="223"/>
        <v>1.0336455118966494</v>
      </c>
      <c r="R562" s="5">
        <f t="shared" si="224"/>
        <v>0.16355597781006073</v>
      </c>
      <c r="S562" s="4">
        <f t="shared" si="241"/>
        <v>0.14888713289055222</v>
      </c>
      <c r="T562" s="5">
        <f t="shared" si="225"/>
        <v>0.10709134444614296</v>
      </c>
      <c r="U562" s="4">
        <f t="shared" si="226"/>
        <v>0</v>
      </c>
      <c r="V562" s="4">
        <f t="shared" si="227"/>
        <v>0</v>
      </c>
      <c r="W562" s="5">
        <f t="shared" si="228"/>
        <v>0</v>
      </c>
      <c r="X562" s="5">
        <f t="shared" si="229"/>
        <v>-12.6157811479492</v>
      </c>
      <c r="Y562" s="5">
        <f t="shared" si="230"/>
        <v>6.0231343351783941</v>
      </c>
      <c r="Z562" s="5">
        <f>1</f>
        <v>1</v>
      </c>
      <c r="AA562" s="5">
        <f>IF(M562=0,0,const*($T562/omega)*O562*(wy*I562-wz*(H562-V562))/Z562)</f>
        <v>0</v>
      </c>
      <c r="AB562" s="5">
        <f>IF(M562=0,0,const*($T562/omega)*O562*(wz*(G562-U562)-wx*I562)/Z562)</f>
        <v>3.9437601876163435</v>
      </c>
      <c r="AC562" s="5">
        <f>IF(M562=0,0,const*($T562/omega)*O562*(wx*(H562-V562)-wy*(G562-U562))/Z562)</f>
        <v>8.2604193528234244</v>
      </c>
      <c r="AD562" s="5">
        <f t="shared" si="243"/>
        <v>0</v>
      </c>
      <c r="AE562" s="5">
        <f t="shared" si="243"/>
        <v>-8.6720209603328566</v>
      </c>
      <c r="AF562" s="5">
        <f t="shared" si="231"/>
        <v>-17.890446311998183</v>
      </c>
      <c r="AG562">
        <f t="shared" si="242"/>
        <v>0</v>
      </c>
    </row>
    <row r="563" spans="1:33" x14ac:dyDescent="0.2">
      <c r="A563">
        <f t="shared" si="232"/>
        <v>5.3099999999999312</v>
      </c>
      <c r="B563" s="5">
        <f t="shared" si="233"/>
        <v>0</v>
      </c>
      <c r="C563" s="5">
        <f t="shared" si="234"/>
        <v>813.20970658013516</v>
      </c>
      <c r="D563" s="5">
        <f t="shared" si="235"/>
        <v>-15.82705462880277</v>
      </c>
      <c r="E563" s="2">
        <f t="shared" si="217"/>
        <v>271.06990219337837</v>
      </c>
      <c r="F563" s="2">
        <f t="shared" si="236"/>
        <v>0</v>
      </c>
      <c r="G563" s="3">
        <f t="shared" si="237"/>
        <v>0</v>
      </c>
      <c r="H563" s="3">
        <f t="shared" si="238"/>
        <v>110.59103189694294</v>
      </c>
      <c r="I563" s="3">
        <f t="shared" si="239"/>
        <v>-53.019625226706424</v>
      </c>
      <c r="J563" s="2">
        <f t="shared" si="218"/>
        <v>122.64361783317979</v>
      </c>
      <c r="K563" s="2">
        <f t="shared" si="240"/>
        <v>83.601648148043481</v>
      </c>
      <c r="L563" s="5">
        <f t="shared" si="219"/>
        <v>28.533236160669766</v>
      </c>
      <c r="M563" s="3">
        <f t="shared" si="220"/>
        <v>18.253837747356869</v>
      </c>
      <c r="N563" s="2">
        <v>0</v>
      </c>
      <c r="O563" s="2">
        <f t="shared" si="221"/>
        <v>122.64361783317979</v>
      </c>
      <c r="P563" s="2">
        <f t="shared" si="222"/>
        <v>83.601648148043481</v>
      </c>
      <c r="Q563" s="5">
        <f t="shared" si="223"/>
        <v>1.0336369362236613</v>
      </c>
      <c r="R563" s="5">
        <f t="shared" si="224"/>
        <v>0.16354539417526304</v>
      </c>
      <c r="S563" s="4">
        <f t="shared" si="241"/>
        <v>0.14883642597844587</v>
      </c>
      <c r="T563" s="5">
        <f t="shared" si="225"/>
        <v>0.10707675399441914</v>
      </c>
      <c r="U563" s="4">
        <f t="shared" si="226"/>
        <v>0</v>
      </c>
      <c r="V563" s="4">
        <f t="shared" si="227"/>
        <v>0</v>
      </c>
      <c r="W563" s="5">
        <f t="shared" si="228"/>
        <v>0</v>
      </c>
      <c r="X563" s="5">
        <f t="shared" si="229"/>
        <v>-12.604975905315316</v>
      </c>
      <c r="Y563" s="5">
        <f t="shared" si="230"/>
        <v>6.043085836419948</v>
      </c>
      <c r="Z563" s="5">
        <f>1</f>
        <v>1</v>
      </c>
      <c r="AA563" s="5">
        <f>IF(M563=0,0,const*($T563/omega)*O563*(wy*I563-wz*(H563-V563))/Z563)</f>
        <v>0</v>
      </c>
      <c r="AB563" s="5">
        <f>IF(M563=0,0,const*($T563/omega)*O563*(wz*(G563-U563)-wx*I563)/Z563)</f>
        <v>3.9565407435446458</v>
      </c>
      <c r="AC563" s="5">
        <f>IF(M563=0,0,const*($T563/omega)*O563*(wx*(H563-V563)-wy*(G563-U563))/Z563)</f>
        <v>8.2527539887343213</v>
      </c>
      <c r="AD563" s="5">
        <f t="shared" si="243"/>
        <v>0</v>
      </c>
      <c r="AE563" s="5">
        <f t="shared" si="243"/>
        <v>-8.6484351617706707</v>
      </c>
      <c r="AF563" s="5">
        <f t="shared" si="231"/>
        <v>-17.878160174845732</v>
      </c>
      <c r="AG563">
        <f t="shared" si="242"/>
        <v>0</v>
      </c>
    </row>
    <row r="564" spans="1:33" x14ac:dyDescent="0.2">
      <c r="A564">
        <f t="shared" si="232"/>
        <v>5.319999999999931</v>
      </c>
      <c r="B564" s="5">
        <f t="shared" si="233"/>
        <v>0</v>
      </c>
      <c r="C564" s="5">
        <f t="shared" si="234"/>
        <v>814.31518447734652</v>
      </c>
      <c r="D564" s="5">
        <f t="shared" si="235"/>
        <v>-16.358144789078576</v>
      </c>
      <c r="E564" s="2">
        <f t="shared" si="217"/>
        <v>271.43839482578215</v>
      </c>
      <c r="F564" s="2">
        <f t="shared" si="236"/>
        <v>0</v>
      </c>
      <c r="G564" s="3">
        <f t="shared" si="237"/>
        <v>0</v>
      </c>
      <c r="H564" s="3">
        <f t="shared" si="238"/>
        <v>110.50454754532522</v>
      </c>
      <c r="I564" s="3">
        <f t="shared" si="239"/>
        <v>-53.198406828454878</v>
      </c>
      <c r="J564" s="2">
        <f t="shared" si="218"/>
        <v>122.64308181582375</v>
      </c>
      <c r="K564" s="2">
        <f t="shared" si="240"/>
        <v>83.601282764706028</v>
      </c>
      <c r="L564" s="5">
        <f t="shared" si="219"/>
        <v>28.533360866520106</v>
      </c>
      <c r="M564" s="3">
        <f t="shared" si="220"/>
        <v>18.247456342949366</v>
      </c>
      <c r="N564" s="2">
        <v>0</v>
      </c>
      <c r="O564" s="2">
        <f t="shared" si="221"/>
        <v>122.64308181582375</v>
      </c>
      <c r="P564" s="2">
        <f t="shared" si="222"/>
        <v>83.601282764706028</v>
      </c>
      <c r="Q564" s="5">
        <f t="shared" si="223"/>
        <v>1.0336324186845716</v>
      </c>
      <c r="R564" s="5">
        <f t="shared" si="224"/>
        <v>0.16353466967124777</v>
      </c>
      <c r="S564" s="4">
        <f t="shared" si="241"/>
        <v>0.14878504415236432</v>
      </c>
      <c r="T564" s="5">
        <f t="shared" si="225"/>
        <v>0.10706196629974042</v>
      </c>
      <c r="U564" s="4">
        <f t="shared" si="226"/>
        <v>0</v>
      </c>
      <c r="V564" s="4">
        <f t="shared" si="227"/>
        <v>0</v>
      </c>
      <c r="W564" s="5">
        <f t="shared" si="228"/>
        <v>0</v>
      </c>
      <c r="X564" s="5">
        <f t="shared" si="229"/>
        <v>-12.594237597684616</v>
      </c>
      <c r="Y564" s="5">
        <f t="shared" si="230"/>
        <v>6.0630389454428553</v>
      </c>
      <c r="Z564" s="5">
        <f>1</f>
        <v>1</v>
      </c>
      <c r="AA564" s="5">
        <f>IF(M564=0,0,const*($T564/omega)*O564*(wy*I564-wz*(H564-V564))/Z564)</f>
        <v>0</v>
      </c>
      <c r="AB564" s="5">
        <f>IF(M564=0,0,const*($T564/omega)*O564*(wz*(G564-U564)-wx*I564)/Z564)</f>
        <v>3.9693165526058674</v>
      </c>
      <c r="AC564" s="5">
        <f>IF(M564=0,0,const*($T564/omega)*O564*(wx*(H564-V564)-wy*(G564-U564))/Z564)</f>
        <v>8.2451252934000934</v>
      </c>
      <c r="AD564" s="5">
        <f t="shared" si="243"/>
        <v>0</v>
      </c>
      <c r="AE564" s="5">
        <f t="shared" si="243"/>
        <v>-8.6249210450787483</v>
      </c>
      <c r="AF564" s="5">
        <f t="shared" si="231"/>
        <v>-17.865835761157051</v>
      </c>
      <c r="AG564">
        <f t="shared" si="242"/>
        <v>0</v>
      </c>
    </row>
    <row r="565" spans="1:33" x14ac:dyDescent="0.2">
      <c r="A565">
        <f t="shared" si="232"/>
        <v>5.3299999999999308</v>
      </c>
      <c r="B565" s="5">
        <f t="shared" si="233"/>
        <v>0</v>
      </c>
      <c r="C565" s="5">
        <f t="shared" si="234"/>
        <v>815.41979870674754</v>
      </c>
      <c r="D565" s="5">
        <f t="shared" si="235"/>
        <v>-16.89102214915118</v>
      </c>
      <c r="E565" s="2">
        <f t="shared" si="217"/>
        <v>271.80659956891583</v>
      </c>
      <c r="F565" s="2">
        <f t="shared" si="236"/>
        <v>0</v>
      </c>
      <c r="G565" s="3">
        <f t="shared" si="237"/>
        <v>0</v>
      </c>
      <c r="H565" s="3">
        <f t="shared" si="238"/>
        <v>110.41829833487444</v>
      </c>
      <c r="I565" s="3">
        <f t="shared" si="239"/>
        <v>-53.377065186066446</v>
      </c>
      <c r="J565" s="2">
        <f t="shared" si="218"/>
        <v>122.6430254643407</v>
      </c>
      <c r="K565" s="2">
        <f t="shared" si="240"/>
        <v>83.601244351970479</v>
      </c>
      <c r="L565" s="5">
        <f t="shared" si="219"/>
        <v>28.533373976904453</v>
      </c>
      <c r="M565" s="3">
        <f t="shared" si="220"/>
        <v>18.241063898682867</v>
      </c>
      <c r="N565" s="2">
        <v>0</v>
      </c>
      <c r="O565" s="2">
        <f t="shared" si="221"/>
        <v>122.6430254643407</v>
      </c>
      <c r="P565" s="2">
        <f t="shared" si="222"/>
        <v>83.601244351970479</v>
      </c>
      <c r="Q565" s="5">
        <f t="shared" si="223"/>
        <v>1.033631943755869</v>
      </c>
      <c r="R565" s="5">
        <f t="shared" si="224"/>
        <v>0.16352380486999057</v>
      </c>
      <c r="S565" s="4">
        <f t="shared" si="241"/>
        <v>0.14873299015268163</v>
      </c>
      <c r="T565" s="5">
        <f t="shared" si="225"/>
        <v>0.10704698202861897</v>
      </c>
      <c r="U565" s="4">
        <f t="shared" si="226"/>
        <v>0</v>
      </c>
      <c r="V565" s="4">
        <f t="shared" si="227"/>
        <v>0</v>
      </c>
      <c r="W565" s="5">
        <f t="shared" si="228"/>
        <v>0</v>
      </c>
      <c r="X565" s="5">
        <f t="shared" si="229"/>
        <v>-12.583565892522627</v>
      </c>
      <c r="Y565" s="5">
        <f t="shared" si="230"/>
        <v>6.0829937342568305</v>
      </c>
      <c r="Z565" s="5">
        <f>1</f>
        <v>1</v>
      </c>
      <c r="AA565" s="5">
        <f>IF(M565=0,0,const*($T565/omega)*O565*(wy*I565-wz*(H565-V565))/Z565)</f>
        <v>0</v>
      </c>
      <c r="AB565" s="5">
        <f>IF(M565=0,0,const*($T565/omega)*O565*(wz*(G565-U565)-wx*I565)/Z565)</f>
        <v>3.9820876322496388</v>
      </c>
      <c r="AC565" s="5">
        <f>IF(M565=0,0,const*($T565/omega)*O565*(wx*(H565-V565)-wy*(G565-U565))/Z565)</f>
        <v>8.2375330798092001</v>
      </c>
      <c r="AD565" s="5">
        <f t="shared" si="243"/>
        <v>0</v>
      </c>
      <c r="AE565" s="5">
        <f t="shared" si="243"/>
        <v>-8.6014782602729873</v>
      </c>
      <c r="AF565" s="5">
        <f t="shared" si="231"/>
        <v>-17.853473185933968</v>
      </c>
      <c r="AG565">
        <f t="shared" si="242"/>
        <v>0</v>
      </c>
    </row>
    <row r="566" spans="1:33" x14ac:dyDescent="0.2">
      <c r="A566">
        <f t="shared" si="232"/>
        <v>5.3399999999999306</v>
      </c>
      <c r="B566" s="5">
        <f t="shared" si="233"/>
        <v>0</v>
      </c>
      <c r="C566" s="5">
        <f t="shared" si="234"/>
        <v>816.52355161618334</v>
      </c>
      <c r="D566" s="5">
        <f t="shared" si="235"/>
        <v>-17.425685474671141</v>
      </c>
      <c r="E566" s="2">
        <f t="shared" si="217"/>
        <v>272.17451720539447</v>
      </c>
      <c r="F566" s="2">
        <f t="shared" si="236"/>
        <v>0</v>
      </c>
      <c r="G566" s="3">
        <f t="shared" si="237"/>
        <v>0</v>
      </c>
      <c r="H566" s="3">
        <f t="shared" si="238"/>
        <v>110.3322835522717</v>
      </c>
      <c r="I566" s="3">
        <f t="shared" si="239"/>
        <v>-53.555599917925782</v>
      </c>
      <c r="J566" s="2">
        <f t="shared" si="218"/>
        <v>122.64344693634396</v>
      </c>
      <c r="K566" s="2">
        <f t="shared" si="240"/>
        <v>83.601531653949522</v>
      </c>
      <c r="L566" s="5">
        <f t="shared" si="219"/>
        <v>28.533275920150583</v>
      </c>
      <c r="M566" s="3">
        <f t="shared" si="220"/>
        <v>18.234660404006998</v>
      </c>
      <c r="N566" s="2">
        <v>0</v>
      </c>
      <c r="O566" s="2">
        <f t="shared" si="221"/>
        <v>122.64344693634396</v>
      </c>
      <c r="P566" s="2">
        <f t="shared" si="222"/>
        <v>83.601531653949522</v>
      </c>
      <c r="Q566" s="5">
        <f t="shared" si="223"/>
        <v>1.0336354959099709</v>
      </c>
      <c r="R566" s="5">
        <f t="shared" si="224"/>
        <v>0.16351280034700558</v>
      </c>
      <c r="S566" s="4">
        <f t="shared" si="241"/>
        <v>0.14868026673672499</v>
      </c>
      <c r="T566" s="5">
        <f t="shared" si="225"/>
        <v>0.10703180185139707</v>
      </c>
      <c r="U566" s="4">
        <f t="shared" si="226"/>
        <v>0</v>
      </c>
      <c r="V566" s="4">
        <f t="shared" si="227"/>
        <v>0</v>
      </c>
      <c r="W566" s="5">
        <f t="shared" si="228"/>
        <v>0</v>
      </c>
      <c r="X566" s="5">
        <f t="shared" si="229"/>
        <v>-12.572960458709426</v>
      </c>
      <c r="Y566" s="5">
        <f t="shared" si="230"/>
        <v>6.102950273765801</v>
      </c>
      <c r="Z566" s="5">
        <f>1</f>
        <v>1</v>
      </c>
      <c r="AA566" s="5">
        <f>IF(M566=0,0,const*($T566/omega)*O566*(wy*I566-wz*(H566-V566))/Z566)</f>
        <v>0</v>
      </c>
      <c r="AB566" s="5">
        <f>IF(M566=0,0,const*($T566/omega)*O566*(wz*(G566-U566)-wx*I566)/Z566)</f>
        <v>3.9948539993468044</v>
      </c>
      <c r="AC566" s="5">
        <f>IF(M566=0,0,const*($T566/omega)*O566*(wx*(H566-V566)-wy*(G566-U566))/Z566)</f>
        <v>8.229977161703486</v>
      </c>
      <c r="AD566" s="5">
        <f t="shared" si="243"/>
        <v>0</v>
      </c>
      <c r="AE566" s="5">
        <f t="shared" si="243"/>
        <v>-8.5781064593626226</v>
      </c>
      <c r="AF566" s="5">
        <f t="shared" si="231"/>
        <v>-17.841072564530712</v>
      </c>
      <c r="AG566">
        <f t="shared" si="242"/>
        <v>0</v>
      </c>
    </row>
    <row r="567" spans="1:33" x14ac:dyDescent="0.2">
      <c r="A567">
        <f t="shared" si="232"/>
        <v>5.3499999999999304</v>
      </c>
      <c r="B567" s="5">
        <f t="shared" si="233"/>
        <v>0</v>
      </c>
      <c r="C567" s="5">
        <f t="shared" si="234"/>
        <v>817.62644554638302</v>
      </c>
      <c r="D567" s="5">
        <f t="shared" si="235"/>
        <v>-17.962133527478628</v>
      </c>
      <c r="E567" s="2">
        <f t="shared" si="217"/>
        <v>272.54214851546101</v>
      </c>
      <c r="F567" s="2">
        <f t="shared" si="236"/>
        <v>0</v>
      </c>
      <c r="G567" s="3">
        <f t="shared" si="237"/>
        <v>0</v>
      </c>
      <c r="H567" s="3">
        <f t="shared" si="238"/>
        <v>110.24650248767807</v>
      </c>
      <c r="I567" s="3">
        <f t="shared" si="239"/>
        <v>-53.734010643571089</v>
      </c>
      <c r="J567" s="2">
        <f t="shared" si="218"/>
        <v>122.64434438900564</v>
      </c>
      <c r="K567" s="2">
        <f t="shared" si="240"/>
        <v>83.602143414455099</v>
      </c>
      <c r="L567" s="5">
        <f t="shared" si="219"/>
        <v>28.533067127282486</v>
      </c>
      <c r="M567" s="3">
        <f t="shared" si="220"/>
        <v>18.228245848820364</v>
      </c>
      <c r="N567" s="2">
        <v>0</v>
      </c>
      <c r="O567" s="2">
        <f t="shared" si="221"/>
        <v>122.64434438900564</v>
      </c>
      <c r="P567" s="2">
        <f t="shared" si="222"/>
        <v>83.602143414455099</v>
      </c>
      <c r="Q567" s="5">
        <f t="shared" si="223"/>
        <v>1.0336430596155759</v>
      </c>
      <c r="R567" s="5">
        <f t="shared" si="224"/>
        <v>0.1635016566812883</v>
      </c>
      <c r="S567" s="4">
        <f t="shared" si="241"/>
        <v>0.14862687667850114</v>
      </c>
      <c r="T567" s="5">
        <f t="shared" si="225"/>
        <v>0.10701642644219132</v>
      </c>
      <c r="U567" s="4">
        <f t="shared" si="226"/>
        <v>0</v>
      </c>
      <c r="V567" s="4">
        <f t="shared" si="227"/>
        <v>0</v>
      </c>
      <c r="W567" s="5">
        <f t="shared" si="228"/>
        <v>0</v>
      </c>
      <c r="X567" s="5">
        <f t="shared" si="229"/>
        <v>-12.562420966534672</v>
      </c>
      <c r="Y567" s="5">
        <f t="shared" si="230"/>
        <v>6.1229086337704066</v>
      </c>
      <c r="Z567" s="5">
        <f>1</f>
        <v>1</v>
      </c>
      <c r="AA567" s="5">
        <f>IF(M567=0,0,const*($T567/omega)*O567*(wy*I567-wz*(H567-V567))/Z567)</f>
        <v>0</v>
      </c>
      <c r="AB567" s="5">
        <f>IF(M567=0,0,const*($T567/omega)*O567*(wz*(G567-U567)-wx*I567)/Z567)</f>
        <v>4.0076156701911767</v>
      </c>
      <c r="AC567" s="5">
        <f>IF(M567=0,0,const*($T567/omega)*O567*(wx*(H567-V567)-wy*(G567-U567))/Z567)</f>
        <v>8.2224573535765053</v>
      </c>
      <c r="AD567" s="5">
        <f t="shared" si="243"/>
        <v>0</v>
      </c>
      <c r="AE567" s="5">
        <f t="shared" si="243"/>
        <v>-8.5548052963434955</v>
      </c>
      <c r="AF567" s="5">
        <f t="shared" si="231"/>
        <v>-17.828634012653087</v>
      </c>
      <c r="AG567">
        <f t="shared" si="242"/>
        <v>0</v>
      </c>
    </row>
    <row r="568" spans="1:33" x14ac:dyDescent="0.2">
      <c r="A568">
        <f t="shared" si="232"/>
        <v>5.3599999999999302</v>
      </c>
      <c r="B568" s="5">
        <f t="shared" si="233"/>
        <v>0</v>
      </c>
      <c r="C568" s="5">
        <f t="shared" si="234"/>
        <v>818.72848283099495</v>
      </c>
      <c r="D568" s="5">
        <f t="shared" si="235"/>
        <v>-18.500365065614972</v>
      </c>
      <c r="E568" s="2">
        <f t="shared" si="217"/>
        <v>272.90949427699832</v>
      </c>
      <c r="F568" s="2">
        <f t="shared" si="236"/>
        <v>0</v>
      </c>
      <c r="G568" s="3">
        <f t="shared" si="237"/>
        <v>0</v>
      </c>
      <c r="H568" s="3">
        <f t="shared" si="238"/>
        <v>110.16095443471464</v>
      </c>
      <c r="I568" s="3">
        <f t="shared" si="239"/>
        <v>-53.912296983697622</v>
      </c>
      <c r="J568" s="2">
        <f t="shared" si="218"/>
        <v>122.64571597909845</v>
      </c>
      <c r="K568" s="2">
        <f t="shared" si="240"/>
        <v>83.60307837702689</v>
      </c>
      <c r="L568" s="5">
        <f t="shared" si="219"/>
        <v>28.532748031977139</v>
      </c>
      <c r="M568" s="3">
        <f t="shared" si="220"/>
        <v>18.221820223468917</v>
      </c>
      <c r="N568" s="2">
        <v>0</v>
      </c>
      <c r="O568" s="2">
        <f t="shared" si="221"/>
        <v>122.64571597909845</v>
      </c>
      <c r="P568" s="2">
        <f t="shared" si="222"/>
        <v>83.60307837702689</v>
      </c>
      <c r="Q568" s="5">
        <f t="shared" si="223"/>
        <v>1.0336546193380167</v>
      </c>
      <c r="R568" s="5">
        <f t="shared" si="224"/>
        <v>0.16349037445525849</v>
      </c>
      <c r="S568" s="4">
        <f t="shared" si="241"/>
        <v>0.14857282276842282</v>
      </c>
      <c r="T568" s="5">
        <f t="shared" si="225"/>
        <v>0.10700085647883686</v>
      </c>
      <c r="U568" s="4">
        <f t="shared" si="226"/>
        <v>0</v>
      </c>
      <c r="V568" s="4">
        <f t="shared" si="227"/>
        <v>0</v>
      </c>
      <c r="W568" s="5">
        <f t="shared" si="228"/>
        <v>0</v>
      </c>
      <c r="X568" s="5">
        <f t="shared" si="229"/>
        <v>-12.551947087692636</v>
      </c>
      <c r="Y568" s="5">
        <f t="shared" si="230"/>
        <v>6.1428688829705376</v>
      </c>
      <c r="Z568" s="5">
        <f>1</f>
        <v>1</v>
      </c>
      <c r="AA568" s="5">
        <f>IF(M568=0,0,const*($T568/omega)*O568*(wy*I568-wz*(H568-V568))/Z568)</f>
        <v>0</v>
      </c>
      <c r="AB568" s="5">
        <f>IF(M568=0,0,const*($T568/omega)*O568*(wz*(G568-U568)-wx*I568)/Z568)</f>
        <v>4.0203726605013133</v>
      </c>
      <c r="AC568" s="5">
        <f>IF(M568=0,0,const*($T568/omega)*O568*(wx*(H568-V568)-wy*(G568-U568))/Z568)</f>
        <v>8.2149734706718434</v>
      </c>
      <c r="AD568" s="5">
        <f t="shared" si="243"/>
        <v>0</v>
      </c>
      <c r="AE568" s="5">
        <f t="shared" si="243"/>
        <v>-8.5315744271913232</v>
      </c>
      <c r="AF568" s="5">
        <f t="shared" si="231"/>
        <v>-17.816157646357617</v>
      </c>
      <c r="AG568">
        <f t="shared" si="242"/>
        <v>0</v>
      </c>
    </row>
    <row r="569" spans="1:33" x14ac:dyDescent="0.2">
      <c r="A569">
        <f t="shared" si="232"/>
        <v>5.3699999999999299</v>
      </c>
      <c r="B569" s="5">
        <f t="shared" si="233"/>
        <v>0</v>
      </c>
      <c r="C569" s="5">
        <f t="shared" si="234"/>
        <v>819.82966579662082</v>
      </c>
      <c r="D569" s="5">
        <f t="shared" si="235"/>
        <v>-19.040378843334267</v>
      </c>
      <c r="E569" s="2">
        <f t="shared" si="217"/>
        <v>273.27655526554025</v>
      </c>
      <c r="F569" s="2">
        <f t="shared" si="236"/>
        <v>0</v>
      </c>
      <c r="G569" s="3">
        <f t="shared" si="237"/>
        <v>0</v>
      </c>
      <c r="H569" s="3">
        <f t="shared" si="238"/>
        <v>110.07563869044273</v>
      </c>
      <c r="I569" s="3">
        <f t="shared" si="239"/>
        <v>-54.090458560161196</v>
      </c>
      <c r="J569" s="2">
        <f t="shared" si="218"/>
        <v>122.64755986303767</v>
      </c>
      <c r="K569" s="2">
        <f t="shared" si="240"/>
        <v>83.604335284960911</v>
      </c>
      <c r="L569" s="5">
        <f t="shared" si="219"/>
        <v>28.532319070521268</v>
      </c>
      <c r="M569" s="3">
        <f t="shared" si="220"/>
        <v>18.215383518744261</v>
      </c>
      <c r="N569" s="2">
        <v>0</v>
      </c>
      <c r="O569" s="2">
        <f t="shared" si="221"/>
        <v>122.64755986303767</v>
      </c>
      <c r="P569" s="2">
        <f t="shared" si="222"/>
        <v>83.604335284960911</v>
      </c>
      <c r="Q569" s="5">
        <f t="shared" si="223"/>
        <v>1.0336701595396134</v>
      </c>
      <c r="R569" s="5">
        <f t="shared" si="224"/>
        <v>0.16347895425470307</v>
      </c>
      <c r="S569" s="4">
        <f t="shared" si="241"/>
        <v>0.14851810781303473</v>
      </c>
      <c r="T569" s="5">
        <f t="shared" si="225"/>
        <v>0.10698509264283129</v>
      </c>
      <c r="U569" s="4">
        <f t="shared" si="226"/>
        <v>0</v>
      </c>
      <c r="V569" s="4">
        <f t="shared" si="227"/>
        <v>0</v>
      </c>
      <c r="W569" s="5">
        <f t="shared" si="228"/>
        <v>0</v>
      </c>
      <c r="X569" s="5">
        <f t="shared" si="229"/>
        <v>-12.54153849527729</v>
      </c>
      <c r="Y569" s="5">
        <f t="shared" si="230"/>
        <v>6.1628310889679403</v>
      </c>
      <c r="Z569" s="5">
        <f>1</f>
        <v>1</v>
      </c>
      <c r="AA569" s="5">
        <f>IF(M569=0,0,const*($T569/omega)*O569*(wy*I569-wz*(H569-V569))/Z569)</f>
        <v>0</v>
      </c>
      <c r="AB569" s="5">
        <f>IF(M569=0,0,const*($T569/omega)*O569*(wz*(G569-U569)-wx*I569)/Z569)</f>
        <v>4.0331249854223223</v>
      </c>
      <c r="AC569" s="5">
        <f>IF(M569=0,0,const*($T569/omega)*O569*(wx*(H569-V569)-wy*(G569-U569))/Z569)</f>
        <v>8.2075253289814523</v>
      </c>
      <c r="AD569" s="5">
        <f t="shared" si="243"/>
        <v>0</v>
      </c>
      <c r="AE569" s="5">
        <f t="shared" si="243"/>
        <v>-8.508413509854968</v>
      </c>
      <c r="AF569" s="5">
        <f t="shared" si="231"/>
        <v>-17.803643582050608</v>
      </c>
      <c r="AG569">
        <f t="shared" si="242"/>
        <v>0</v>
      </c>
    </row>
    <row r="570" spans="1:33" x14ac:dyDescent="0.2">
      <c r="A570">
        <f t="shared" si="232"/>
        <v>5.3799999999999297</v>
      </c>
      <c r="B570" s="5">
        <f t="shared" si="233"/>
        <v>0</v>
      </c>
      <c r="C570" s="5">
        <f t="shared" si="234"/>
        <v>820.92999676284978</v>
      </c>
      <c r="D570" s="5">
        <f t="shared" si="235"/>
        <v>-19.582173611114982</v>
      </c>
      <c r="E570" s="2">
        <f t="shared" si="217"/>
        <v>273.64333225428328</v>
      </c>
      <c r="F570" s="2">
        <f t="shared" si="236"/>
        <v>0</v>
      </c>
      <c r="G570" s="3">
        <f t="shared" si="237"/>
        <v>0</v>
      </c>
      <c r="H570" s="3">
        <f t="shared" si="238"/>
        <v>109.99055455534418</v>
      </c>
      <c r="I570" s="3">
        <f t="shared" si="239"/>
        <v>-54.268494995981705</v>
      </c>
      <c r="J570" s="2">
        <f t="shared" si="218"/>
        <v>122.64987419692299</v>
      </c>
      <c r="K570" s="2">
        <f t="shared" si="240"/>
        <v>83.605912881338099</v>
      </c>
      <c r="L570" s="5">
        <f t="shared" si="219"/>
        <v>28.531780681768044</v>
      </c>
      <c r="M570" s="3">
        <f t="shared" si="220"/>
        <v>18.208935725882</v>
      </c>
      <c r="N570" s="2">
        <v>0</v>
      </c>
      <c r="O570" s="2">
        <f t="shared" si="221"/>
        <v>122.64987419692299</v>
      </c>
      <c r="P570" s="2">
        <f t="shared" si="222"/>
        <v>83.605912881338099</v>
      </c>
      <c r="Q570" s="5">
        <f t="shared" si="223"/>
        <v>1.0336896646800267</v>
      </c>
      <c r="R570" s="5">
        <f t="shared" si="224"/>
        <v>0.1634673966687189</v>
      </c>
      <c r="S570" s="4">
        <f t="shared" si="241"/>
        <v>0.1484627346347398</v>
      </c>
      <c r="T570" s="5">
        <f t="shared" si="225"/>
        <v>0.10696913561927894</v>
      </c>
      <c r="U570" s="4">
        <f t="shared" si="226"/>
        <v>0</v>
      </c>
      <c r="V570" s="4">
        <f t="shared" si="227"/>
        <v>0</v>
      </c>
      <c r="W570" s="5">
        <f t="shared" si="228"/>
        <v>0</v>
      </c>
      <c r="X570" s="5">
        <f t="shared" si="229"/>
        <v>-12.531194863777426</v>
      </c>
      <c r="Y570" s="5">
        <f t="shared" si="230"/>
        <v>6.1827953182688526</v>
      </c>
      <c r="Z570" s="5">
        <f>1</f>
        <v>1</v>
      </c>
      <c r="AA570" s="5">
        <f>IF(M570=0,0,const*($T570/omega)*O570*(wy*I570-wz*(H570-V570))/Z570)</f>
        <v>0</v>
      </c>
      <c r="AB570" s="5">
        <f>IF(M570=0,0,const*($T570/omega)*O570*(wz*(G570-U570)-wx*I570)/Z570)</f>
        <v>4.0458726595277286</v>
      </c>
      <c r="AC570" s="5">
        <f>IF(M570=0,0,const*($T570/omega)*O570*(wx*(H570-V570)-wy*(G570-U570))/Z570)</f>
        <v>8.2001127452440041</v>
      </c>
      <c r="AD570" s="5">
        <f t="shared" si="243"/>
        <v>0</v>
      </c>
      <c r="AE570" s="5">
        <f t="shared" si="243"/>
        <v>-8.4853222042496981</v>
      </c>
      <c r="AF570" s="5">
        <f t="shared" si="231"/>
        <v>-17.791091936487142</v>
      </c>
      <c r="AG570">
        <f t="shared" si="242"/>
        <v>0</v>
      </c>
    </row>
    <row r="571" spans="1:33" x14ac:dyDescent="0.2">
      <c r="A571">
        <f t="shared" si="232"/>
        <v>5.3899999999999295</v>
      </c>
      <c r="B571" s="5">
        <f t="shared" si="233"/>
        <v>0</v>
      </c>
      <c r="C571" s="5">
        <f t="shared" si="234"/>
        <v>822.02947804229302</v>
      </c>
      <c r="D571" s="5">
        <f t="shared" si="235"/>
        <v>-20.125748115671623</v>
      </c>
      <c r="E571" s="2">
        <f t="shared" si="217"/>
        <v>274.00982601409765</v>
      </c>
      <c r="F571" s="2">
        <f t="shared" si="236"/>
        <v>0</v>
      </c>
      <c r="G571" s="3">
        <f t="shared" si="237"/>
        <v>0</v>
      </c>
      <c r="H571" s="3">
        <f t="shared" si="238"/>
        <v>109.90570133330168</v>
      </c>
      <c r="I571" s="3">
        <f t="shared" si="239"/>
        <v>-54.446405915346574</v>
      </c>
      <c r="J571" s="2">
        <f t="shared" si="218"/>
        <v>122.6526571365806</v>
      </c>
      <c r="K571" s="2">
        <f t="shared" si="240"/>
        <v>83.607809909052889</v>
      </c>
      <c r="L571" s="5">
        <f t="shared" si="219"/>
        <v>28.531133307093786</v>
      </c>
      <c r="M571" s="3">
        <f t="shared" si="220"/>
        <v>18.202476836560002</v>
      </c>
      <c r="N571" s="2">
        <v>0</v>
      </c>
      <c r="O571" s="2">
        <f t="shared" si="221"/>
        <v>122.6526571365806</v>
      </c>
      <c r="P571" s="2">
        <f t="shared" si="222"/>
        <v>83.607809909052889</v>
      </c>
      <c r="Q571" s="5">
        <f t="shared" si="223"/>
        <v>1.0337131192166116</v>
      </c>
      <c r="R571" s="5">
        <f t="shared" si="224"/>
        <v>0.16345570228965542</v>
      </c>
      <c r="S571" s="4">
        <f t="shared" si="241"/>
        <v>0.14840670607152462</v>
      </c>
      <c r="T571" s="5">
        <f t="shared" si="225"/>
        <v>0.10695298609683472</v>
      </c>
      <c r="U571" s="4">
        <f t="shared" si="226"/>
        <v>0</v>
      </c>
      <c r="V571" s="4">
        <f t="shared" si="227"/>
        <v>0</v>
      </c>
      <c r="W571" s="5">
        <f t="shared" si="228"/>
        <v>0</v>
      </c>
      <c r="X571" s="5">
        <f t="shared" si="229"/>
        <v>-12.520915869071789</v>
      </c>
      <c r="Y571" s="5">
        <f t="shared" si="230"/>
        <v>6.2027616362866942</v>
      </c>
      <c r="Z571" s="5">
        <f>1</f>
        <v>1</v>
      </c>
      <c r="AA571" s="5">
        <f>IF(M571=0,0,const*($T571/omega)*O571*(wy*I571-wz*(H571-V571))/Z571)</f>
        <v>0</v>
      </c>
      <c r="AB571" s="5">
        <f>IF(M571=0,0,const*($T571/omega)*O571*(wz*(G571-U571)-wx*I571)/Z571)</f>
        <v>4.0586156968213354</v>
      </c>
      <c r="AC571" s="5">
        <f>IF(M571=0,0,const*($T571/omega)*O571*(wx*(H571-V571)-wy*(G571-U571))/Z571)</f>
        <v>8.1927355369432266</v>
      </c>
      <c r="AD571" s="5">
        <f t="shared" si="243"/>
        <v>0</v>
      </c>
      <c r="AE571" s="5">
        <f t="shared" si="243"/>
        <v>-8.4623001722504547</v>
      </c>
      <c r="AF571" s="5">
        <f t="shared" si="231"/>
        <v>-17.77850282677008</v>
      </c>
      <c r="AG571">
        <f t="shared" si="242"/>
        <v>0</v>
      </c>
    </row>
    <row r="572" spans="1:33" x14ac:dyDescent="0.2">
      <c r="A572">
        <f t="shared" si="232"/>
        <v>5.3999999999999293</v>
      </c>
      <c r="B572" s="5">
        <f t="shared" si="233"/>
        <v>0</v>
      </c>
      <c r="C572" s="5">
        <f t="shared" si="234"/>
        <v>823.12811194061737</v>
      </c>
      <c r="D572" s="5">
        <f t="shared" si="235"/>
        <v>-20.671101099966428</v>
      </c>
      <c r="E572" s="2">
        <f t="shared" si="217"/>
        <v>274.37603731353914</v>
      </c>
      <c r="F572" s="2">
        <f t="shared" si="236"/>
        <v>0</v>
      </c>
      <c r="G572" s="3">
        <f t="shared" si="237"/>
        <v>0</v>
      </c>
      <c r="H572" s="3">
        <f t="shared" si="238"/>
        <v>109.82107833157917</v>
      </c>
      <c r="I572" s="3">
        <f t="shared" si="239"/>
        <v>-54.624190943614273</v>
      </c>
      <c r="J572" s="2">
        <f t="shared" si="218"/>
        <v>122.65590683760517</v>
      </c>
      <c r="K572" s="2">
        <f t="shared" si="240"/>
        <v>83.610025110841974</v>
      </c>
      <c r="L572" s="5">
        <f t="shared" si="219"/>
        <v>28.530377390354584</v>
      </c>
      <c r="M572" s="3">
        <f t="shared" si="220"/>
        <v>18.196006842896708</v>
      </c>
      <c r="N572" s="2">
        <v>0</v>
      </c>
      <c r="O572" s="2">
        <f t="shared" si="221"/>
        <v>122.65590683760517</v>
      </c>
      <c r="P572" s="2">
        <f t="shared" si="222"/>
        <v>83.610025110841974</v>
      </c>
      <c r="Q572" s="5">
        <f t="shared" si="223"/>
        <v>1.0337405076047728</v>
      </c>
      <c r="R572" s="5">
        <f t="shared" si="224"/>
        <v>0.1634438717130576</v>
      </c>
      <c r="S572" s="4">
        <f t="shared" si="241"/>
        <v>0.14835002497668526</v>
      </c>
      <c r="T572" s="5">
        <f t="shared" si="225"/>
        <v>0.10693664476764807</v>
      </c>
      <c r="U572" s="4">
        <f t="shared" si="226"/>
        <v>0</v>
      </c>
      <c r="V572" s="4">
        <f t="shared" si="227"/>
        <v>0</v>
      </c>
      <c r="W572" s="5">
        <f t="shared" si="228"/>
        <v>0</v>
      </c>
      <c r="X572" s="5">
        <f t="shared" si="229"/>
        <v>-12.510701188424282</v>
      </c>
      <c r="Y572" s="5">
        <f t="shared" si="230"/>
        <v>6.2227301073448054</v>
      </c>
      <c r="Z572" s="5">
        <f>1</f>
        <v>1</v>
      </c>
      <c r="AA572" s="5">
        <f>IF(M572=0,0,const*($T572/omega)*O572*(wy*I572-wz*(H572-V572))/Z572)</f>
        <v>0</v>
      </c>
      <c r="AB572" s="5">
        <f>IF(M572=0,0,const*($T572/omega)*O572*(wz*(G572-U572)-wx*I572)/Z572)</f>
        <v>4.0713541107391542</v>
      </c>
      <c r="AC572" s="5">
        <f>IF(M572=0,0,const*($T572/omega)*O572*(wx*(H572-V572)-wy*(G572-U572))/Z572)</f>
        <v>8.1853935223062759</v>
      </c>
      <c r="AD572" s="5">
        <f t="shared" si="243"/>
        <v>0</v>
      </c>
      <c r="AE572" s="5">
        <f t="shared" si="243"/>
        <v>-8.4393470776851274</v>
      </c>
      <c r="AF572" s="5">
        <f t="shared" si="231"/>
        <v>-17.76587637034892</v>
      </c>
      <c r="AG572">
        <f t="shared" si="242"/>
        <v>0</v>
      </c>
    </row>
    <row r="573" spans="1:33" x14ac:dyDescent="0.2">
      <c r="A573">
        <f t="shared" si="232"/>
        <v>5.4099999999999291</v>
      </c>
      <c r="B573" s="5">
        <f t="shared" si="233"/>
        <v>0</v>
      </c>
      <c r="C573" s="5">
        <f t="shared" si="234"/>
        <v>824.22590075657934</v>
      </c>
      <c r="D573" s="5">
        <f t="shared" si="235"/>
        <v>-21.218231303221089</v>
      </c>
      <c r="E573" s="2">
        <f t="shared" si="217"/>
        <v>274.74196691885976</v>
      </c>
      <c r="F573" s="2">
        <f t="shared" si="236"/>
        <v>0</v>
      </c>
      <c r="G573" s="3">
        <f t="shared" si="237"/>
        <v>0</v>
      </c>
      <c r="H573" s="3">
        <f t="shared" si="238"/>
        <v>109.73668486080233</v>
      </c>
      <c r="I573" s="3">
        <f t="shared" si="239"/>
        <v>-54.801849707317764</v>
      </c>
      <c r="J573" s="2">
        <f t="shared" si="218"/>
        <v>122.65962145540189</v>
      </c>
      <c r="K573" s="2">
        <f t="shared" si="240"/>
        <v>83.612557229312799</v>
      </c>
      <c r="L573" s="5">
        <f t="shared" si="219"/>
        <v>28.529513377843017</v>
      </c>
      <c r="M573" s="3">
        <f t="shared" si="220"/>
        <v>18.189525737449394</v>
      </c>
      <c r="N573" s="2">
        <v>0</v>
      </c>
      <c r="O573" s="2">
        <f t="shared" si="221"/>
        <v>122.65962145540189</v>
      </c>
      <c r="P573" s="2">
        <f t="shared" si="222"/>
        <v>83.612557229312799</v>
      </c>
      <c r="Q573" s="5">
        <f t="shared" si="223"/>
        <v>1.0337718142983168</v>
      </c>
      <c r="R573" s="5">
        <f t="shared" si="224"/>
        <v>0.1634319055376085</v>
      </c>
      <c r="S573" s="4">
        <f t="shared" si="241"/>
        <v>0.14829269421855315</v>
      </c>
      <c r="T573" s="5">
        <f t="shared" si="225"/>
        <v>0.10692011232730717</v>
      </c>
      <c r="U573" s="4">
        <f t="shared" si="226"/>
        <v>0</v>
      </c>
      <c r="V573" s="4">
        <f t="shared" si="227"/>
        <v>0</v>
      </c>
      <c r="W573" s="5">
        <f t="shared" si="228"/>
        <v>0</v>
      </c>
      <c r="X573" s="5">
        <f t="shared" si="229"/>
        <v>-12.500550500479147</v>
      </c>
      <c r="Y573" s="5">
        <f t="shared" si="230"/>
        <v>6.2427007946792221</v>
      </c>
      <c r="Z573" s="5">
        <f>1</f>
        <v>1</v>
      </c>
      <c r="AA573" s="5">
        <f>IF(M573=0,0,const*($T573/omega)*O573*(wy*I573-wz*(H573-V573))/Z573)</f>
        <v>0</v>
      </c>
      <c r="AB573" s="5">
        <f>IF(M573=0,0,const*($T573/omega)*O573*(wz*(G573-U573)-wx*I573)/Z573)</f>
        <v>4.0840879141513504</v>
      </c>
      <c r="AC573" s="5">
        <f>IF(M573=0,0,const*($T573/omega)*O573*(wx*(H573-V573)-wy*(G573-U573))/Z573)</f>
        <v>8.1780865203021254</v>
      </c>
      <c r="AD573" s="5">
        <f t="shared" si="243"/>
        <v>0</v>
      </c>
      <c r="AE573" s="5">
        <f t="shared" si="243"/>
        <v>-8.4164625863277962</v>
      </c>
      <c r="AF573" s="5">
        <f t="shared" si="231"/>
        <v>-17.753212685018653</v>
      </c>
      <c r="AG573">
        <f t="shared" si="242"/>
        <v>0</v>
      </c>
    </row>
    <row r="574" spans="1:33" x14ac:dyDescent="0.2">
      <c r="A574">
        <f t="shared" si="232"/>
        <v>5.4199999999999289</v>
      </c>
      <c r="B574" s="5">
        <f t="shared" si="233"/>
        <v>0</v>
      </c>
      <c r="C574" s="5">
        <f t="shared" si="234"/>
        <v>825.32284678205804</v>
      </c>
      <c r="D574" s="5">
        <f t="shared" si="235"/>
        <v>-21.767137460928517</v>
      </c>
      <c r="E574" s="2">
        <f t="shared" si="217"/>
        <v>275.10761559401936</v>
      </c>
      <c r="F574" s="2">
        <f t="shared" si="236"/>
        <v>0</v>
      </c>
      <c r="G574" s="3">
        <f t="shared" si="237"/>
        <v>0</v>
      </c>
      <c r="H574" s="3">
        <f t="shared" si="238"/>
        <v>109.65252023493905</v>
      </c>
      <c r="I574" s="3">
        <f t="shared" si="239"/>
        <v>-54.979381834167953</v>
      </c>
      <c r="J574" s="2">
        <f t="shared" si="218"/>
        <v>122.66379914522848</v>
      </c>
      <c r="K574" s="2">
        <f t="shared" si="240"/>
        <v>83.615405006972381</v>
      </c>
      <c r="L574" s="5">
        <f t="shared" si="219"/>
        <v>28.528541718244782</v>
      </c>
      <c r="M574" s="3">
        <f t="shared" si="220"/>
        <v>18.183033513212425</v>
      </c>
      <c r="N574" s="2">
        <v>0</v>
      </c>
      <c r="O574" s="2">
        <f t="shared" si="221"/>
        <v>122.66379914522848</v>
      </c>
      <c r="P574" s="2">
        <f t="shared" si="222"/>
        <v>83.615405006972381</v>
      </c>
      <c r="Q574" s="5">
        <f t="shared" si="223"/>
        <v>1.0338070237498083</v>
      </c>
      <c r="R574" s="5">
        <f t="shared" si="224"/>
        <v>0.16341980436507222</v>
      </c>
      <c r="S574" s="4">
        <f t="shared" si="241"/>
        <v>0.14823471668022056</v>
      </c>
      <c r="T574" s="5">
        <f t="shared" si="225"/>
        <v>0.10690338947478266</v>
      </c>
      <c r="U574" s="4">
        <f t="shared" si="226"/>
        <v>0</v>
      </c>
      <c r="V574" s="4">
        <f t="shared" si="227"/>
        <v>0</v>
      </c>
      <c r="W574" s="5">
        <f t="shared" si="228"/>
        <v>0</v>
      </c>
      <c r="X574" s="5">
        <f t="shared" si="229"/>
        <v>-12.490463485256232</v>
      </c>
      <c r="Y574" s="5">
        <f t="shared" si="230"/>
        <v>6.262673760441511</v>
      </c>
      <c r="Z574" s="5">
        <f>1</f>
        <v>1</v>
      </c>
      <c r="AA574" s="5">
        <f>IF(M574=0,0,const*($T574/omega)*O574*(wy*I574-wz*(H574-V574))/Z574)</f>
        <v>0</v>
      </c>
      <c r="AB574" s="5">
        <f>IF(M574=0,0,const*($T574/omega)*O574*(wz*(G574-U574)-wx*I574)/Z574)</f>
        <v>4.0968171193642249</v>
      </c>
      <c r="AC574" s="5">
        <f>IF(M574=0,0,const*($T574/omega)*O574*(wx*(H574-V574)-wy*(G574-U574))/Z574)</f>
        <v>8.1708143506399065</v>
      </c>
      <c r="AD574" s="5">
        <f t="shared" si="243"/>
        <v>0</v>
      </c>
      <c r="AE574" s="5">
        <f t="shared" si="243"/>
        <v>-8.3936463658920069</v>
      </c>
      <c r="AF574" s="5">
        <f t="shared" si="231"/>
        <v>-17.740511888918583</v>
      </c>
      <c r="AG574">
        <f t="shared" si="242"/>
        <v>0</v>
      </c>
    </row>
    <row r="575" spans="1:33" x14ac:dyDescent="0.2">
      <c r="A575">
        <f t="shared" si="232"/>
        <v>5.4299999999999287</v>
      </c>
      <c r="B575" s="5">
        <f t="shared" si="233"/>
        <v>0</v>
      </c>
      <c r="C575" s="5">
        <f t="shared" si="234"/>
        <v>826.41895230208922</v>
      </c>
      <c r="D575" s="5">
        <f t="shared" si="235"/>
        <v>-22.317818304864641</v>
      </c>
      <c r="E575" s="2">
        <f t="shared" si="217"/>
        <v>275.47298410069641</v>
      </c>
      <c r="F575" s="2">
        <f t="shared" si="236"/>
        <v>0</v>
      </c>
      <c r="G575" s="3">
        <f t="shared" si="237"/>
        <v>0</v>
      </c>
      <c r="H575" s="3">
        <f t="shared" si="238"/>
        <v>109.56858377128013</v>
      </c>
      <c r="I575" s="3">
        <f t="shared" si="239"/>
        <v>-55.156786953057136</v>
      </c>
      <c r="J575" s="2">
        <f t="shared" si="218"/>
        <v>122.66843806223736</v>
      </c>
      <c r="K575" s="2">
        <f t="shared" si="240"/>
        <v>83.618567186255859</v>
      </c>
      <c r="L575" s="5">
        <f t="shared" si="219"/>
        <v>28.527462862595311</v>
      </c>
      <c r="M575" s="3">
        <f t="shared" si="220"/>
        <v>18.176530163615492</v>
      </c>
      <c r="N575" s="2">
        <v>0</v>
      </c>
      <c r="O575" s="2">
        <f t="shared" si="221"/>
        <v>122.66843806223736</v>
      </c>
      <c r="P575" s="2">
        <f t="shared" si="222"/>
        <v>83.618567186255859</v>
      </c>
      <c r="Q575" s="5">
        <f t="shared" si="223"/>
        <v>1.0338461204109242</v>
      </c>
      <c r="R575" s="5">
        <f t="shared" si="224"/>
        <v>0.16340756880023638</v>
      </c>
      <c r="S575" s="4">
        <f t="shared" si="241"/>
        <v>0.14817609525926631</v>
      </c>
      <c r="T575" s="5">
        <f t="shared" si="225"/>
        <v>0.10688647691237174</v>
      </c>
      <c r="U575" s="4">
        <f t="shared" si="226"/>
        <v>0</v>
      </c>
      <c r="V575" s="4">
        <f t="shared" si="227"/>
        <v>0</v>
      </c>
      <c r="W575" s="5">
        <f t="shared" si="228"/>
        <v>0</v>
      </c>
      <c r="X575" s="5">
        <f t="shared" si="229"/>
        <v>-12.480439824146234</v>
      </c>
      <c r="Y575" s="5">
        <f t="shared" si="230"/>
        <v>6.2826490657016283</v>
      </c>
      <c r="Z575" s="5">
        <f>1</f>
        <v>1</v>
      </c>
      <c r="AA575" s="5">
        <f>IF(M575=0,0,const*($T575/omega)*O575*(wy*I575-wz*(H575-V575))/Z575)</f>
        <v>0</v>
      </c>
      <c r="AB575" s="5">
        <f>IF(M575=0,0,const*($T575/omega)*O575*(wz*(G575-U575)-wx*I575)/Z575)</f>
        <v>4.1095417381222292</v>
      </c>
      <c r="AC575" s="5">
        <f>IF(M575=0,0,const*($T575/omega)*O575*(wx*(H575-V575)-wy*(G575-U575))/Z575)</f>
        <v>8.1635768337673333</v>
      </c>
      <c r="AD575" s="5">
        <f t="shared" si="243"/>
        <v>0</v>
      </c>
      <c r="AE575" s="5">
        <f t="shared" si="243"/>
        <v>-8.3708980860240061</v>
      </c>
      <c r="AF575" s="5">
        <f t="shared" si="231"/>
        <v>-17.727774100531036</v>
      </c>
      <c r="AG575">
        <f t="shared" si="242"/>
        <v>0</v>
      </c>
    </row>
    <row r="576" spans="1:33" x14ac:dyDescent="0.2">
      <c r="A576">
        <f t="shared" si="232"/>
        <v>5.4399999999999284</v>
      </c>
      <c r="B576" s="5">
        <f t="shared" si="233"/>
        <v>0</v>
      </c>
      <c r="C576" s="5">
        <f t="shared" si="234"/>
        <v>827.51421959489778</v>
      </c>
      <c r="D576" s="5">
        <f t="shared" si="235"/>
        <v>-22.87027256310024</v>
      </c>
      <c r="E576" s="2">
        <f t="shared" si="217"/>
        <v>275.83807319829924</v>
      </c>
      <c r="F576" s="2">
        <f t="shared" si="236"/>
        <v>0</v>
      </c>
      <c r="G576" s="3">
        <f t="shared" si="237"/>
        <v>0</v>
      </c>
      <c r="H576" s="3">
        <f t="shared" si="238"/>
        <v>109.48487479041989</v>
      </c>
      <c r="I576" s="3">
        <f t="shared" si="239"/>
        <v>-55.334064694062448</v>
      </c>
      <c r="J576" s="2">
        <f t="shared" si="218"/>
        <v>122.67353636151772</v>
      </c>
      <c r="K576" s="2">
        <f t="shared" si="240"/>
        <v>83.622042509555357</v>
      </c>
      <c r="L576" s="5">
        <f t="shared" si="219"/>
        <v>28.526277264236469</v>
      </c>
      <c r="M576" s="3">
        <f t="shared" si="220"/>
        <v>18.170015682521832</v>
      </c>
      <c r="N576" s="2">
        <v>0</v>
      </c>
      <c r="O576" s="2">
        <f t="shared" si="221"/>
        <v>122.67353636151772</v>
      </c>
      <c r="P576" s="2">
        <f t="shared" si="222"/>
        <v>83.622042509555357</v>
      </c>
      <c r="Q576" s="5">
        <f t="shared" si="223"/>
        <v>1.0338890887328085</v>
      </c>
      <c r="R576" s="5">
        <f t="shared" si="224"/>
        <v>0.16339519945085512</v>
      </c>
      <c r="S576" s="4">
        <f t="shared" si="241"/>
        <v>0.14811683286748148</v>
      </c>
      <c r="T576" s="5">
        <f t="shared" si="225"/>
        <v>0.10686937534564209</v>
      </c>
      <c r="U576" s="4">
        <f t="shared" si="226"/>
        <v>0</v>
      </c>
      <c r="V576" s="4">
        <f t="shared" si="227"/>
        <v>0</v>
      </c>
      <c r="W576" s="5">
        <f t="shared" si="228"/>
        <v>0</v>
      </c>
      <c r="X576" s="5">
        <f t="shared" si="229"/>
        <v>-12.470479199906039</v>
      </c>
      <c r="Y576" s="5">
        <f t="shared" si="230"/>
        <v>6.3026267704508596</v>
      </c>
      <c r="Z576" s="5">
        <f>1</f>
        <v>1</v>
      </c>
      <c r="AA576" s="5">
        <f>IF(M576=0,0,const*($T576/omega)*O576*(wy*I576-wz*(H576-V576))/Z576)</f>
        <v>0</v>
      </c>
      <c r="AB576" s="5">
        <f>IF(M576=0,0,const*($T576/omega)*O576*(wz*(G576-U576)-wx*I576)/Z576)</f>
        <v>4.1222617816100104</v>
      </c>
      <c r="AC576" s="5">
        <f>IF(M576=0,0,const*($T576/omega)*O576*(wx*(H576-V576)-wy*(G576-U576))/Z576)</f>
        <v>8.1563737908690825</v>
      </c>
      <c r="AD576" s="5">
        <f t="shared" si="243"/>
        <v>0</v>
      </c>
      <c r="AE576" s="5">
        <f t="shared" si="243"/>
        <v>-8.3482174182960289</v>
      </c>
      <c r="AF576" s="5">
        <f t="shared" si="231"/>
        <v>-17.714999438680056</v>
      </c>
      <c r="AG576">
        <f t="shared" si="242"/>
        <v>0</v>
      </c>
    </row>
    <row r="577" spans="1:33" x14ac:dyDescent="0.2">
      <c r="A577">
        <f t="shared" si="232"/>
        <v>5.4499999999999282</v>
      </c>
      <c r="B577" s="5">
        <f t="shared" si="233"/>
        <v>0</v>
      </c>
      <c r="C577" s="5">
        <f t="shared" si="234"/>
        <v>828.60865093193104</v>
      </c>
      <c r="D577" s="5">
        <f t="shared" si="235"/>
        <v>-23.424498960012802</v>
      </c>
      <c r="E577" s="2">
        <f t="shared" si="217"/>
        <v>276.20288364397703</v>
      </c>
      <c r="F577" s="2">
        <f t="shared" si="236"/>
        <v>0</v>
      </c>
      <c r="G577" s="3">
        <f t="shared" si="237"/>
        <v>0</v>
      </c>
      <c r="H577" s="3">
        <f t="shared" si="238"/>
        <v>109.40139261623693</v>
      </c>
      <c r="I577" s="3">
        <f t="shared" si="239"/>
        <v>-55.51121468844925</v>
      </c>
      <c r="J577" s="2">
        <f t="shared" si="218"/>
        <v>122.67909219813751</v>
      </c>
      <c r="K577" s="2">
        <f t="shared" si="240"/>
        <v>83.625829719248472</v>
      </c>
      <c r="L577" s="5">
        <f t="shared" si="219"/>
        <v>28.524985378773263</v>
      </c>
      <c r="M577" s="3">
        <f t="shared" si="220"/>
        <v>18.163490064226462</v>
      </c>
      <c r="N577" s="2">
        <v>0</v>
      </c>
      <c r="O577" s="2">
        <f t="shared" si="221"/>
        <v>122.67909219813751</v>
      </c>
      <c r="P577" s="2">
        <f t="shared" si="222"/>
        <v>83.625829719248472</v>
      </c>
      <c r="Q577" s="5">
        <f t="shared" si="223"/>
        <v>1.0339359131664261</v>
      </c>
      <c r="R577" s="5">
        <f t="shared" si="224"/>
        <v>0.16338269692759175</v>
      </c>
      <c r="S577" s="4">
        <f t="shared" si="241"/>
        <v>0.14805693243059567</v>
      </c>
      <c r="T577" s="5">
        <f t="shared" si="225"/>
        <v>0.10685208548337589</v>
      </c>
      <c r="U577" s="4">
        <f t="shared" si="226"/>
        <v>0</v>
      </c>
      <c r="V577" s="4">
        <f t="shared" si="227"/>
        <v>0</v>
      </c>
      <c r="W577" s="5">
        <f t="shared" si="228"/>
        <v>0</v>
      </c>
      <c r="X577" s="5">
        <f t="shared" si="229"/>
        <v>-12.460581296654007</v>
      </c>
      <c r="Y577" s="5">
        <f t="shared" si="230"/>
        <v>6.3226069336047575</v>
      </c>
      <c r="Z577" s="5">
        <f>1</f>
        <v>1</v>
      </c>
      <c r="AA577" s="5">
        <f>IF(M577=0,0,const*($T577/omega)*O577*(wy*I577-wz*(H577-V577))/Z577)</f>
        <v>0</v>
      </c>
      <c r="AB577" s="5">
        <f>IF(M577=0,0,const*($T577/omega)*O577*(wz*(G577-U577)-wx*I577)/Z577)</f>
        <v>4.1349772604544972</v>
      </c>
      <c r="AC577" s="5">
        <f>IF(M577=0,0,const*($T577/omega)*O577*(wx*(H577-V577)-wy*(G577-U577))/Z577)</f>
        <v>8.1492050438651944</v>
      </c>
      <c r="AD577" s="5">
        <f t="shared" si="243"/>
        <v>0</v>
      </c>
      <c r="AE577" s="5">
        <f t="shared" si="243"/>
        <v>-8.3256040361995112</v>
      </c>
      <c r="AF577" s="5">
        <f t="shared" si="231"/>
        <v>-17.702188022530049</v>
      </c>
      <c r="AG577">
        <f t="shared" si="242"/>
        <v>0</v>
      </c>
    </row>
    <row r="578" spans="1:33" x14ac:dyDescent="0.2">
      <c r="A578">
        <f t="shared" si="232"/>
        <v>5.459999999999928</v>
      </c>
      <c r="B578" s="5">
        <f t="shared" si="233"/>
        <v>0</v>
      </c>
      <c r="C578" s="5">
        <f t="shared" si="234"/>
        <v>829.70224857789162</v>
      </c>
      <c r="D578" s="5">
        <f t="shared" si="235"/>
        <v>-23.98049621629842</v>
      </c>
      <c r="E578" s="2">
        <f t="shared" si="217"/>
        <v>276.56741619263056</v>
      </c>
      <c r="F578" s="2">
        <f t="shared" si="236"/>
        <v>0</v>
      </c>
      <c r="G578" s="3">
        <f t="shared" si="237"/>
        <v>0</v>
      </c>
      <c r="H578" s="3">
        <f t="shared" si="238"/>
        <v>109.31813657587493</v>
      </c>
      <c r="I578" s="3">
        <f t="shared" si="239"/>
        <v>-55.688236568674547</v>
      </c>
      <c r="J578" s="2">
        <f t="shared" si="218"/>
        <v>122.68510372718566</v>
      </c>
      <c r="K578" s="2">
        <f t="shared" si="240"/>
        <v>83.6299275577271</v>
      </c>
      <c r="L578" s="5">
        <f t="shared" si="219"/>
        <v>28.523587664030444</v>
      </c>
      <c r="M578" s="3">
        <f t="shared" si="220"/>
        <v>18.156953303454337</v>
      </c>
      <c r="N578" s="2">
        <v>0</v>
      </c>
      <c r="O578" s="2">
        <f t="shared" si="221"/>
        <v>122.68510372718566</v>
      </c>
      <c r="P578" s="2">
        <f t="shared" si="222"/>
        <v>83.6299275577271</v>
      </c>
      <c r="Q578" s="5">
        <f t="shared" si="223"/>
        <v>1.0339865781629185</v>
      </c>
      <c r="R578" s="5">
        <f t="shared" si="224"/>
        <v>0.16337006184396169</v>
      </c>
      <c r="S578" s="4">
        <f t="shared" si="241"/>
        <v>0.14799639688800259</v>
      </c>
      <c r="T578" s="5">
        <f t="shared" si="225"/>
        <v>0.10683460803751381</v>
      </c>
      <c r="U578" s="4">
        <f t="shared" si="226"/>
        <v>0</v>
      </c>
      <c r="V578" s="4">
        <f t="shared" si="227"/>
        <v>0</v>
      </c>
      <c r="W578" s="5">
        <f t="shared" si="228"/>
        <v>0</v>
      </c>
      <c r="X578" s="5">
        <f t="shared" si="229"/>
        <v>-12.450745799865366</v>
      </c>
      <c r="Y578" s="5">
        <f t="shared" si="230"/>
        <v>6.3425896130061643</v>
      </c>
      <c r="Z578" s="5">
        <f>1</f>
        <v>1</v>
      </c>
      <c r="AA578" s="5">
        <f>IF(M578=0,0,const*($T578/omega)*O578*(wy*I578-wz*(H578-V578))/Z578)</f>
        <v>0</v>
      </c>
      <c r="AB578" s="5">
        <f>IF(M578=0,0,const*($T578/omega)*O578*(wz*(G578-U578)-wx*I578)/Z578)</f>
        <v>4.147688184727004</v>
      </c>
      <c r="AC578" s="5">
        <f>IF(M578=0,0,const*($T578/omega)*O578*(wx*(H578-V578)-wy*(G578-U578))/Z578)</f>
        <v>8.1420704154094814</v>
      </c>
      <c r="AD578" s="5">
        <f t="shared" si="243"/>
        <v>0</v>
      </c>
      <c r="AE578" s="5">
        <f t="shared" si="243"/>
        <v>-8.3030576151383624</v>
      </c>
      <c r="AF578" s="5">
        <f t="shared" si="231"/>
        <v>-17.689339971584353</v>
      </c>
      <c r="AG578">
        <f t="shared" si="242"/>
        <v>0</v>
      </c>
    </row>
    <row r="579" spans="1:33" x14ac:dyDescent="0.2">
      <c r="A579">
        <f t="shared" si="232"/>
        <v>5.4699999999999278</v>
      </c>
      <c r="B579" s="5">
        <f t="shared" si="233"/>
        <v>0</v>
      </c>
      <c r="C579" s="5">
        <f t="shared" si="234"/>
        <v>830.79501479076953</v>
      </c>
      <c r="D579" s="5">
        <f t="shared" si="235"/>
        <v>-24.538263048983744</v>
      </c>
      <c r="E579" s="2">
        <f t="shared" si="217"/>
        <v>276.9316715969232</v>
      </c>
      <c r="F579" s="2">
        <f t="shared" si="236"/>
        <v>0</v>
      </c>
      <c r="G579" s="3">
        <f t="shared" si="237"/>
        <v>0</v>
      </c>
      <c r="H579" s="3">
        <f t="shared" si="238"/>
        <v>109.23510599972354</v>
      </c>
      <c r="I579" s="3">
        <f t="shared" si="239"/>
        <v>-55.865129968390391</v>
      </c>
      <c r="J579" s="2">
        <f t="shared" si="218"/>
        <v>122.69156910381409</v>
      </c>
      <c r="K579" s="2">
        <f t="shared" si="240"/>
        <v>83.634334767426097</v>
      </c>
      <c r="L579" s="5">
        <f t="shared" si="219"/>
        <v>28.522084580009359</v>
      </c>
      <c r="M579" s="3">
        <f t="shared" si="220"/>
        <v>18.150405395358575</v>
      </c>
      <c r="N579" s="2">
        <v>0</v>
      </c>
      <c r="O579" s="2">
        <f t="shared" si="221"/>
        <v>122.69156910381409</v>
      </c>
      <c r="P579" s="2">
        <f t="shared" si="222"/>
        <v>83.634334767426097</v>
      </c>
      <c r="Q579" s="5">
        <f t="shared" si="223"/>
        <v>1.0340410681739589</v>
      </c>
      <c r="R579" s="5">
        <f t="shared" si="224"/>
        <v>0.16335729481627526</v>
      </c>
      <c r="S579" s="4">
        <f t="shared" si="241"/>
        <v>0.14793522919248683</v>
      </c>
      <c r="T579" s="5">
        <f t="shared" si="225"/>
        <v>0.10681694372309905</v>
      </c>
      <c r="U579" s="4">
        <f t="shared" si="226"/>
        <v>0</v>
      </c>
      <c r="V579" s="4">
        <f t="shared" si="227"/>
        <v>0</v>
      </c>
      <c r="W579" s="5">
        <f t="shared" si="228"/>
        <v>0</v>
      </c>
      <c r="X579" s="5">
        <f t="shared" si="229"/>
        <v>-12.440972396367584</v>
      </c>
      <c r="Y579" s="5">
        <f t="shared" si="230"/>
        <v>6.3625748654282566</v>
      </c>
      <c r="Z579" s="5">
        <f>1</f>
        <v>1</v>
      </c>
      <c r="AA579" s="5">
        <f>IF(M579=0,0,const*($T579/omega)*O579*(wy*I579-wz*(H579-V579))/Z579)</f>
        <v>0</v>
      </c>
      <c r="AB579" s="5">
        <f>IF(M579=0,0,const*($T579/omega)*O579*(wz*(G579-U579)-wx*I579)/Z579)</f>
        <v>4.1603945639453803</v>
      </c>
      <c r="AC579" s="5">
        <f>IF(M579=0,0,const*($T579/omega)*O579*(wx*(H579-V579)-wy*(G579-U579))/Z579)</f>
        <v>8.1349697288879561</v>
      </c>
      <c r="AD579" s="5">
        <f t="shared" si="243"/>
        <v>0</v>
      </c>
      <c r="AE579" s="5">
        <f t="shared" si="243"/>
        <v>-8.2805778324222032</v>
      </c>
      <c r="AF579" s="5">
        <f t="shared" si="231"/>
        <v>-17.676455405683786</v>
      </c>
      <c r="AG579">
        <f t="shared" si="242"/>
        <v>0</v>
      </c>
    </row>
    <row r="580" spans="1:33" x14ac:dyDescent="0.2">
      <c r="A580">
        <f t="shared" si="232"/>
        <v>5.4799999999999276</v>
      </c>
      <c r="B580" s="5">
        <f t="shared" si="233"/>
        <v>0</v>
      </c>
      <c r="C580" s="5">
        <f t="shared" si="234"/>
        <v>831.88695182187507</v>
      </c>
      <c r="D580" s="5">
        <f t="shared" si="235"/>
        <v>-25.097798171437933</v>
      </c>
      <c r="E580" s="2">
        <f t="shared" si="217"/>
        <v>277.29565060729169</v>
      </c>
      <c r="F580" s="2">
        <f t="shared" si="236"/>
        <v>0</v>
      </c>
      <c r="G580" s="3">
        <f t="shared" si="237"/>
        <v>0</v>
      </c>
      <c r="H580" s="3">
        <f t="shared" si="238"/>
        <v>109.15230022139932</v>
      </c>
      <c r="I580" s="3">
        <f t="shared" si="239"/>
        <v>-56.04189452244723</v>
      </c>
      <c r="J580" s="2">
        <f t="shared" si="218"/>
        <v>122.69848648327977</v>
      </c>
      <c r="K580" s="2">
        <f t="shared" si="240"/>
        <v>83.63905009085191</v>
      </c>
      <c r="L580" s="5">
        <f t="shared" si="219"/>
        <v>28.520476588844623</v>
      </c>
      <c r="M580" s="3">
        <f t="shared" si="220"/>
        <v>18.143846335518589</v>
      </c>
      <c r="N580" s="2">
        <v>0</v>
      </c>
      <c r="O580" s="2">
        <f t="shared" si="221"/>
        <v>122.69848648327977</v>
      </c>
      <c r="P580" s="2">
        <f t="shared" si="222"/>
        <v>83.63905009085191</v>
      </c>
      <c r="Q580" s="5">
        <f t="shared" si="223"/>
        <v>1.0340993676521044</v>
      </c>
      <c r="R580" s="5">
        <f t="shared" si="224"/>
        <v>0.16334439646358057</v>
      </c>
      <c r="S580" s="4">
        <f t="shared" si="241"/>
        <v>0.14787343230995004</v>
      </c>
      <c r="T580" s="5">
        <f t="shared" si="225"/>
        <v>0.10679909325822141</v>
      </c>
      <c r="U580" s="4">
        <f t="shared" si="226"/>
        <v>0</v>
      </c>
      <c r="V580" s="4">
        <f t="shared" si="227"/>
        <v>0</v>
      </c>
      <c r="W580" s="5">
        <f t="shared" si="228"/>
        <v>0</v>
      </c>
      <c r="X580" s="5">
        <f t="shared" si="229"/>
        <v>-12.431260774335769</v>
      </c>
      <c r="Y580" s="5">
        <f t="shared" si="230"/>
        <v>6.3825627465776336</v>
      </c>
      <c r="Z580" s="5">
        <f>1</f>
        <v>1</v>
      </c>
      <c r="AA580" s="5">
        <f>IF(M580=0,0,const*($T580/omega)*O580*(wy*I580-wz*(H580-V580))/Z580)</f>
        <v>0</v>
      </c>
      <c r="AB580" s="5">
        <f>IF(M580=0,0,const*($T580/omega)*O580*(wz*(G580-U580)-wx*I580)/Z580)</f>
        <v>4.1730964070761756</v>
      </c>
      <c r="AC580" s="5">
        <f>IF(M580=0,0,const*($T580/omega)*O580*(wx*(H580-V580)-wy*(G580-U580))/Z580)</f>
        <v>8.1279028084172413</v>
      </c>
      <c r="AD580" s="5">
        <f t="shared" si="243"/>
        <v>0</v>
      </c>
      <c r="AE580" s="5">
        <f t="shared" si="243"/>
        <v>-8.2581643672595924</v>
      </c>
      <c r="AF580" s="5">
        <f t="shared" si="231"/>
        <v>-17.663534445005126</v>
      </c>
      <c r="AG580">
        <f t="shared" si="242"/>
        <v>0</v>
      </c>
    </row>
    <row r="581" spans="1:33" x14ac:dyDescent="0.2">
      <c r="A581">
        <f t="shared" si="232"/>
        <v>5.4899999999999274</v>
      </c>
      <c r="B581" s="5">
        <f t="shared" si="233"/>
        <v>0</v>
      </c>
      <c r="C581" s="5">
        <f t="shared" si="234"/>
        <v>832.97806191587074</v>
      </c>
      <c r="D581" s="5">
        <f t="shared" si="235"/>
        <v>-25.659100293384657</v>
      </c>
      <c r="E581" s="2">
        <f t="shared" si="217"/>
        <v>277.65935397195693</v>
      </c>
      <c r="F581" s="2">
        <f t="shared" si="236"/>
        <v>0</v>
      </c>
      <c r="G581" s="3">
        <f t="shared" si="237"/>
        <v>0</v>
      </c>
      <c r="H581" s="3">
        <f t="shared" si="238"/>
        <v>109.06971857772672</v>
      </c>
      <c r="I581" s="3">
        <f t="shared" si="239"/>
        <v>-56.218529866897278</v>
      </c>
      <c r="J581" s="2">
        <f t="shared" si="218"/>
        <v>122.70585402098681</v>
      </c>
      <c r="K581" s="2">
        <f t="shared" si="240"/>
        <v>83.644072270611318</v>
      </c>
      <c r="L581" s="5">
        <f t="shared" si="219"/>
        <v>28.518764154760952</v>
      </c>
      <c r="M581" s="3">
        <f t="shared" si="220"/>
        <v>18.13727611993826</v>
      </c>
      <c r="N581" s="2">
        <v>0</v>
      </c>
      <c r="O581" s="2">
        <f t="shared" si="221"/>
        <v>122.70585402098681</v>
      </c>
      <c r="P581" s="2">
        <f t="shared" si="222"/>
        <v>83.644072270611318</v>
      </c>
      <c r="Q581" s="5">
        <f t="shared" si="223"/>
        <v>1.0341614610511545</v>
      </c>
      <c r="R581" s="5">
        <f t="shared" si="224"/>
        <v>0.16333136740760659</v>
      </c>
      <c r="S581" s="4">
        <f t="shared" si="241"/>
        <v>0.14781100921913781</v>
      </c>
      <c r="T581" s="5">
        <f t="shared" si="225"/>
        <v>0.10678105736396142</v>
      </c>
      <c r="U581" s="4">
        <f t="shared" si="226"/>
        <v>0</v>
      </c>
      <c r="V581" s="4">
        <f t="shared" si="227"/>
        <v>0</v>
      </c>
      <c r="W581" s="5">
        <f t="shared" si="228"/>
        <v>0</v>
      </c>
      <c r="X581" s="5">
        <f t="shared" si="229"/>
        <v>-12.421610623288135</v>
      </c>
      <c r="Y581" s="5">
        <f t="shared" si="230"/>
        <v>6.4025533110974617</v>
      </c>
      <c r="Z581" s="5">
        <f>1</f>
        <v>1</v>
      </c>
      <c r="AA581" s="5">
        <f>IF(M581=0,0,const*($T581/omega)*O581*(wy*I581-wz*(H581-V581))/Z581)</f>
        <v>0</v>
      </c>
      <c r="AB581" s="5">
        <f>IF(M581=0,0,const*($T581/omega)*O581*(wz*(G581-U581)-wx*I581)/Z581)</f>
        <v>4.1857937225368467</v>
      </c>
      <c r="AC581" s="5">
        <f>IF(M581=0,0,const*($T581/omega)*O581*(wx*(H581-V581)-wy*(G581-U581))/Z581)</f>
        <v>8.1208694788429874</v>
      </c>
      <c r="AD581" s="5">
        <f t="shared" si="243"/>
        <v>0</v>
      </c>
      <c r="AE581" s="5">
        <f t="shared" si="243"/>
        <v>-8.2358169007512885</v>
      </c>
      <c r="AF581" s="5">
        <f t="shared" si="231"/>
        <v>-17.650577210059552</v>
      </c>
      <c r="AG581">
        <f t="shared" si="242"/>
        <v>0</v>
      </c>
    </row>
    <row r="582" spans="1:33" x14ac:dyDescent="0.2">
      <c r="A582">
        <f t="shared" si="232"/>
        <v>5.4999999999999272</v>
      </c>
      <c r="B582" s="5">
        <f t="shared" si="233"/>
        <v>0</v>
      </c>
      <c r="C582" s="5">
        <f t="shared" si="234"/>
        <v>834.06834731080289</v>
      </c>
      <c r="D582" s="5">
        <f t="shared" si="235"/>
        <v>-26.222168120914134</v>
      </c>
      <c r="E582" s="2">
        <f t="shared" si="217"/>
        <v>278.02278243693428</v>
      </c>
      <c r="F582" s="2">
        <f t="shared" si="236"/>
        <v>0</v>
      </c>
      <c r="G582" s="3">
        <f t="shared" si="237"/>
        <v>0</v>
      </c>
      <c r="H582" s="3">
        <f t="shared" si="238"/>
        <v>108.98736040871921</v>
      </c>
      <c r="I582" s="3">
        <f t="shared" si="239"/>
        <v>-56.395035638997875</v>
      </c>
      <c r="J582" s="2">
        <f t="shared" si="218"/>
        <v>122.71366987252844</v>
      </c>
      <c r="K582" s="2">
        <f t="shared" si="240"/>
        <v>83.649400049439976</v>
      </c>
      <c r="L582" s="5">
        <f t="shared" si="219"/>
        <v>28.516947744030059</v>
      </c>
      <c r="M582" s="3">
        <f t="shared" si="220"/>
        <v>18.130694745044078</v>
      </c>
      <c r="N582" s="2">
        <v>0</v>
      </c>
      <c r="O582" s="2">
        <f t="shared" si="221"/>
        <v>122.71366987252844</v>
      </c>
      <c r="P582" s="2">
        <f t="shared" si="222"/>
        <v>83.649400049439976</v>
      </c>
      <c r="Q582" s="5">
        <f t="shared" si="223"/>
        <v>1.0342273328264999</v>
      </c>
      <c r="R582" s="5">
        <f t="shared" si="224"/>
        <v>0.16331820827270624</v>
      </c>
      <c r="S582" s="4">
        <f t="shared" si="241"/>
        <v>0.1477479629113671</v>
      </c>
      <c r="T582" s="5">
        <f t="shared" si="225"/>
        <v>0.10676283676433455</v>
      </c>
      <c r="U582" s="4">
        <f t="shared" si="226"/>
        <v>0</v>
      </c>
      <c r="V582" s="4">
        <f t="shared" si="227"/>
        <v>0</v>
      </c>
      <c r="W582" s="5">
        <f t="shared" si="228"/>
        <v>0</v>
      </c>
      <c r="X582" s="5">
        <f t="shared" si="229"/>
        <v>-12.412021634081448</v>
      </c>
      <c r="Y582" s="5">
        <f t="shared" si="230"/>
        <v>6.4225466125706481</v>
      </c>
      <c r="Z582" s="5">
        <f>1</f>
        <v>1</v>
      </c>
      <c r="AA582" s="5">
        <f>IF(M582=0,0,const*($T582/omega)*O582*(wy*I582-wz*(H582-V582))/Z582)</f>
        <v>0</v>
      </c>
      <c r="AB582" s="5">
        <f>IF(M582=0,0,const*($T582/omega)*O582*(wz*(G582-U582)-wx*I582)/Z582)</f>
        <v>4.1984865181979982</v>
      </c>
      <c r="AC582" s="5">
        <f>IF(M582=0,0,const*($T582/omega)*O582*(wx*(H582-V582)-wy*(G582-U582))/Z582)</f>
        <v>8.1138695657383408</v>
      </c>
      <c r="AD582" s="5">
        <f t="shared" si="243"/>
        <v>0</v>
      </c>
      <c r="AE582" s="5">
        <f t="shared" si="243"/>
        <v>-8.2135351158834489</v>
      </c>
      <c r="AF582" s="5">
        <f t="shared" si="231"/>
        <v>-17.63758382169101</v>
      </c>
      <c r="AG582">
        <f t="shared" si="242"/>
        <v>0</v>
      </c>
    </row>
    <row r="583" spans="1:33" x14ac:dyDescent="0.2">
      <c r="A583">
        <f t="shared" si="232"/>
        <v>5.509999999999927</v>
      </c>
      <c r="B583" s="5">
        <f t="shared" si="233"/>
        <v>0</v>
      </c>
      <c r="C583" s="5">
        <f t="shared" si="234"/>
        <v>835.15781023813429</v>
      </c>
      <c r="D583" s="5">
        <f t="shared" si="235"/>
        <v>-26.787000356495195</v>
      </c>
      <c r="E583" s="2">
        <f t="shared" si="217"/>
        <v>278.38593674604476</v>
      </c>
      <c r="F583" s="2">
        <f t="shared" si="236"/>
        <v>0</v>
      </c>
      <c r="G583" s="3">
        <f t="shared" si="237"/>
        <v>0</v>
      </c>
      <c r="H583" s="3">
        <f t="shared" si="238"/>
        <v>108.90522505756037</v>
      </c>
      <c r="I583" s="3">
        <f t="shared" si="239"/>
        <v>-56.571411477214788</v>
      </c>
      <c r="J583" s="2">
        <f t="shared" si="218"/>
        <v>122.72193219372903</v>
      </c>
      <c r="K583" s="2">
        <f t="shared" si="240"/>
        <v>83.655032170231095</v>
      </c>
      <c r="L583" s="5">
        <f t="shared" si="219"/>
        <v>28.515027824927493</v>
      </c>
      <c r="M583" s="3">
        <f t="shared" si="220"/>
        <v>18.124102207683261</v>
      </c>
      <c r="N583" s="2">
        <v>0</v>
      </c>
      <c r="O583" s="2">
        <f t="shared" si="221"/>
        <v>122.72193219372903</v>
      </c>
      <c r="P583" s="2">
        <f t="shared" si="222"/>
        <v>83.655032170231095</v>
      </c>
      <c r="Q583" s="5">
        <f t="shared" si="223"/>
        <v>1.0342969674354812</v>
      </c>
      <c r="R583" s="5">
        <f t="shared" si="224"/>
        <v>0.1633049196857993</v>
      </c>
      <c r="S583" s="4">
        <f t="shared" si="241"/>
        <v>0.14768429639025343</v>
      </c>
      <c r="T583" s="5">
        <f t="shared" si="225"/>
        <v>0.10674443218623539</v>
      </c>
      <c r="U583" s="4">
        <f t="shared" si="226"/>
        <v>0</v>
      </c>
      <c r="V583" s="4">
        <f t="shared" si="227"/>
        <v>0</v>
      </c>
      <c r="W583" s="5">
        <f t="shared" si="228"/>
        <v>0</v>
      </c>
      <c r="X583" s="5">
        <f t="shared" si="229"/>
        <v>-12.402493498906514</v>
      </c>
      <c r="Y583" s="5">
        <f t="shared" si="230"/>
        <v>6.4425427035230554</v>
      </c>
      <c r="Z583" s="5">
        <f>1</f>
        <v>1</v>
      </c>
      <c r="AA583" s="5">
        <f>IF(M583=0,0,const*($T583/omega)*O583*(wy*I583-wz*(H583-V583))/Z583)</f>
        <v>0</v>
      </c>
      <c r="AB583" s="5">
        <f>IF(M583=0,0,const*($T583/omega)*O583*(wz*(G583-U583)-wx*I583)/Z583)</f>
        <v>4.2111748013856314</v>
      </c>
      <c r="AC583" s="5">
        <f>IF(M583=0,0,const*($T583/omega)*O583*(wx*(H583-V583)-wy*(G583-U583))/Z583)</f>
        <v>8.1069028954023317</v>
      </c>
      <c r="AD583" s="5">
        <f t="shared" si="243"/>
        <v>0</v>
      </c>
      <c r="AE583" s="5">
        <f t="shared" si="243"/>
        <v>-8.1913186975208827</v>
      </c>
      <c r="AF583" s="5">
        <f t="shared" si="231"/>
        <v>-17.624554401074612</v>
      </c>
      <c r="AG583">
        <f t="shared" si="242"/>
        <v>0</v>
      </c>
    </row>
    <row r="584" spans="1:33" x14ac:dyDescent="0.2">
      <c r="A584">
        <f t="shared" si="232"/>
        <v>5.5199999999999267</v>
      </c>
      <c r="B584" s="5">
        <f t="shared" si="233"/>
        <v>0</v>
      </c>
      <c r="C584" s="5">
        <f t="shared" si="234"/>
        <v>836.24645292277501</v>
      </c>
      <c r="D584" s="5">
        <f t="shared" si="235"/>
        <v>-27.353595698987398</v>
      </c>
      <c r="E584" s="2">
        <f t="shared" si="217"/>
        <v>278.74881764092498</v>
      </c>
      <c r="F584" s="2">
        <f t="shared" si="236"/>
        <v>0</v>
      </c>
      <c r="G584" s="3">
        <f t="shared" si="237"/>
        <v>0</v>
      </c>
      <c r="H584" s="3">
        <f t="shared" si="238"/>
        <v>108.82331187058516</v>
      </c>
      <c r="I584" s="3">
        <f t="shared" si="239"/>
        <v>-56.747657021225535</v>
      </c>
      <c r="J584" s="2">
        <f t="shared" si="218"/>
        <v>122.73063914068601</v>
      </c>
      <c r="K584" s="2">
        <f t="shared" si="240"/>
        <v>83.660967376064079</v>
      </c>
      <c r="L584" s="5">
        <f t="shared" si="219"/>
        <v>28.513004867689709</v>
      </c>
      <c r="M584" s="3">
        <f t="shared" si="220"/>
        <v>18.11749850512189</v>
      </c>
      <c r="N584" s="2">
        <v>0</v>
      </c>
      <c r="O584" s="2">
        <f t="shared" si="221"/>
        <v>122.73063914068601</v>
      </c>
      <c r="P584" s="2">
        <f t="shared" si="222"/>
        <v>83.660967376064079</v>
      </c>
      <c r="Q584" s="5">
        <f t="shared" si="223"/>
        <v>1.0343703493377399</v>
      </c>
      <c r="R584" s="5">
        <f t="shared" si="224"/>
        <v>0.16329150227631592</v>
      </c>
      <c r="S584" s="4">
        <f t="shared" si="241"/>
        <v>0.14762001267143912</v>
      </c>
      <c r="T584" s="5">
        <f t="shared" si="225"/>
        <v>0.10672584435938198</v>
      </c>
      <c r="U584" s="4">
        <f t="shared" si="226"/>
        <v>0</v>
      </c>
      <c r="V584" s="4">
        <f t="shared" si="227"/>
        <v>0</v>
      </c>
      <c r="W584" s="5">
        <f t="shared" si="228"/>
        <v>0</v>
      </c>
      <c r="X584" s="5">
        <f t="shared" si="229"/>
        <v>-12.393025911283711</v>
      </c>
      <c r="Y584" s="5">
        <f t="shared" si="230"/>
        <v>6.4625416354267724</v>
      </c>
      <c r="Z584" s="5">
        <f>1</f>
        <v>1</v>
      </c>
      <c r="AA584" s="5">
        <f>IF(M584=0,0,const*($T584/omega)*O584*(wy*I584-wz*(H584-V584))/Z584)</f>
        <v>0</v>
      </c>
      <c r="AB584" s="5">
        <f>IF(M584=0,0,const*($T584/omega)*O584*(wz*(G584-U584)-wx*I584)/Z584)</f>
        <v>4.2238585788834513</v>
      </c>
      <c r="AC584" s="5">
        <f>IF(M584=0,0,const*($T584/omega)*O584*(wx*(H584-V584)-wy*(G584-U584))/Z584)</f>
        <v>8.0999692948583633</v>
      </c>
      <c r="AD584" s="5">
        <f t="shared" si="243"/>
        <v>0</v>
      </c>
      <c r="AE584" s="5">
        <f t="shared" si="243"/>
        <v>-8.1691673324002601</v>
      </c>
      <c r="AF584" s="5">
        <f t="shared" si="231"/>
        <v>-17.611489069714864</v>
      </c>
      <c r="AG584">
        <f t="shared" si="242"/>
        <v>0</v>
      </c>
    </row>
    <row r="585" spans="1:33" x14ac:dyDescent="0.2">
      <c r="A585">
        <f t="shared" si="232"/>
        <v>5.5299999999999265</v>
      </c>
      <c r="B585" s="5">
        <f t="shared" si="233"/>
        <v>0</v>
      </c>
      <c r="C585" s="5">
        <f t="shared" si="234"/>
        <v>837.33427758311427</v>
      </c>
      <c r="D585" s="5">
        <f t="shared" si="235"/>
        <v>-27.921952843653141</v>
      </c>
      <c r="E585" s="2">
        <f t="shared" si="217"/>
        <v>279.11142586103807</v>
      </c>
      <c r="F585" s="2">
        <f t="shared" si="236"/>
        <v>0</v>
      </c>
      <c r="G585" s="3">
        <f t="shared" si="237"/>
        <v>0</v>
      </c>
      <c r="H585" s="3">
        <f t="shared" si="238"/>
        <v>108.74162019726116</v>
      </c>
      <c r="I585" s="3">
        <f t="shared" si="239"/>
        <v>-56.923771911922685</v>
      </c>
      <c r="J585" s="2">
        <f t="shared" si="218"/>
        <v>122.73978886981187</v>
      </c>
      <c r="K585" s="2">
        <f t="shared" si="240"/>
        <v>83.66720441023304</v>
      </c>
      <c r="L585" s="5">
        <f t="shared" si="219"/>
        <v>28.510879344470982</v>
      </c>
      <c r="M585" s="3">
        <f t="shared" si="220"/>
        <v>18.110883635042981</v>
      </c>
      <c r="N585" s="2">
        <v>0</v>
      </c>
      <c r="O585" s="2">
        <f t="shared" si="221"/>
        <v>122.73978886981187</v>
      </c>
      <c r="P585" s="2">
        <f t="shared" si="222"/>
        <v>83.66720441023304</v>
      </c>
      <c r="Q585" s="5">
        <f t="shared" si="223"/>
        <v>1.0344474629955724</v>
      </c>
      <c r="R585" s="5">
        <f t="shared" si="224"/>
        <v>0.16327795667613967</v>
      </c>
      <c r="S585" s="4">
        <f t="shared" si="241"/>
        <v>0.14755511478232136</v>
      </c>
      <c r="T585" s="5">
        <f t="shared" si="225"/>
        <v>0.10670707401626021</v>
      </c>
      <c r="U585" s="4">
        <f t="shared" si="226"/>
        <v>0</v>
      </c>
      <c r="V585" s="4">
        <f t="shared" si="227"/>
        <v>0</v>
      </c>
      <c r="W585" s="5">
        <f t="shared" si="228"/>
        <v>0</v>
      </c>
      <c r="X585" s="5">
        <f t="shared" si="229"/>
        <v>-12.383618566058518</v>
      </c>
      <c r="Y585" s="5">
        <f t="shared" si="230"/>
        <v>6.4825434587034119</v>
      </c>
      <c r="Z585" s="5">
        <f>1</f>
        <v>1</v>
      </c>
      <c r="AA585" s="5">
        <f>IF(M585=0,0,const*($T585/omega)*O585*(wy*I585-wz*(H585-V585))/Z585)</f>
        <v>0</v>
      </c>
      <c r="AB585" s="5">
        <f>IF(M585=0,0,const*($T585/omega)*O585*(wz*(G585-U585)-wx*I585)/Z585)</f>
        <v>4.2365378569351826</v>
      </c>
      <c r="AC585" s="5">
        <f>IF(M585=0,0,const*($T585/omega)*O585*(wx*(H585-V585)-wy*(G585-U585))/Z585)</f>
        <v>8.0930685918526297</v>
      </c>
      <c r="AD585" s="5">
        <f t="shared" si="243"/>
        <v>0</v>
      </c>
      <c r="AE585" s="5">
        <f t="shared" si="243"/>
        <v>-8.147080709123335</v>
      </c>
      <c r="AF585" s="5">
        <f t="shared" si="231"/>
        <v>-17.598387949443957</v>
      </c>
      <c r="AG585">
        <f t="shared" si="242"/>
        <v>0</v>
      </c>
    </row>
    <row r="586" spans="1:33" x14ac:dyDescent="0.2">
      <c r="A586">
        <f t="shared" si="232"/>
        <v>5.5399999999999263</v>
      </c>
      <c r="B586" s="5">
        <f t="shared" si="233"/>
        <v>0</v>
      </c>
      <c r="C586" s="5">
        <f t="shared" si="234"/>
        <v>838.42128643105139</v>
      </c>
      <c r="D586" s="5">
        <f t="shared" si="235"/>
        <v>-28.49207048216984</v>
      </c>
      <c r="E586" s="2">
        <f t="shared" si="217"/>
        <v>279.47376214368381</v>
      </c>
      <c r="F586" s="2">
        <f t="shared" si="236"/>
        <v>0</v>
      </c>
      <c r="G586" s="3">
        <f t="shared" si="237"/>
        <v>0</v>
      </c>
      <c r="H586" s="3">
        <f t="shared" si="238"/>
        <v>108.66014939016992</v>
      </c>
      <c r="I586" s="3">
        <f t="shared" si="239"/>
        <v>-57.099755791417124</v>
      </c>
      <c r="J586" s="2">
        <f t="shared" si="218"/>
        <v>122.74937953787594</v>
      </c>
      <c r="K586" s="2">
        <f t="shared" si="240"/>
        <v>83.673742016275341</v>
      </c>
      <c r="L586" s="5">
        <f t="shared" si="219"/>
        <v>28.508651729300649</v>
      </c>
      <c r="M586" s="3">
        <f t="shared" si="220"/>
        <v>18.10425759554461</v>
      </c>
      <c r="N586" s="2">
        <v>0</v>
      </c>
      <c r="O586" s="2">
        <f t="shared" si="221"/>
        <v>122.74937953787594</v>
      </c>
      <c r="P586" s="2">
        <f t="shared" si="222"/>
        <v>83.673742016275341</v>
      </c>
      <c r="Q586" s="5">
        <f t="shared" si="223"/>
        <v>1.0345282928742829</v>
      </c>
      <c r="R586" s="5">
        <f t="shared" si="224"/>
        <v>0.16326428351955119</v>
      </c>
      <c r="S586" s="4">
        <f t="shared" si="241"/>
        <v>0.14748960576178149</v>
      </c>
      <c r="T586" s="5">
        <f t="shared" si="225"/>
        <v>0.10668812189206826</v>
      </c>
      <c r="U586" s="4">
        <f t="shared" si="226"/>
        <v>0</v>
      </c>
      <c r="V586" s="4">
        <f t="shared" si="227"/>
        <v>0</v>
      </c>
      <c r="W586" s="5">
        <f t="shared" si="228"/>
        <v>0</v>
      </c>
      <c r="X586" s="5">
        <f t="shared" si="229"/>
        <v>-12.374271159397074</v>
      </c>
      <c r="Y586" s="5">
        <f t="shared" si="230"/>
        <v>6.5025482227274534</v>
      </c>
      <c r="Z586" s="5">
        <f>1</f>
        <v>1</v>
      </c>
      <c r="AA586" s="5">
        <f>IF(M586=0,0,const*($T586/omega)*O586*(wy*I586-wz*(H586-V586))/Z586)</f>
        <v>0</v>
      </c>
      <c r="AB586" s="5">
        <f>IF(M586=0,0,const*($T586/omega)*O586*(wz*(G586-U586)-wx*I586)/Z586)</f>
        <v>4.2492126412469222</v>
      </c>
      <c r="AC586" s="5">
        <f>IF(M586=0,0,const*($T586/omega)*O586*(wx*(H586-V586)-wy*(G586-U586))/Z586)</f>
        <v>8.0862006148525758</v>
      </c>
      <c r="AD586" s="5">
        <f t="shared" si="243"/>
        <v>0</v>
      </c>
      <c r="AE586" s="5">
        <f t="shared" si="243"/>
        <v>-8.1250585181501513</v>
      </c>
      <c r="AF586" s="5">
        <f t="shared" si="231"/>
        <v>-17.585251162419972</v>
      </c>
      <c r="AG586">
        <f t="shared" si="242"/>
        <v>0</v>
      </c>
    </row>
    <row r="587" spans="1:33" x14ac:dyDescent="0.2">
      <c r="A587">
        <f t="shared" si="232"/>
        <v>5.5499999999999261</v>
      </c>
      <c r="B587" s="5">
        <f t="shared" si="233"/>
        <v>0</v>
      </c>
      <c r="C587" s="5">
        <f t="shared" si="234"/>
        <v>839.50748167202721</v>
      </c>
      <c r="D587" s="5">
        <f t="shared" si="235"/>
        <v>-29.063947302642134</v>
      </c>
      <c r="E587" s="2">
        <f t="shared" si="217"/>
        <v>279.83582722400905</v>
      </c>
      <c r="F587" s="2">
        <f t="shared" si="236"/>
        <v>0</v>
      </c>
      <c r="G587" s="3">
        <f t="shared" si="237"/>
        <v>0</v>
      </c>
      <c r="H587" s="3">
        <f t="shared" si="238"/>
        <v>108.57889880498841</v>
      </c>
      <c r="I587" s="3">
        <f t="shared" si="239"/>
        <v>-57.275608303041324</v>
      </c>
      <c r="J587" s="2">
        <f t="shared" si="218"/>
        <v>122.75940930204629</v>
      </c>
      <c r="K587" s="2">
        <f t="shared" si="240"/>
        <v>83.680578938000195</v>
      </c>
      <c r="L587" s="5">
        <f t="shared" si="219"/>
        <v>28.506322498040205</v>
      </c>
      <c r="M587" s="3">
        <f t="shared" si="220"/>
        <v>18.097620385137962</v>
      </c>
      <c r="N587" s="2">
        <v>0</v>
      </c>
      <c r="O587" s="2">
        <f t="shared" si="221"/>
        <v>122.75940930204629</v>
      </c>
      <c r="P587" s="2">
        <f t="shared" si="222"/>
        <v>83.680578938000195</v>
      </c>
      <c r="Q587" s="5">
        <f t="shared" si="223"/>
        <v>1.0346128234425365</v>
      </c>
      <c r="R587" s="5">
        <f t="shared" si="224"/>
        <v>0.16325048344317145</v>
      </c>
      <c r="S587" s="4">
        <f t="shared" si="241"/>
        <v>0.14742348865991398</v>
      </c>
      <c r="T587" s="5">
        <f t="shared" si="225"/>
        <v>0.10666898872466112</v>
      </c>
      <c r="U587" s="4">
        <f t="shared" si="226"/>
        <v>0</v>
      </c>
      <c r="V587" s="4">
        <f t="shared" si="227"/>
        <v>0</v>
      </c>
      <c r="W587" s="5">
        <f t="shared" si="228"/>
        <v>0</v>
      </c>
      <c r="X587" s="5">
        <f t="shared" si="229"/>
        <v>-12.364983388781786</v>
      </c>
      <c r="Y587" s="5">
        <f t="shared" si="230"/>
        <v>6.5225559758296319</v>
      </c>
      <c r="Z587" s="5">
        <f>1</f>
        <v>1</v>
      </c>
      <c r="AA587" s="5">
        <f>IF(M587=0,0,const*($T587/omega)*O587*(wy*I587-wz*(H587-V587))/Z587)</f>
        <v>0</v>
      </c>
      <c r="AB587" s="5">
        <f>IF(M587=0,0,const*($T587/omega)*O587*(wz*(G587-U587)-wx*I587)/Z587)</f>
        <v>4.2618829369895161</v>
      </c>
      <c r="AC587" s="5">
        <f>IF(M587=0,0,const*($T587/omega)*O587*(wx*(H587-V587)-wy*(G587-U587))/Z587)</f>
        <v>8.0793651930453532</v>
      </c>
      <c r="AD587" s="5">
        <f t="shared" si="243"/>
        <v>0</v>
      </c>
      <c r="AE587" s="5">
        <f t="shared" si="243"/>
        <v>-8.1031004517922689</v>
      </c>
      <c r="AF587" s="5">
        <f t="shared" si="231"/>
        <v>-17.572078831125015</v>
      </c>
      <c r="AG587">
        <f t="shared" si="242"/>
        <v>0</v>
      </c>
    </row>
    <row r="588" spans="1:33" x14ac:dyDescent="0.2">
      <c r="A588">
        <f t="shared" si="232"/>
        <v>5.5599999999999259</v>
      </c>
      <c r="B588" s="5">
        <f t="shared" si="233"/>
        <v>0</v>
      </c>
      <c r="C588" s="5">
        <f t="shared" si="234"/>
        <v>840.59286550505453</v>
      </c>
      <c r="D588" s="5">
        <f t="shared" si="235"/>
        <v>-29.637581989614102</v>
      </c>
      <c r="E588" s="2">
        <f t="shared" si="217"/>
        <v>280.1976218350182</v>
      </c>
      <c r="F588" s="2">
        <f t="shared" si="236"/>
        <v>0</v>
      </c>
      <c r="G588" s="3">
        <f t="shared" si="237"/>
        <v>0</v>
      </c>
      <c r="H588" s="3">
        <f t="shared" si="238"/>
        <v>108.49786780047049</v>
      </c>
      <c r="I588" s="3">
        <f t="shared" si="239"/>
        <v>-57.451329091352576</v>
      </c>
      <c r="J588" s="2">
        <f t="shared" si="218"/>
        <v>122.76987631993146</v>
      </c>
      <c r="K588" s="2">
        <f t="shared" si="240"/>
        <v>83.687713919517009</v>
      </c>
      <c r="L588" s="5">
        <f t="shared" si="219"/>
        <v>28.503892128340645</v>
      </c>
      <c r="M588" s="3">
        <f t="shared" si="220"/>
        <v>18.09097200274541</v>
      </c>
      <c r="N588" s="2">
        <v>0</v>
      </c>
      <c r="O588" s="2">
        <f t="shared" si="221"/>
        <v>122.76987631993146</v>
      </c>
      <c r="P588" s="2">
        <f t="shared" si="222"/>
        <v>83.687713919517009</v>
      </c>
      <c r="Q588" s="5">
        <f t="shared" si="223"/>
        <v>1.0347010391727094</v>
      </c>
      <c r="R588" s="5">
        <f t="shared" si="224"/>
        <v>0.16323655708590562</v>
      </c>
      <c r="S588" s="4">
        <f t="shared" si="241"/>
        <v>0.14735676653775676</v>
      </c>
      <c r="T588" s="5">
        <f t="shared" si="225"/>
        <v>0.10664967525449524</v>
      </c>
      <c r="U588" s="4">
        <f t="shared" si="226"/>
        <v>0</v>
      </c>
      <c r="V588" s="4">
        <f t="shared" si="227"/>
        <v>0</v>
      </c>
      <c r="W588" s="5">
        <f t="shared" si="228"/>
        <v>0</v>
      </c>
      <c r="X588" s="5">
        <f t="shared" si="229"/>
        <v>-12.35575495300691</v>
      </c>
      <c r="Y588" s="5">
        <f t="shared" si="230"/>
        <v>6.5425667653003527</v>
      </c>
      <c r="Z588" s="5">
        <f>1</f>
        <v>1</v>
      </c>
      <c r="AA588" s="5">
        <f>IF(M588=0,0,const*($T588/omega)*O588*(wy*I588-wz*(H588-V588))/Z588)</f>
        <v>0</v>
      </c>
      <c r="AB588" s="5">
        <f>IF(M588=0,0,const*($T588/omega)*O588*(wz*(G588-U588)-wx*I588)/Z588)</f>
        <v>4.2745487488009708</v>
      </c>
      <c r="AC588" s="5">
        <f>IF(M588=0,0,const*($T588/omega)*O588*(wx*(H588-V588)-wy*(G588-U588))/Z588)</f>
        <v>8.0725621563362768</v>
      </c>
      <c r="AD588" s="5">
        <f t="shared" si="243"/>
        <v>0</v>
      </c>
      <c r="AE588" s="5">
        <f t="shared" si="243"/>
        <v>-8.0812062042059392</v>
      </c>
      <c r="AF588" s="5">
        <f t="shared" si="231"/>
        <v>-17.558871078363371</v>
      </c>
      <c r="AG588">
        <f t="shared" si="242"/>
        <v>0</v>
      </c>
    </row>
    <row r="589" spans="1:33" x14ac:dyDescent="0.2">
      <c r="A589">
        <f t="shared" si="232"/>
        <v>5.5699999999999257</v>
      </c>
      <c r="B589" s="5">
        <f t="shared" si="233"/>
        <v>0</v>
      </c>
      <c r="C589" s="5">
        <f t="shared" si="234"/>
        <v>841.67744012274909</v>
      </c>
      <c r="D589" s="5">
        <f t="shared" si="235"/>
        <v>-30.212973224081544</v>
      </c>
      <c r="E589" s="2">
        <f t="shared" si="217"/>
        <v>280.55914670758301</v>
      </c>
      <c r="F589" s="2">
        <f t="shared" si="236"/>
        <v>0</v>
      </c>
      <c r="G589" s="3">
        <f t="shared" si="237"/>
        <v>0</v>
      </c>
      <c r="H589" s="3">
        <f t="shared" si="238"/>
        <v>108.41705573842843</v>
      </c>
      <c r="I589" s="3">
        <f t="shared" si="239"/>
        <v>-57.626917802136212</v>
      </c>
      <c r="J589" s="2">
        <f t="shared" si="218"/>
        <v>122.78077874962213</v>
      </c>
      <c r="K589" s="2">
        <f t="shared" si="240"/>
        <v>83.695145705263883</v>
      </c>
      <c r="L589" s="5">
        <f t="shared" si="219"/>
        <v>28.501361099599791</v>
      </c>
      <c r="M589" s="3">
        <f t="shared" si="220"/>
        <v>18.084312447698565</v>
      </c>
      <c r="N589" s="2">
        <v>0</v>
      </c>
      <c r="O589" s="2">
        <f t="shared" si="221"/>
        <v>122.78077874962213</v>
      </c>
      <c r="P589" s="2">
        <f t="shared" si="222"/>
        <v>83.695145705263883</v>
      </c>
      <c r="Q589" s="5">
        <f t="shared" si="223"/>
        <v>1.0347929245412428</v>
      </c>
      <c r="R589" s="5">
        <f t="shared" si="224"/>
        <v>0.16322250508888669</v>
      </c>
      <c r="S589" s="4">
        <f t="shared" si="241"/>
        <v>0.1472894424670215</v>
      </c>
      <c r="T589" s="5">
        <f t="shared" si="225"/>
        <v>0.10663018222457341</v>
      </c>
      <c r="U589" s="4">
        <f t="shared" si="226"/>
        <v>0</v>
      </c>
      <c r="V589" s="4">
        <f t="shared" si="227"/>
        <v>0</v>
      </c>
      <c r="W589" s="5">
        <f t="shared" si="228"/>
        <v>0</v>
      </c>
      <c r="X589" s="5">
        <f t="shared" si="229"/>
        <v>-12.346585552174203</v>
      </c>
      <c r="Y589" s="5">
        <f t="shared" si="230"/>
        <v>6.5625806373931592</v>
      </c>
      <c r="Z589" s="5">
        <f>1</f>
        <v>1</v>
      </c>
      <c r="AA589" s="5">
        <f>IF(M589=0,0,const*($T589/omega)*O589*(wy*I589-wz*(H589-V589))/Z589)</f>
        <v>0</v>
      </c>
      <c r="AB589" s="5">
        <f>IF(M589=0,0,const*($T589/omega)*O589*(wz*(G589-U589)-wx*I589)/Z589)</f>
        <v>4.2872100807888813</v>
      </c>
      <c r="AC589" s="5">
        <f>IF(M589=0,0,const*($T589/omega)*O589*(wx*(H589-V589)-wy*(G589-U589))/Z589)</f>
        <v>8.0657913353472832</v>
      </c>
      <c r="AD589" s="5">
        <f t="shared" si="243"/>
        <v>0</v>
      </c>
      <c r="AE589" s="5">
        <f t="shared" si="243"/>
        <v>-8.0593754713853212</v>
      </c>
      <c r="AF589" s="5">
        <f t="shared" si="231"/>
        <v>-17.545628027259557</v>
      </c>
      <c r="AG589">
        <f t="shared" si="242"/>
        <v>0</v>
      </c>
    </row>
    <row r="590" spans="1:33" x14ac:dyDescent="0.2">
      <c r="A590">
        <f t="shared" si="232"/>
        <v>5.5799999999999255</v>
      </c>
      <c r="B590" s="5">
        <f t="shared" si="233"/>
        <v>0</v>
      </c>
      <c r="C590" s="5">
        <f t="shared" si="234"/>
        <v>842.76120771135982</v>
      </c>
      <c r="D590" s="5">
        <f t="shared" si="235"/>
        <v>-30.790119683504269</v>
      </c>
      <c r="E590" s="2">
        <f t="shared" si="217"/>
        <v>280.92040257045329</v>
      </c>
      <c r="F590" s="2">
        <f t="shared" si="236"/>
        <v>0</v>
      </c>
      <c r="G590" s="3">
        <f t="shared" si="237"/>
        <v>0</v>
      </c>
      <c r="H590" s="3">
        <f t="shared" si="238"/>
        <v>108.33646198371457</v>
      </c>
      <c r="I590" s="3">
        <f t="shared" si="239"/>
        <v>-57.802374082408811</v>
      </c>
      <c r="J590" s="2">
        <f t="shared" si="218"/>
        <v>122.79211474973285</v>
      </c>
      <c r="K590" s="2">
        <f t="shared" si="240"/>
        <v>83.702873040036025</v>
      </c>
      <c r="L590" s="5">
        <f t="shared" si="219"/>
        <v>28.498729892919794</v>
      </c>
      <c r="M590" s="3">
        <f t="shared" si="220"/>
        <v>18.077641719736331</v>
      </c>
      <c r="N590" s="2">
        <v>0</v>
      </c>
      <c r="O590" s="2">
        <f t="shared" si="221"/>
        <v>122.79211474973285</v>
      </c>
      <c r="P590" s="2">
        <f t="shared" si="222"/>
        <v>83.702873040036025</v>
      </c>
      <c r="Q590" s="5">
        <f t="shared" si="223"/>
        <v>1.0348884640289919</v>
      </c>
      <c r="R590" s="5">
        <f t="shared" si="224"/>
        <v>0.16320832809541952</v>
      </c>
      <c r="S590" s="4">
        <f t="shared" si="241"/>
        <v>0.14722151952982521</v>
      </c>
      <c r="T590" s="5">
        <f t="shared" si="225"/>
        <v>0.10661051038038938</v>
      </c>
      <c r="U590" s="4">
        <f t="shared" si="226"/>
        <v>0</v>
      </c>
      <c r="V590" s="4">
        <f t="shared" si="227"/>
        <v>0</v>
      </c>
      <c r="W590" s="5">
        <f t="shared" si="228"/>
        <v>0</v>
      </c>
      <c r="X590" s="5">
        <f t="shared" si="229"/>
        <v>-12.337474887688575</v>
      </c>
      <c r="Y590" s="5">
        <f t="shared" si="230"/>
        <v>6.5825976373282353</v>
      </c>
      <c r="Z590" s="5">
        <f>1</f>
        <v>1</v>
      </c>
      <c r="AA590" s="5">
        <f>IF(M590=0,0,const*($T590/omega)*O590*(wy*I590-wz*(H590-V590))/Z590)</f>
        <v>0</v>
      </c>
      <c r="AB590" s="5">
        <f>IF(M590=0,0,const*($T590/omega)*O590*(wz*(G590-U590)-wx*I590)/Z590)</f>
        <v>4.2998669365329025</v>
      </c>
      <c r="AC590" s="5">
        <f>IF(M590=0,0,const*($T590/omega)*O590*(wx*(H590-V590)-wy*(G590-U590))/Z590)</f>
        <v>8.0590525614154043</v>
      </c>
      <c r="AD590" s="5">
        <f t="shared" si="243"/>
        <v>0</v>
      </c>
      <c r="AE590" s="5">
        <f t="shared" si="243"/>
        <v>-8.0376079511556728</v>
      </c>
      <c r="AF590" s="5">
        <f t="shared" si="231"/>
        <v>-17.532349801256359</v>
      </c>
      <c r="AG590">
        <f t="shared" si="242"/>
        <v>0</v>
      </c>
    </row>
    <row r="591" spans="1:33" x14ac:dyDescent="0.2">
      <c r="A591">
        <f t="shared" si="232"/>
        <v>5.5899999999999253</v>
      </c>
      <c r="B591" s="5">
        <f t="shared" si="233"/>
        <v>0</v>
      </c>
      <c r="C591" s="5">
        <f t="shared" si="234"/>
        <v>843.84417045079942</v>
      </c>
      <c r="D591" s="5">
        <f t="shared" si="235"/>
        <v>-31.36902004181842</v>
      </c>
      <c r="E591" s="2">
        <f t="shared" si="217"/>
        <v>281.28139015026647</v>
      </c>
      <c r="F591" s="2">
        <f t="shared" si="236"/>
        <v>0</v>
      </c>
      <c r="G591" s="3">
        <f t="shared" si="237"/>
        <v>0</v>
      </c>
      <c r="H591" s="3">
        <f t="shared" si="238"/>
        <v>108.25608590420302</v>
      </c>
      <c r="I591" s="3">
        <f t="shared" si="239"/>
        <v>-57.977697580421378</v>
      </c>
      <c r="J591" s="2">
        <f t="shared" si="218"/>
        <v>122.80388247944354</v>
      </c>
      <c r="K591" s="2">
        <f t="shared" si="240"/>
        <v>83.710894669013996</v>
      </c>
      <c r="L591" s="5">
        <f t="shared" si="219"/>
        <v>28.495998991064681</v>
      </c>
      <c r="M591" s="3">
        <f t="shared" si="220"/>
        <v>18.070959819002908</v>
      </c>
      <c r="N591" s="2">
        <v>0</v>
      </c>
      <c r="O591" s="2">
        <f t="shared" si="221"/>
        <v>122.80388247944354</v>
      </c>
      <c r="P591" s="2">
        <f t="shared" si="222"/>
        <v>83.710894669013996</v>
      </c>
      <c r="Q591" s="5">
        <f t="shared" si="223"/>
        <v>1.0349876421215771</v>
      </c>
      <c r="R591" s="5">
        <f t="shared" si="224"/>
        <v>0.16319402675092465</v>
      </c>
      <c r="S591" s="4">
        <f t="shared" si="241"/>
        <v>0.14715300081842161</v>
      </c>
      <c r="T591" s="5">
        <f t="shared" si="225"/>
        <v>0.10659066046987306</v>
      </c>
      <c r="U591" s="4">
        <f t="shared" si="226"/>
        <v>0</v>
      </c>
      <c r="V591" s="4">
        <f t="shared" si="227"/>
        <v>0</v>
      </c>
      <c r="W591" s="5">
        <f t="shared" si="228"/>
        <v>0</v>
      </c>
      <c r="X591" s="5">
        <f t="shared" si="229"/>
        <v>-12.328422662253761</v>
      </c>
      <c r="Y591" s="5">
        <f t="shared" si="230"/>
        <v>6.6026178092959391</v>
      </c>
      <c r="Z591" s="5">
        <f>1</f>
        <v>1</v>
      </c>
      <c r="AA591" s="5">
        <f>IF(M591=0,0,const*($T591/omega)*O591*(wy*I591-wz*(H591-V591))/Z591)</f>
        <v>0</v>
      </c>
      <c r="AB591" s="5">
        <f>IF(M591=0,0,const*($T591/omega)*O591*(wz*(G591-U591)-wx*I591)/Z591)</f>
        <v>4.3125193190872286</v>
      </c>
      <c r="AC591" s="5">
        <f>IF(M591=0,0,const*($T591/omega)*O591*(wx*(H591-V591)-wy*(G591-U591))/Z591)</f>
        <v>8.0523456665912168</v>
      </c>
      <c r="AD591" s="5">
        <f t="shared" si="243"/>
        <v>0</v>
      </c>
      <c r="AE591" s="5">
        <f t="shared" si="243"/>
        <v>-8.0159033431665314</v>
      </c>
      <c r="AF591" s="5">
        <f t="shared" si="231"/>
        <v>-17.519036524112842</v>
      </c>
      <c r="AG591">
        <f t="shared" si="242"/>
        <v>0</v>
      </c>
    </row>
    <row r="592" spans="1:33" x14ac:dyDescent="0.2">
      <c r="A592">
        <f t="shared" si="232"/>
        <v>5.599999999999925</v>
      </c>
      <c r="B592" s="5">
        <f t="shared" si="233"/>
        <v>0</v>
      </c>
      <c r="C592" s="5">
        <f t="shared" si="234"/>
        <v>844.92633051467431</v>
      </c>
      <c r="D592" s="5">
        <f t="shared" si="235"/>
        <v>-31.949672969448841</v>
      </c>
      <c r="E592" s="2">
        <f t="shared" si="217"/>
        <v>281.6421101715581</v>
      </c>
      <c r="F592" s="2">
        <f t="shared" si="236"/>
        <v>0</v>
      </c>
      <c r="G592" s="3">
        <f t="shared" si="237"/>
        <v>0</v>
      </c>
      <c r="H592" s="3">
        <f t="shared" si="238"/>
        <v>108.17592687077135</v>
      </c>
      <c r="I592" s="3">
        <f t="shared" si="239"/>
        <v>-58.152887945662506</v>
      </c>
      <c r="J592" s="2">
        <f t="shared" si="218"/>
        <v>122.81608009854105</v>
      </c>
      <c r="K592" s="2">
        <f t="shared" si="240"/>
        <v>83.719209337792122</v>
      </c>
      <c r="L592" s="5">
        <f t="shared" si="219"/>
        <v>28.493168878418054</v>
      </c>
      <c r="M592" s="3">
        <f t="shared" si="220"/>
        <v>18.064266746045842</v>
      </c>
      <c r="N592" s="2">
        <v>0</v>
      </c>
      <c r="O592" s="2">
        <f t="shared" si="221"/>
        <v>122.81608009854105</v>
      </c>
      <c r="P592" s="2">
        <f t="shared" si="222"/>
        <v>83.719209337792122</v>
      </c>
      <c r="Q592" s="5">
        <f t="shared" si="223"/>
        <v>1.0350904433097345</v>
      </c>
      <c r="R592" s="5">
        <f t="shared" si="224"/>
        <v>0.16317960170288265</v>
      </c>
      <c r="S592" s="4">
        <f t="shared" si="241"/>
        <v>0.14708388943493425</v>
      </c>
      <c r="T592" s="5">
        <f t="shared" si="225"/>
        <v>0.10657063324333547</v>
      </c>
      <c r="U592" s="4">
        <f t="shared" si="226"/>
        <v>0</v>
      </c>
      <c r="V592" s="4">
        <f t="shared" si="227"/>
        <v>0</v>
      </c>
      <c r="W592" s="5">
        <f t="shared" si="228"/>
        <v>0</v>
      </c>
      <c r="X592" s="5">
        <f t="shared" si="229"/>
        <v>-12.319428579868005</v>
      </c>
      <c r="Y592" s="5">
        <f t="shared" si="230"/>
        <v>6.6226411964603846</v>
      </c>
      <c r="Z592" s="5">
        <f>1</f>
        <v>1</v>
      </c>
      <c r="AA592" s="5">
        <f>IF(M592=0,0,const*($T592/omega)*O592*(wy*I592-wz*(H592-V592))/Z592)</f>
        <v>0</v>
      </c>
      <c r="AB592" s="5">
        <f>IF(M592=0,0,const*($T592/omega)*O592*(wz*(G592-U592)-wx*I592)/Z592)</f>
        <v>4.3251672309831131</v>
      </c>
      <c r="AC592" s="5">
        <f>IF(M592=0,0,const*($T592/omega)*O592*(wx*(H592-V592)-wy*(G592-U592))/Z592)</f>
        <v>8.045670483637327</v>
      </c>
      <c r="AD592" s="5">
        <f t="shared" si="243"/>
        <v>0</v>
      </c>
      <c r="AE592" s="5">
        <f t="shared" si="243"/>
        <v>-7.9942613488848915</v>
      </c>
      <c r="AF592" s="5">
        <f t="shared" si="231"/>
        <v>-17.505688319902287</v>
      </c>
      <c r="AG592">
        <f t="shared" si="242"/>
        <v>0</v>
      </c>
    </row>
    <row r="593" spans="1:33" x14ac:dyDescent="0.2">
      <c r="A593">
        <f t="shared" si="232"/>
        <v>5.6099999999999248</v>
      </c>
      <c r="B593" s="5">
        <f t="shared" si="233"/>
        <v>0</v>
      </c>
      <c r="C593" s="5">
        <f t="shared" si="234"/>
        <v>846.00769007031465</v>
      </c>
      <c r="D593" s="5">
        <f t="shared" si="235"/>
        <v>-32.532077133321465</v>
      </c>
      <c r="E593" s="2">
        <f t="shared" si="217"/>
        <v>282.00256335677153</v>
      </c>
      <c r="F593" s="2">
        <f t="shared" si="236"/>
        <v>0</v>
      </c>
      <c r="G593" s="3">
        <f t="shared" si="237"/>
        <v>0</v>
      </c>
      <c r="H593" s="3">
        <f t="shared" si="238"/>
        <v>108.0959842572825</v>
      </c>
      <c r="I593" s="3">
        <f t="shared" si="239"/>
        <v>-58.327944828861526</v>
      </c>
      <c r="J593" s="2">
        <f t="shared" si="218"/>
        <v>122.82870576746048</v>
      </c>
      <c r="K593" s="2">
        <f t="shared" si="240"/>
        <v>83.727815792406588</v>
      </c>
      <c r="L593" s="5">
        <f t="shared" si="219"/>
        <v>28.490240040940879</v>
      </c>
      <c r="M593" s="3">
        <f t="shared" si="220"/>
        <v>18.057562501814001</v>
      </c>
      <c r="N593" s="2">
        <v>0</v>
      </c>
      <c r="O593" s="2">
        <f t="shared" si="221"/>
        <v>122.82870576746048</v>
      </c>
      <c r="P593" s="2">
        <f t="shared" si="222"/>
        <v>83.727815792406588</v>
      </c>
      <c r="Q593" s="5">
        <f t="shared" si="223"/>
        <v>1.0351968520896631</v>
      </c>
      <c r="R593" s="5">
        <f t="shared" si="224"/>
        <v>0.16316505360077854</v>
      </c>
      <c r="S593" s="4">
        <f t="shared" si="241"/>
        <v>0.14701418849108946</v>
      </c>
      <c r="T593" s="5">
        <f t="shared" si="225"/>
        <v>0.10655042945341403</v>
      </c>
      <c r="U593" s="4">
        <f t="shared" si="226"/>
        <v>0</v>
      </c>
      <c r="V593" s="4">
        <f t="shared" si="227"/>
        <v>0</v>
      </c>
      <c r="W593" s="5">
        <f t="shared" si="228"/>
        <v>0</v>
      </c>
      <c r="X593" s="5">
        <f t="shared" si="229"/>
        <v>-12.310492345819807</v>
      </c>
      <c r="Y593" s="5">
        <f t="shared" si="230"/>
        <v>6.6426678409630613</v>
      </c>
      <c r="Z593" s="5">
        <f>1</f>
        <v>1</v>
      </c>
      <c r="AA593" s="5">
        <f>IF(M593=0,0,const*($T593/omega)*O593*(wy*I593-wz*(H593-V593))/Z593)</f>
        <v>0</v>
      </c>
      <c r="AB593" s="5">
        <f>IF(M593=0,0,const*($T593/omega)*O593*(wz*(G593-U593)-wx*I593)/Z593)</f>
        <v>4.3378106742314069</v>
      </c>
      <c r="AC593" s="5">
        <f>IF(M593=0,0,const*($T593/omega)*O593*(wx*(H593-V593)-wy*(G593-U593))/Z593)</f>
        <v>8.0390268460268377</v>
      </c>
      <c r="AD593" s="5">
        <f t="shared" si="243"/>
        <v>0</v>
      </c>
      <c r="AE593" s="5">
        <f t="shared" si="243"/>
        <v>-7.9726816715883997</v>
      </c>
      <c r="AF593" s="5">
        <f t="shared" si="231"/>
        <v>-17.4923053130101</v>
      </c>
      <c r="AG593">
        <f t="shared" si="242"/>
        <v>0</v>
      </c>
    </row>
    <row r="594" spans="1:33" x14ac:dyDescent="0.2">
      <c r="A594">
        <f t="shared" si="232"/>
        <v>5.6199999999999246</v>
      </c>
      <c r="B594" s="5">
        <f t="shared" si="233"/>
        <v>0</v>
      </c>
      <c r="C594" s="5">
        <f t="shared" si="234"/>
        <v>847.08825127880391</v>
      </c>
      <c r="D594" s="5">
        <f t="shared" si="235"/>
        <v>-33.116231196875731</v>
      </c>
      <c r="E594" s="2">
        <f t="shared" si="217"/>
        <v>282.36275042626795</v>
      </c>
      <c r="F594" s="2">
        <f t="shared" si="236"/>
        <v>0</v>
      </c>
      <c r="G594" s="3">
        <f t="shared" si="237"/>
        <v>0</v>
      </c>
      <c r="H594" s="3">
        <f t="shared" si="238"/>
        <v>108.0162574405666</v>
      </c>
      <c r="I594" s="3">
        <f t="shared" si="239"/>
        <v>-58.502867881991627</v>
      </c>
      <c r="J594" s="2">
        <f t="shared" si="218"/>
        <v>122.84175764732662</v>
      </c>
      <c r="K594" s="2">
        <f t="shared" si="240"/>
        <v>83.736712779363742</v>
      </c>
      <c r="L594" s="5">
        <f t="shared" si="219"/>
        <v>28.487212966129402</v>
      </c>
      <c r="M594" s="3">
        <f t="shared" si="220"/>
        <v>18.050847087655608</v>
      </c>
      <c r="N594" s="2">
        <v>0</v>
      </c>
      <c r="O594" s="2">
        <f t="shared" si="221"/>
        <v>122.84175764732662</v>
      </c>
      <c r="P594" s="2">
        <f t="shared" si="222"/>
        <v>83.736712779363742</v>
      </c>
      <c r="Q594" s="5">
        <f t="shared" si="223"/>
        <v>1.0353068529633749</v>
      </c>
      <c r="R594" s="5">
        <f t="shared" si="224"/>
        <v>0.16315038309604601</v>
      </c>
      <c r="S594" s="4">
        <f t="shared" si="241"/>
        <v>0.14694390110795069</v>
      </c>
      <c r="T594" s="5">
        <f t="shared" si="225"/>
        <v>0.10653004985501791</v>
      </c>
      <c r="U594" s="4">
        <f t="shared" si="226"/>
        <v>0</v>
      </c>
      <c r="V594" s="4">
        <f t="shared" si="227"/>
        <v>0</v>
      </c>
      <c r="W594" s="5">
        <f t="shared" si="228"/>
        <v>0</v>
      </c>
      <c r="X594" s="5">
        <f t="shared" si="229"/>
        <v>-12.301613666683624</v>
      </c>
      <c r="Y594" s="5">
        <f t="shared" si="230"/>
        <v>6.6626977839264736</v>
      </c>
      <c r="Z594" s="5">
        <f>1</f>
        <v>1</v>
      </c>
      <c r="AA594" s="5">
        <f>IF(M594=0,0,const*($T594/omega)*O594*(wy*I594-wz*(H594-V594))/Z594)</f>
        <v>0</v>
      </c>
      <c r="AB594" s="5">
        <f>IF(M594=0,0,const*($T594/omega)*O594*(wz*(G594-U594)-wx*I594)/Z594)</f>
        <v>4.3504496503251318</v>
      </c>
      <c r="AC594" s="5">
        <f>IF(M594=0,0,const*($T594/omega)*O594*(wx*(H594-V594)-wy*(G594-U594))/Z594)</f>
        <v>8.0324145879418172</v>
      </c>
      <c r="AD594" s="5">
        <f t="shared" si="243"/>
        <v>0</v>
      </c>
      <c r="AE594" s="5">
        <f t="shared" si="243"/>
        <v>-7.9511640163584918</v>
      </c>
      <c r="AF594" s="5">
        <f t="shared" si="231"/>
        <v>-17.478887628131709</v>
      </c>
      <c r="AG594">
        <f t="shared" si="242"/>
        <v>0</v>
      </c>
    </row>
    <row r="595" spans="1:33" x14ac:dyDescent="0.2">
      <c r="A595">
        <f t="shared" si="232"/>
        <v>5.6299999999999244</v>
      </c>
      <c r="B595" s="5">
        <f t="shared" si="233"/>
        <v>0</v>
      </c>
      <c r="C595" s="5">
        <f t="shared" si="234"/>
        <v>848.16801629500878</v>
      </c>
      <c r="D595" s="5">
        <f t="shared" si="235"/>
        <v>-33.702133820077051</v>
      </c>
      <c r="E595" s="2">
        <f t="shared" si="217"/>
        <v>282.72267209833626</v>
      </c>
      <c r="F595" s="2">
        <f t="shared" si="236"/>
        <v>0</v>
      </c>
      <c r="G595" s="3">
        <f t="shared" si="237"/>
        <v>0</v>
      </c>
      <c r="H595" s="3">
        <f t="shared" si="238"/>
        <v>107.93674580040302</v>
      </c>
      <c r="I595" s="3">
        <f t="shared" si="239"/>
        <v>-58.677656758272946</v>
      </c>
      <c r="J595" s="2">
        <f t="shared" si="218"/>
        <v>122.85523389999513</v>
      </c>
      <c r="K595" s="2">
        <f t="shared" si="240"/>
        <v>83.745899045668111</v>
      </c>
      <c r="L595" s="5">
        <f t="shared" si="219"/>
        <v>28.484088142973192</v>
      </c>
      <c r="M595" s="3">
        <f t="shared" si="220"/>
        <v>18.044120505316194</v>
      </c>
      <c r="N595" s="2">
        <v>0</v>
      </c>
      <c r="O595" s="2">
        <f t="shared" si="221"/>
        <v>122.85523389999513</v>
      </c>
      <c r="P595" s="2">
        <f t="shared" si="222"/>
        <v>83.745899045668111</v>
      </c>
      <c r="Q595" s="5">
        <f t="shared" si="223"/>
        <v>1.0354204304390409</v>
      </c>
      <c r="R595" s="5">
        <f t="shared" si="224"/>
        <v>0.16313559084201246</v>
      </c>
      <c r="S595" s="4">
        <f t="shared" si="241"/>
        <v>0.14687303041565336</v>
      </c>
      <c r="T595" s="5">
        <f t="shared" si="225"/>
        <v>0.10650949520527353</v>
      </c>
      <c r="U595" s="4">
        <f t="shared" si="226"/>
        <v>0</v>
      </c>
      <c r="V595" s="4">
        <f t="shared" si="227"/>
        <v>0</v>
      </c>
      <c r="W595" s="5">
        <f t="shared" si="228"/>
        <v>0</v>
      </c>
      <c r="X595" s="5">
        <f t="shared" si="229"/>
        <v>-12.292792250315658</v>
      </c>
      <c r="Y595" s="5">
        <f t="shared" si="230"/>
        <v>6.6827310654578458</v>
      </c>
      <c r="Z595" s="5">
        <f>1</f>
        <v>1</v>
      </c>
      <c r="AA595" s="5">
        <f>IF(M595=0,0,const*($T595/omega)*O595*(wy*I595-wz*(H595-V595))/Z595)</f>
        <v>0</v>
      </c>
      <c r="AB595" s="5">
        <f>IF(M595=0,0,const*($T595/omega)*O595*(wz*(G595-U595)-wx*I595)/Z595)</f>
        <v>4.3630841602420638</v>
      </c>
      <c r="AC595" s="5">
        <f>IF(M595=0,0,const*($T595/omega)*O595*(wx*(H595-V595)-wy*(G595-U595))/Z595)</f>
        <v>8.0258335442717765</v>
      </c>
      <c r="AD595" s="5">
        <f t="shared" si="243"/>
        <v>0</v>
      </c>
      <c r="AE595" s="5">
        <f t="shared" si="243"/>
        <v>-7.9297080900735946</v>
      </c>
      <c r="AF595" s="5">
        <f t="shared" si="231"/>
        <v>-17.465435390270379</v>
      </c>
      <c r="AG595">
        <f t="shared" si="242"/>
        <v>0</v>
      </c>
    </row>
    <row r="596" spans="1:33" x14ac:dyDescent="0.2">
      <c r="A596">
        <f t="shared" si="232"/>
        <v>5.6399999999999242</v>
      </c>
      <c r="B596" s="5">
        <f t="shared" si="233"/>
        <v>0</v>
      </c>
      <c r="C596" s="5">
        <f t="shared" si="234"/>
        <v>849.24698726760835</v>
      </c>
      <c r="D596" s="5">
        <f t="shared" si="235"/>
        <v>-34.289783659429297</v>
      </c>
      <c r="E596" s="2">
        <f t="shared" si="217"/>
        <v>283.0823290892028</v>
      </c>
      <c r="F596" s="2">
        <f t="shared" si="236"/>
        <v>0</v>
      </c>
      <c r="G596" s="3">
        <f t="shared" si="237"/>
        <v>0</v>
      </c>
      <c r="H596" s="3">
        <f t="shared" si="238"/>
        <v>107.85744871950229</v>
      </c>
      <c r="I596" s="3">
        <f t="shared" si="239"/>
        <v>-58.852311112175649</v>
      </c>
      <c r="J596" s="2">
        <f t="shared" si="218"/>
        <v>122.86913268809371</v>
      </c>
      <c r="K596" s="2">
        <f t="shared" si="240"/>
        <v>83.755373338850518</v>
      </c>
      <c r="L596" s="5">
        <f t="shared" si="219"/>
        <v>28.480866061913286</v>
      </c>
      <c r="M596" s="3">
        <f t="shared" si="220"/>
        <v>18.037382756936605</v>
      </c>
      <c r="N596" s="2">
        <v>0</v>
      </c>
      <c r="O596" s="2">
        <f t="shared" si="221"/>
        <v>122.86913268809371</v>
      </c>
      <c r="P596" s="2">
        <f t="shared" si="222"/>
        <v>83.755373338850518</v>
      </c>
      <c r="Q596" s="5">
        <f t="shared" si="223"/>
        <v>1.03553756903134</v>
      </c>
      <c r="R596" s="5">
        <f t="shared" si="224"/>
        <v>0.16312067749384351</v>
      </c>
      <c r="S596" s="4">
        <f t="shared" si="241"/>
        <v>0.14680157955314083</v>
      </c>
      <c r="T596" s="5">
        <f t="shared" si="225"/>
        <v>0.10648876626347026</v>
      </c>
      <c r="U596" s="4">
        <f t="shared" si="226"/>
        <v>0</v>
      </c>
      <c r="V596" s="4">
        <f t="shared" si="227"/>
        <v>0</v>
      </c>
      <c r="W596" s="5">
        <f t="shared" si="228"/>
        <v>0</v>
      </c>
      <c r="X596" s="5">
        <f t="shared" si="229"/>
        <v>-12.284027805849608</v>
      </c>
      <c r="Y596" s="5">
        <f t="shared" si="230"/>
        <v>6.702767724652829</v>
      </c>
      <c r="Z596" s="5">
        <f>1</f>
        <v>1</v>
      </c>
      <c r="AA596" s="5">
        <f>IF(M596=0,0,const*($T596/omega)*O596*(wy*I596-wz*(H596-V596))/Z596)</f>
        <v>0</v>
      </c>
      <c r="AB596" s="5">
        <f>IF(M596=0,0,const*($T596/omega)*O596*(wz*(G596-U596)-wx*I596)/Z596)</f>
        <v>4.375714204447358</v>
      </c>
      <c r="AC596" s="5">
        <f>IF(M596=0,0,const*($T596/omega)*O596*(wx*(H596-V596)-wy*(G596-U596))/Z596)</f>
        <v>8.0192835506121458</v>
      </c>
      <c r="AD596" s="5">
        <f t="shared" si="243"/>
        <v>0</v>
      </c>
      <c r="AE596" s="5">
        <f t="shared" si="243"/>
        <v>-7.9083136014022495</v>
      </c>
      <c r="AF596" s="5">
        <f t="shared" si="231"/>
        <v>-17.451948724735026</v>
      </c>
      <c r="AG596">
        <f t="shared" si="242"/>
        <v>0</v>
      </c>
    </row>
    <row r="597" spans="1:33" x14ac:dyDescent="0.2">
      <c r="A597">
        <f t="shared" si="232"/>
        <v>5.649999999999924</v>
      </c>
      <c r="B597" s="5">
        <f t="shared" si="233"/>
        <v>0</v>
      </c>
      <c r="C597" s="5">
        <f t="shared" si="234"/>
        <v>850.32516633912337</v>
      </c>
      <c r="D597" s="5">
        <f t="shared" si="235"/>
        <v>-34.879179367987291</v>
      </c>
      <c r="E597" s="2">
        <f t="shared" si="217"/>
        <v>283.44172211304112</v>
      </c>
      <c r="F597" s="2">
        <f t="shared" si="236"/>
        <v>0</v>
      </c>
      <c r="G597" s="3">
        <f t="shared" si="237"/>
        <v>0</v>
      </c>
      <c r="H597" s="3">
        <f t="shared" si="238"/>
        <v>107.77836558348827</v>
      </c>
      <c r="I597" s="3">
        <f t="shared" si="239"/>
        <v>-59.026830599423</v>
      </c>
      <c r="J597" s="2">
        <f t="shared" si="218"/>
        <v>122.88345217506313</v>
      </c>
      <c r="K597" s="2">
        <f t="shared" si="240"/>
        <v>83.765134406995998</v>
      </c>
      <c r="L597" s="5">
        <f t="shared" si="219"/>
        <v>28.477547214800573</v>
      </c>
      <c r="M597" s="3">
        <f t="shared" si="220"/>
        <v>18.030633845050932</v>
      </c>
      <c r="N597" s="2">
        <v>0</v>
      </c>
      <c r="O597" s="2">
        <f t="shared" si="221"/>
        <v>122.88345217506313</v>
      </c>
      <c r="P597" s="2">
        <f t="shared" si="222"/>
        <v>83.765134406995998</v>
      </c>
      <c r="Q597" s="5">
        <f t="shared" si="223"/>
        <v>1.0356582532618026</v>
      </c>
      <c r="R597" s="5">
        <f t="shared" si="224"/>
        <v>0.16310564370848829</v>
      </c>
      <c r="S597" s="4">
        <f t="shared" si="241"/>
        <v>0.14672955166790072</v>
      </c>
      <c r="T597" s="5">
        <f t="shared" si="225"/>
        <v>0.10646786379100612</v>
      </c>
      <c r="U597" s="4">
        <f t="shared" si="226"/>
        <v>0</v>
      </c>
      <c r="V597" s="4">
        <f t="shared" si="227"/>
        <v>0</v>
      </c>
      <c r="W597" s="5">
        <f t="shared" si="228"/>
        <v>0</v>
      </c>
      <c r="X597" s="5">
        <f t="shared" si="229"/>
        <v>-12.275320043692465</v>
      </c>
      <c r="Y597" s="5">
        <f t="shared" si="230"/>
        <v>6.7228077995992743</v>
      </c>
      <c r="Z597" s="5">
        <f>1</f>
        <v>1</v>
      </c>
      <c r="AA597" s="5">
        <f>IF(M597=0,0,const*($T597/omega)*O597*(wy*I597-wz*(H597-V597))/Z597)</f>
        <v>0</v>
      </c>
      <c r="AB597" s="5">
        <f>IF(M597=0,0,const*($T597/omega)*O597*(wz*(G597-U597)-wx*I597)/Z597)</f>
        <v>4.3883397828961792</v>
      </c>
      <c r="AC597" s="5">
        <f>IF(M597=0,0,const*($T597/omega)*O597*(wx*(H597-V597)-wy*(G597-U597))/Z597)</f>
        <v>8.0127644432627445</v>
      </c>
      <c r="AD597" s="5">
        <f t="shared" si="243"/>
        <v>0</v>
      </c>
      <c r="AE597" s="5">
        <f t="shared" si="243"/>
        <v>-7.8869802607962862</v>
      </c>
      <c r="AF597" s="5">
        <f t="shared" si="231"/>
        <v>-17.43842775713798</v>
      </c>
      <c r="AG597">
        <f t="shared" si="242"/>
        <v>0</v>
      </c>
    </row>
    <row r="598" spans="1:33" x14ac:dyDescent="0.2">
      <c r="A598">
        <f t="shared" si="232"/>
        <v>5.6599999999999238</v>
      </c>
      <c r="B598" s="5">
        <f t="shared" si="233"/>
        <v>0</v>
      </c>
      <c r="C598" s="5">
        <f t="shared" si="234"/>
        <v>851.4025556459452</v>
      </c>
      <c r="D598" s="5">
        <f t="shared" si="235"/>
        <v>-35.470319595369375</v>
      </c>
      <c r="E598" s="2">
        <f t="shared" si="217"/>
        <v>283.80085188198171</v>
      </c>
      <c r="F598" s="2">
        <f t="shared" si="236"/>
        <v>0</v>
      </c>
      <c r="G598" s="3">
        <f t="shared" si="237"/>
        <v>0</v>
      </c>
      <c r="H598" s="3">
        <f t="shared" si="238"/>
        <v>107.6994957808803</v>
      </c>
      <c r="I598" s="3">
        <f t="shared" si="239"/>
        <v>-59.201214876994378</v>
      </c>
      <c r="J598" s="2">
        <f t="shared" si="218"/>
        <v>122.89819052519819</v>
      </c>
      <c r="K598" s="2">
        <f t="shared" si="240"/>
        <v>83.775180998771773</v>
      </c>
      <c r="L598" s="5">
        <f t="shared" si="219"/>
        <v>28.474132094854173</v>
      </c>
      <c r="M598" s="3">
        <f t="shared" si="220"/>
        <v>18.023873772584505</v>
      </c>
      <c r="N598" s="2">
        <v>0</v>
      </c>
      <c r="O598" s="2">
        <f t="shared" si="221"/>
        <v>122.89819052519819</v>
      </c>
      <c r="P598" s="2">
        <f t="shared" si="222"/>
        <v>83.775180998771773</v>
      </c>
      <c r="Q598" s="5">
        <f t="shared" si="223"/>
        <v>1.0357824676591578</v>
      </c>
      <c r="R598" s="5">
        <f t="shared" si="224"/>
        <v>0.16309049014462459</v>
      </c>
      <c r="S598" s="4">
        <f t="shared" si="241"/>
        <v>0.14665694991570291</v>
      </c>
      <c r="T598" s="5">
        <f t="shared" si="225"/>
        <v>0.10644678855133387</v>
      </c>
      <c r="U598" s="4">
        <f t="shared" si="226"/>
        <v>0</v>
      </c>
      <c r="V598" s="4">
        <f t="shared" si="227"/>
        <v>0</v>
      </c>
      <c r="W598" s="5">
        <f t="shared" si="228"/>
        <v>0</v>
      </c>
      <c r="X598" s="5">
        <f t="shared" si="229"/>
        <v>-12.266668675520348</v>
      </c>
      <c r="Y598" s="5">
        <f t="shared" si="230"/>
        <v>6.742851327381028</v>
      </c>
      <c r="Z598" s="5">
        <f>1</f>
        <v>1</v>
      </c>
      <c r="AA598" s="5">
        <f>IF(M598=0,0,const*($T598/omega)*O598*(wy*I598-wz*(H598-V598))/Z598)</f>
        <v>0</v>
      </c>
      <c r="AB598" s="5">
        <f>IF(M598=0,0,const*($T598/omega)*O598*(wz*(G598-U598)-wx*I598)/Z598)</f>
        <v>4.4009608950363805</v>
      </c>
      <c r="AC598" s="5">
        <f>IF(M598=0,0,const*($T598/omega)*O598*(wx*(H598-V598)-wy*(G598-U598))/Z598)</f>
        <v>8.0062760592262663</v>
      </c>
      <c r="AD598" s="5">
        <f t="shared" si="243"/>
        <v>0</v>
      </c>
      <c r="AE598" s="5">
        <f t="shared" si="243"/>
        <v>-7.8657077804839677</v>
      </c>
      <c r="AF598" s="5">
        <f t="shared" si="231"/>
        <v>-17.424872613392704</v>
      </c>
      <c r="AG598">
        <f t="shared" si="242"/>
        <v>0</v>
      </c>
    </row>
    <row r="599" spans="1:33" x14ac:dyDescent="0.2">
      <c r="A599">
        <f t="shared" si="232"/>
        <v>5.6699999999999235</v>
      </c>
      <c r="B599" s="5">
        <f t="shared" si="233"/>
        <v>0</v>
      </c>
      <c r="C599" s="5">
        <f t="shared" si="234"/>
        <v>852.47915731836497</v>
      </c>
      <c r="D599" s="5">
        <f t="shared" si="235"/>
        <v>-36.063202987769991</v>
      </c>
      <c r="E599" s="2">
        <f t="shared" si="217"/>
        <v>284.15971910612166</v>
      </c>
      <c r="F599" s="2">
        <f t="shared" si="236"/>
        <v>0</v>
      </c>
      <c r="G599" s="3">
        <f t="shared" si="237"/>
        <v>0</v>
      </c>
      <c r="H599" s="3">
        <f t="shared" si="238"/>
        <v>107.62083870307546</v>
      </c>
      <c r="I599" s="3">
        <f t="shared" si="239"/>
        <v>-59.375463603128303</v>
      </c>
      <c r="J599" s="2">
        <f t="shared" si="218"/>
        <v>122.91334590368858</v>
      </c>
      <c r="K599" s="2">
        <f t="shared" si="240"/>
        <v>83.785511863455056</v>
      </c>
      <c r="L599" s="5">
        <f t="shared" si="219"/>
        <v>28.470621196620058</v>
      </c>
      <c r="M599" s="3">
        <f t="shared" si="220"/>
        <v>18.017102542851816</v>
      </c>
      <c r="N599" s="2">
        <v>0</v>
      </c>
      <c r="O599" s="2">
        <f t="shared" si="221"/>
        <v>122.91334590368858</v>
      </c>
      <c r="P599" s="2">
        <f t="shared" si="222"/>
        <v>83.785511863455056</v>
      </c>
      <c r="Q599" s="5">
        <f t="shared" si="223"/>
        <v>1.0359101967596758</v>
      </c>
      <c r="R599" s="5">
        <f t="shared" si="224"/>
        <v>0.16307521746260423</v>
      </c>
      <c r="S599" s="4">
        <f t="shared" si="241"/>
        <v>0.14658377746033785</v>
      </c>
      <c r="T599" s="5">
        <f t="shared" si="225"/>
        <v>0.1064255413099071</v>
      </c>
      <c r="U599" s="4">
        <f t="shared" si="226"/>
        <v>0</v>
      </c>
      <c r="V599" s="4">
        <f t="shared" si="227"/>
        <v>0</v>
      </c>
      <c r="W599" s="5">
        <f t="shared" si="228"/>
        <v>0</v>
      </c>
      <c r="X599" s="5">
        <f t="shared" si="229"/>
        <v>-12.258073414274296</v>
      </c>
      <c r="Y599" s="5">
        <f t="shared" si="230"/>
        <v>6.7628983440817496</v>
      </c>
      <c r="Z599" s="5">
        <f>1</f>
        <v>1</v>
      </c>
      <c r="AA599" s="5">
        <f>IF(M599=0,0,const*($T599/omega)*O599*(wy*I599-wz*(H599-V599))/Z599)</f>
        <v>0</v>
      </c>
      <c r="AB599" s="5">
        <f>IF(M599=0,0,const*($T599/omega)*O599*(wz*(G599-U599)-wx*I599)/Z599)</f>
        <v>4.4135775398111834</v>
      </c>
      <c r="AC599" s="5">
        <f>IF(M599=0,0,const*($T599/omega)*O599*(wx*(H599-V599)-wy*(G599-U599))/Z599)</f>
        <v>7.9998182362067505</v>
      </c>
      <c r="AD599" s="5">
        <f t="shared" si="243"/>
        <v>0</v>
      </c>
      <c r="AE599" s="5">
        <f t="shared" si="243"/>
        <v>-7.8444958744631128</v>
      </c>
      <c r="AF599" s="5">
        <f t="shared" si="231"/>
        <v>-17.411283419711499</v>
      </c>
      <c r="AG599">
        <f t="shared" si="242"/>
        <v>0</v>
      </c>
    </row>
    <row r="600" spans="1:33" x14ac:dyDescent="0.2">
      <c r="A600">
        <f t="shared" si="232"/>
        <v>5.6799999999999233</v>
      </c>
      <c r="B600" s="5">
        <f t="shared" si="233"/>
        <v>0</v>
      </c>
      <c r="C600" s="5">
        <f t="shared" si="234"/>
        <v>853.55497348060203</v>
      </c>
      <c r="D600" s="5">
        <f t="shared" si="235"/>
        <v>-36.657828187972264</v>
      </c>
      <c r="E600" s="2">
        <f t="shared" si="217"/>
        <v>284.51832449353401</v>
      </c>
      <c r="F600" s="2">
        <f t="shared" si="236"/>
        <v>0</v>
      </c>
      <c r="G600" s="3">
        <f t="shared" si="237"/>
        <v>0</v>
      </c>
      <c r="H600" s="3">
        <f t="shared" si="238"/>
        <v>107.54239374433084</v>
      </c>
      <c r="I600" s="3">
        <f t="shared" si="239"/>
        <v>-59.54957643732542</v>
      </c>
      <c r="J600" s="2">
        <f t="shared" si="218"/>
        <v>122.92891647665959</v>
      </c>
      <c r="K600" s="2">
        <f t="shared" si="240"/>
        <v>83.796125750960869</v>
      </c>
      <c r="L600" s="5">
        <f t="shared" si="219"/>
        <v>28.4670150159298</v>
      </c>
      <c r="M600" s="3">
        <f t="shared" si="220"/>
        <v>18.01032015955445</v>
      </c>
      <c r="N600" s="2">
        <v>0</v>
      </c>
      <c r="O600" s="2">
        <f t="shared" si="221"/>
        <v>122.92891647665959</v>
      </c>
      <c r="P600" s="2">
        <f t="shared" si="222"/>
        <v>83.796125750960869</v>
      </c>
      <c r="Q600" s="5">
        <f t="shared" si="223"/>
        <v>1.036041425107513</v>
      </c>
      <c r="R600" s="5">
        <f t="shared" si="224"/>
        <v>0.16305982632439872</v>
      </c>
      <c r="S600" s="4">
        <f t="shared" si="241"/>
        <v>0.14651003747335603</v>
      </c>
      <c r="T600" s="5">
        <f t="shared" si="225"/>
        <v>0.10640412283412654</v>
      </c>
      <c r="U600" s="4">
        <f t="shared" si="226"/>
        <v>0</v>
      </c>
      <c r="V600" s="4">
        <f t="shared" si="227"/>
        <v>0</v>
      </c>
      <c r="W600" s="5">
        <f t="shared" si="228"/>
        <v>0</v>
      </c>
      <c r="X600" s="5">
        <f t="shared" si="229"/>
        <v>-12.249533974156146</v>
      </c>
      <c r="Y600" s="5">
        <f t="shared" si="230"/>
        <v>6.7829488847887918</v>
      </c>
      <c r="Z600" s="5">
        <f>1</f>
        <v>1</v>
      </c>
      <c r="AA600" s="5">
        <f>IF(M600=0,0,const*($T600/omega)*O600*(wy*I600-wz*(H600-V600))/Z600)</f>
        <v>0</v>
      </c>
      <c r="AB600" s="5">
        <f>IF(M600=0,0,const*($T600/omega)*O600*(wz*(G600-U600)-wx*I600)/Z600)</f>
        <v>4.426189715661895</v>
      </c>
      <c r="AC600" s="5">
        <f>IF(M600=0,0,const*($T600/omega)*O600*(wx*(H600-V600)-wy*(G600-U600))/Z600)</f>
        <v>7.9933908126080722</v>
      </c>
      <c r="AD600" s="5">
        <f t="shared" si="243"/>
        <v>0</v>
      </c>
      <c r="AE600" s="5">
        <f t="shared" si="243"/>
        <v>-7.8233442584942505</v>
      </c>
      <c r="AF600" s="5">
        <f t="shared" si="231"/>
        <v>-17.397660302603136</v>
      </c>
      <c r="AG600">
        <f t="shared" si="242"/>
        <v>0</v>
      </c>
    </row>
    <row r="601" spans="1:33" x14ac:dyDescent="0.2">
      <c r="A601">
        <f t="shared" si="232"/>
        <v>5.6899999999999231</v>
      </c>
      <c r="B601" s="5">
        <f t="shared" si="233"/>
        <v>0</v>
      </c>
      <c r="C601" s="5">
        <f t="shared" si="234"/>
        <v>854.63000625083248</v>
      </c>
      <c r="D601" s="5">
        <f t="shared" si="235"/>
        <v>-37.254193835360645</v>
      </c>
      <c r="E601" s="2">
        <f t="shared" si="217"/>
        <v>284.87666875027747</v>
      </c>
      <c r="F601" s="2">
        <f t="shared" si="236"/>
        <v>0</v>
      </c>
      <c r="G601" s="3">
        <f t="shared" si="237"/>
        <v>0</v>
      </c>
      <c r="H601" s="3">
        <f t="shared" si="238"/>
        <v>107.46416030174589</v>
      </c>
      <c r="I601" s="3">
        <f t="shared" si="239"/>
        <v>-59.723553040351455</v>
      </c>
      <c r="J601" s="2">
        <f t="shared" si="218"/>
        <v>122.94490041121271</v>
      </c>
      <c r="K601" s="2">
        <f t="shared" si="240"/>
        <v>83.807021411869599</v>
      </c>
      <c r="L601" s="5">
        <f t="shared" si="219"/>
        <v>28.463314049859509</v>
      </c>
      <c r="M601" s="3">
        <f t="shared" si="220"/>
        <v>18.003526626779035</v>
      </c>
      <c r="N601" s="2">
        <v>0</v>
      </c>
      <c r="O601" s="2">
        <f t="shared" si="221"/>
        <v>122.94490041121271</v>
      </c>
      <c r="P601" s="2">
        <f t="shared" si="222"/>
        <v>83.807021411869599</v>
      </c>
      <c r="Q601" s="5">
        <f t="shared" si="223"/>
        <v>1.0361761372550522</v>
      </c>
      <c r="R601" s="5">
        <f t="shared" si="224"/>
        <v>0.16304431739354519</v>
      </c>
      <c r="S601" s="4">
        <f t="shared" si="241"/>
        <v>0.14643573313380873</v>
      </c>
      <c r="T601" s="5">
        <f t="shared" si="225"/>
        <v>0.10638253389328652</v>
      </c>
      <c r="U601" s="4">
        <f t="shared" si="226"/>
        <v>0</v>
      </c>
      <c r="V601" s="4">
        <f t="shared" si="227"/>
        <v>0</v>
      </c>
      <c r="W601" s="5">
        <f t="shared" si="228"/>
        <v>0</v>
      </c>
      <c r="X601" s="5">
        <f t="shared" si="229"/>
        <v>-12.241050070624379</v>
      </c>
      <c r="Y601" s="5">
        <f t="shared" si="230"/>
        <v>6.8030029835970875</v>
      </c>
      <c r="Z601" s="5">
        <f>1</f>
        <v>1</v>
      </c>
      <c r="AA601" s="5">
        <f>IF(M601=0,0,const*($T601/omega)*O601*(wy*I601-wz*(H601-V601))/Z601)</f>
        <v>0</v>
      </c>
      <c r="AB601" s="5">
        <f>IF(M601=0,0,const*($T601/omega)*O601*(wz*(G601-U601)-wx*I601)/Z601)</f>
        <v>4.4387974205306344</v>
      </c>
      <c r="AC601" s="5">
        <f>IF(M601=0,0,const*($T601/omega)*O601*(wx*(H601-V601)-wy*(G601-U601))/Z601)</f>
        <v>7.9869936275323976</v>
      </c>
      <c r="AD601" s="5">
        <f t="shared" si="243"/>
        <v>0</v>
      </c>
      <c r="AE601" s="5">
        <f t="shared" si="243"/>
        <v>-7.8022526500937444</v>
      </c>
      <c r="AF601" s="5">
        <f t="shared" si="231"/>
        <v>-17.384003388870514</v>
      </c>
      <c r="AG601">
        <f t="shared" si="242"/>
        <v>0</v>
      </c>
    </row>
    <row r="602" spans="1:33" x14ac:dyDescent="0.2">
      <c r="A602">
        <f t="shared" si="232"/>
        <v>5.6999999999999229</v>
      </c>
      <c r="B602" s="5">
        <f t="shared" si="233"/>
        <v>0</v>
      </c>
      <c r="C602" s="5">
        <f t="shared" si="234"/>
        <v>855.70425774121736</v>
      </c>
      <c r="D602" s="5">
        <f t="shared" si="235"/>
        <v>-37.852298565933609</v>
      </c>
      <c r="E602" s="2">
        <f t="shared" si="217"/>
        <v>285.23475258040577</v>
      </c>
      <c r="F602" s="2">
        <f t="shared" si="236"/>
        <v>0</v>
      </c>
      <c r="G602" s="3">
        <f t="shared" si="237"/>
        <v>0</v>
      </c>
      <c r="H602" s="3">
        <f t="shared" si="238"/>
        <v>107.38613777524496</v>
      </c>
      <c r="I602" s="3">
        <f t="shared" si="239"/>
        <v>-59.897393074240156</v>
      </c>
      <c r="J602" s="2">
        <f t="shared" si="218"/>
        <v>122.96129587546613</v>
      </c>
      <c r="K602" s="2">
        <f t="shared" si="240"/>
        <v>83.818197597454756</v>
      </c>
      <c r="L602" s="5">
        <f t="shared" si="219"/>
        <v>28.459518796688858</v>
      </c>
      <c r="M602" s="3">
        <f t="shared" si="220"/>
        <v>17.996721948995145</v>
      </c>
      <c r="N602" s="2">
        <v>0</v>
      </c>
      <c r="O602" s="2">
        <f t="shared" si="221"/>
        <v>122.96129587546613</v>
      </c>
      <c r="P602" s="2">
        <f t="shared" si="222"/>
        <v>83.818197597454756</v>
      </c>
      <c r="Q602" s="5">
        <f t="shared" si="223"/>
        <v>1.0363143177632457</v>
      </c>
      <c r="R602" s="5">
        <f t="shared" si="224"/>
        <v>0.16302869133509237</v>
      </c>
      <c r="S602" s="4">
        <f t="shared" si="241"/>
        <v>0.14636086762798944</v>
      </c>
      <c r="T602" s="5">
        <f t="shared" si="225"/>
        <v>0.10636077525852172</v>
      </c>
      <c r="U602" s="4">
        <f t="shared" si="226"/>
        <v>0</v>
      </c>
      <c r="V602" s="4">
        <f t="shared" si="227"/>
        <v>0</v>
      </c>
      <c r="W602" s="5">
        <f t="shared" si="228"/>
        <v>0</v>
      </c>
      <c r="X602" s="5">
        <f t="shared" si="229"/>
        <v>-12.232621420390007</v>
      </c>
      <c r="Y602" s="5">
        <f t="shared" si="230"/>
        <v>6.8230606736130825</v>
      </c>
      <c r="Z602" s="5">
        <f>1</f>
        <v>1</v>
      </c>
      <c r="AA602" s="5">
        <f>IF(M602=0,0,const*($T602/omega)*O602*(wy*I602-wz*(H602-V602))/Z602)</f>
        <v>0</v>
      </c>
      <c r="AB602" s="5">
        <f>IF(M602=0,0,const*($T602/omega)*O602*(wz*(G602-U602)-wx*I602)/Z602)</f>
        <v>4.4514006518631035</v>
      </c>
      <c r="AC602" s="5">
        <f>IF(M602=0,0,const*($T602/omega)*O602*(wx*(H602-V602)-wy*(G602-U602))/Z602)</f>
        <v>7.9806265207786842</v>
      </c>
      <c r="AD602" s="5">
        <f t="shared" si="243"/>
        <v>0</v>
      </c>
      <c r="AE602" s="5">
        <f t="shared" si="243"/>
        <v>-7.7812207685269037</v>
      </c>
      <c r="AF602" s="5">
        <f t="shared" si="231"/>
        <v>-17.370312805608233</v>
      </c>
      <c r="AG602">
        <f t="shared" si="242"/>
        <v>0</v>
      </c>
    </row>
    <row r="603" spans="1:33" x14ac:dyDescent="0.2">
      <c r="A603">
        <f t="shared" si="232"/>
        <v>5.7099999999999227</v>
      </c>
      <c r="B603" s="5">
        <f t="shared" si="233"/>
        <v>0</v>
      </c>
      <c r="C603" s="5">
        <f t="shared" si="234"/>
        <v>856.77773005793142</v>
      </c>
      <c r="D603" s="5">
        <f t="shared" si="235"/>
        <v>-38.452141012316289</v>
      </c>
      <c r="E603" s="2">
        <f t="shared" si="217"/>
        <v>285.59257668597712</v>
      </c>
      <c r="F603" s="2">
        <f t="shared" si="236"/>
        <v>0</v>
      </c>
      <c r="G603" s="3">
        <f t="shared" si="237"/>
        <v>0</v>
      </c>
      <c r="H603" s="3">
        <f t="shared" si="238"/>
        <v>107.30832556755969</v>
      </c>
      <c r="I603" s="3">
        <f t="shared" si="239"/>
        <v>-60.071096202296239</v>
      </c>
      <c r="J603" s="2">
        <f t="shared" si="218"/>
        <v>122.97810103859514</v>
      </c>
      <c r="K603" s="2">
        <f t="shared" si="240"/>
        <v>83.829653059710381</v>
      </c>
      <c r="L603" s="5">
        <f t="shared" si="219"/>
        <v>28.455629755860354</v>
      </c>
      <c r="M603" s="3">
        <f t="shared" si="220"/>
        <v>17.989906131053203</v>
      </c>
      <c r="N603" s="2">
        <v>0</v>
      </c>
      <c r="O603" s="2">
        <f t="shared" si="221"/>
        <v>122.97810103859514</v>
      </c>
      <c r="P603" s="2">
        <f t="shared" si="222"/>
        <v>83.829653059710381</v>
      </c>
      <c r="Q603" s="5">
        <f t="shared" si="223"/>
        <v>1.0364559512019544</v>
      </c>
      <c r="R603" s="5">
        <f t="shared" si="224"/>
        <v>0.16301294881554684</v>
      </c>
      <c r="S603" s="4">
        <f t="shared" si="241"/>
        <v>0.14628544414917657</v>
      </c>
      <c r="T603" s="5">
        <f t="shared" si="225"/>
        <v>0.10633884770275397</v>
      </c>
      <c r="U603" s="4">
        <f t="shared" si="226"/>
        <v>0</v>
      </c>
      <c r="V603" s="4">
        <f t="shared" si="227"/>
        <v>0</v>
      </c>
      <c r="W603" s="5">
        <f t="shared" si="228"/>
        <v>0</v>
      </c>
      <c r="X603" s="5">
        <f t="shared" si="229"/>
        <v>-12.224247741412469</v>
      </c>
      <c r="Y603" s="5">
        <f t="shared" si="230"/>
        <v>6.8431219869587077</v>
      </c>
      <c r="Z603" s="5">
        <f>1</f>
        <v>1</v>
      </c>
      <c r="AA603" s="5">
        <f>IF(M603=0,0,const*($T603/omega)*O603*(wy*I603-wz*(H603-V603))/Z603)</f>
        <v>0</v>
      </c>
      <c r="AB603" s="5">
        <f>IF(M603=0,0,const*($T603/omega)*O603*(wz*(G603-U603)-wx*I603)/Z603)</f>
        <v>4.46399940661136</v>
      </c>
      <c r="AC603" s="5">
        <f>IF(M603=0,0,const*($T603/omega)*O603*(wx*(H603-V603)-wy*(G603-U603))/Z603)</f>
        <v>7.9742893328411437</v>
      </c>
      <c r="AD603" s="5">
        <f t="shared" si="243"/>
        <v>0</v>
      </c>
      <c r="AE603" s="5">
        <f t="shared" si="243"/>
        <v>-7.7602483348011093</v>
      </c>
      <c r="AF603" s="5">
        <f t="shared" si="231"/>
        <v>-17.356588680200147</v>
      </c>
      <c r="AG603">
        <f t="shared" si="242"/>
        <v>0</v>
      </c>
    </row>
    <row r="604" spans="1:33" x14ac:dyDescent="0.2">
      <c r="A604">
        <f t="shared" si="232"/>
        <v>5.7199999999999225</v>
      </c>
      <c r="B604" s="5">
        <f t="shared" si="233"/>
        <v>0</v>
      </c>
      <c r="C604" s="5">
        <f t="shared" si="234"/>
        <v>857.85042530119028</v>
      </c>
      <c r="D604" s="5">
        <f t="shared" si="235"/>
        <v>-39.053719803773262</v>
      </c>
      <c r="E604" s="2">
        <f t="shared" si="217"/>
        <v>285.95014176706343</v>
      </c>
      <c r="F604" s="2">
        <f t="shared" si="236"/>
        <v>0</v>
      </c>
      <c r="G604" s="3">
        <f t="shared" si="237"/>
        <v>0</v>
      </c>
      <c r="H604" s="3">
        <f t="shared" si="238"/>
        <v>107.23072308421168</v>
      </c>
      <c r="I604" s="3">
        <f t="shared" si="239"/>
        <v>-60.244662089098242</v>
      </c>
      <c r="J604" s="2">
        <f t="shared" si="218"/>
        <v>122.9953140708723</v>
      </c>
      <c r="K604" s="2">
        <f t="shared" si="240"/>
        <v>83.84138655137852</v>
      </c>
      <c r="L604" s="5">
        <f t="shared" si="219"/>
        <v>28.45164742793872</v>
      </c>
      <c r="M604" s="3">
        <f t="shared" si="220"/>
        <v>17.9830791781824</v>
      </c>
      <c r="N604" s="2">
        <v>0</v>
      </c>
      <c r="O604" s="2">
        <f t="shared" si="221"/>
        <v>122.9953140708723</v>
      </c>
      <c r="P604" s="2">
        <f t="shared" si="222"/>
        <v>83.84138655137852</v>
      </c>
      <c r="Q604" s="5">
        <f t="shared" si="223"/>
        <v>1.0366010221502875</v>
      </c>
      <c r="R604" s="5">
        <f t="shared" si="224"/>
        <v>0.16299709050281966</v>
      </c>
      <c r="S604" s="4">
        <f t="shared" si="241"/>
        <v>0.14620946589737718</v>
      </c>
      <c r="T604" s="5">
        <f t="shared" si="225"/>
        <v>0.10631675200063936</v>
      </c>
      <c r="U604" s="4">
        <f t="shared" si="226"/>
        <v>0</v>
      </c>
      <c r="V604" s="4">
        <f t="shared" si="227"/>
        <v>0</v>
      </c>
      <c r="W604" s="5">
        <f t="shared" si="228"/>
        <v>0</v>
      </c>
      <c r="X604" s="5">
        <f t="shared" si="229"/>
        <v>-12.215928752895538</v>
      </c>
      <c r="Y604" s="5">
        <f t="shared" si="230"/>
        <v>6.8631869547753626</v>
      </c>
      <c r="Z604" s="5">
        <f>1</f>
        <v>1</v>
      </c>
      <c r="AA604" s="5">
        <f>IF(M604=0,0,const*($T604/omega)*O604*(wy*I604-wz*(H604-V604))/Z604)</f>
        <v>0</v>
      </c>
      <c r="AB604" s="5">
        <f>IF(M604=0,0,const*($T604/omega)*O604*(wz*(G604-U604)-wx*I604)/Z604)</f>
        <v>4.4765936812366167</v>
      </c>
      <c r="AC604" s="5">
        <f>IF(M604=0,0,const*($T604/omega)*O604*(wx*(H604-V604)-wy*(G604-U604))/Z604)</f>
        <v>7.9679819049077292</v>
      </c>
      <c r="AD604" s="5">
        <f t="shared" si="243"/>
        <v>0</v>
      </c>
      <c r="AE604" s="5">
        <f t="shared" si="243"/>
        <v>-7.7393350716589211</v>
      </c>
      <c r="AF604" s="5">
        <f t="shared" si="231"/>
        <v>-17.342831140316907</v>
      </c>
      <c r="AG604">
        <f t="shared" si="242"/>
        <v>0</v>
      </c>
    </row>
    <row r="605" spans="1:33" x14ac:dyDescent="0.2">
      <c r="A605">
        <f t="shared" si="232"/>
        <v>5.7299999999999223</v>
      </c>
      <c r="B605" s="5">
        <f t="shared" si="233"/>
        <v>0</v>
      </c>
      <c r="C605" s="5">
        <f t="shared" si="234"/>
        <v>858.92234556527887</v>
      </c>
      <c r="D605" s="5">
        <f t="shared" si="235"/>
        <v>-39.657033566221259</v>
      </c>
      <c r="E605" s="2">
        <f t="shared" si="217"/>
        <v>286.30744852175962</v>
      </c>
      <c r="F605" s="2">
        <f t="shared" si="236"/>
        <v>0</v>
      </c>
      <c r="G605" s="3">
        <f t="shared" si="237"/>
        <v>0</v>
      </c>
      <c r="H605" s="3">
        <f t="shared" si="238"/>
        <v>107.15332973349508</v>
      </c>
      <c r="I605" s="3">
        <f t="shared" si="239"/>
        <v>-60.418090400501413</v>
      </c>
      <c r="J605" s="2">
        <f t="shared" si="218"/>
        <v>123.01293314370763</v>
      </c>
      <c r="K605" s="2">
        <f t="shared" si="240"/>
        <v>83.85339682597656</v>
      </c>
      <c r="L605" s="5">
        <f t="shared" si="219"/>
        <v>28.4475723145705</v>
      </c>
      <c r="M605" s="3">
        <f t="shared" si="220"/>
        <v>17.97624109598857</v>
      </c>
      <c r="N605" s="2">
        <v>0</v>
      </c>
      <c r="O605" s="2">
        <f t="shared" si="221"/>
        <v>123.01293314370763</v>
      </c>
      <c r="P605" s="2">
        <f t="shared" si="222"/>
        <v>83.85339682597656</v>
      </c>
      <c r="Q605" s="5">
        <f t="shared" si="223"/>
        <v>1.0367495151969406</v>
      </c>
      <c r="R605" s="5">
        <f t="shared" si="224"/>
        <v>0.16298111706617299</v>
      </c>
      <c r="S605" s="4">
        <f t="shared" si="241"/>
        <v>0.14613293607907188</v>
      </c>
      <c r="T605" s="5">
        <f t="shared" si="225"/>
        <v>0.10629448892851547</v>
      </c>
      <c r="U605" s="4">
        <f t="shared" si="226"/>
        <v>0</v>
      </c>
      <c r="V605" s="4">
        <f t="shared" si="227"/>
        <v>0</v>
      </c>
      <c r="W605" s="5">
        <f t="shared" si="228"/>
        <v>0</v>
      </c>
      <c r="X605" s="5">
        <f t="shared" si="229"/>
        <v>-12.207664175283252</v>
      </c>
      <c r="Y605" s="5">
        <f t="shared" si="230"/>
        <v>6.883255607227956</v>
      </c>
      <c r="Z605" s="5">
        <f>1</f>
        <v>1</v>
      </c>
      <c r="AA605" s="5">
        <f>IF(M605=0,0,const*($T605/omega)*O605*(wy*I605-wz*(H605-V605))/Z605)</f>
        <v>0</v>
      </c>
      <c r="AB605" s="5">
        <f>IF(M605=0,0,const*($T605/omega)*O605*(wz*(G605-U605)-wx*I605)/Z605)</f>
        <v>4.48918347171207</v>
      </c>
      <c r="AC605" s="5">
        <f>IF(M605=0,0,const*($T605/omega)*O605*(wx*(H605-V605)-wy*(G605-U605))/Z605)</f>
        <v>7.961704078858598</v>
      </c>
      <c r="AD605" s="5">
        <f t="shared" si="243"/>
        <v>0</v>
      </c>
      <c r="AE605" s="5">
        <f t="shared" si="243"/>
        <v>-7.7184807035711822</v>
      </c>
      <c r="AF605" s="5">
        <f t="shared" si="231"/>
        <v>-17.329040313913445</v>
      </c>
      <c r="AG605">
        <f t="shared" si="242"/>
        <v>0</v>
      </c>
    </row>
    <row r="606" spans="1:33" x14ac:dyDescent="0.2">
      <c r="A606">
        <f t="shared" si="232"/>
        <v>5.7399999999999221</v>
      </c>
      <c r="B606" s="5">
        <f t="shared" si="233"/>
        <v>0</v>
      </c>
      <c r="C606" s="5">
        <f t="shared" si="234"/>
        <v>859.99349293857858</v>
      </c>
      <c r="D606" s="5">
        <f t="shared" si="235"/>
        <v>-40.262080922241964</v>
      </c>
      <c r="E606" s="2">
        <f t="shared" si="217"/>
        <v>286.66449764619284</v>
      </c>
      <c r="F606" s="2">
        <f t="shared" si="236"/>
        <v>0</v>
      </c>
      <c r="G606" s="3">
        <f t="shared" si="237"/>
        <v>0</v>
      </c>
      <c r="H606" s="3">
        <f t="shared" si="238"/>
        <v>107.07614492645938</v>
      </c>
      <c r="I606" s="3">
        <f t="shared" si="239"/>
        <v>-60.591380803640547</v>
      </c>
      <c r="J606" s="2">
        <f t="shared" si="218"/>
        <v>123.03095642968852</v>
      </c>
      <c r="K606" s="2">
        <f t="shared" si="240"/>
        <v>83.865682637824477</v>
      </c>
      <c r="L606" s="5">
        <f t="shared" si="219"/>
        <v>28.443404918443818</v>
      </c>
      <c r="M606" s="3">
        <f t="shared" si="220"/>
        <v>17.969391890452076</v>
      </c>
      <c r="N606" s="2">
        <v>0</v>
      </c>
      <c r="O606" s="2">
        <f t="shared" si="221"/>
        <v>123.03095642968852</v>
      </c>
      <c r="P606" s="2">
        <f t="shared" si="222"/>
        <v>83.865682637824477</v>
      </c>
      <c r="Q606" s="5">
        <f t="shared" si="223"/>
        <v>1.036901414940532</v>
      </c>
      <c r="R606" s="5">
        <f t="shared" si="224"/>
        <v>0.16296502917616726</v>
      </c>
      <c r="S606" s="4">
        <f t="shared" si="241"/>
        <v>0.14605585790696085</v>
      </c>
      <c r="T606" s="5">
        <f t="shared" si="225"/>
        <v>0.10627205926434884</v>
      </c>
      <c r="U606" s="4">
        <f t="shared" si="226"/>
        <v>0</v>
      </c>
      <c r="V606" s="4">
        <f t="shared" si="227"/>
        <v>0</v>
      </c>
      <c r="W606" s="5">
        <f t="shared" si="228"/>
        <v>0</v>
      </c>
      <c r="X606" s="5">
        <f t="shared" si="229"/>
        <v>-12.199453730255863</v>
      </c>
      <c r="Y606" s="5">
        <f t="shared" si="230"/>
        <v>6.9033279735089561</v>
      </c>
      <c r="Z606" s="5">
        <f>1</f>
        <v>1</v>
      </c>
      <c r="AA606" s="5">
        <f>IF(M606=0,0,const*($T606/omega)*O606*(wy*I606-wz*(H606-V606))/Z606)</f>
        <v>0</v>
      </c>
      <c r="AB606" s="5">
        <f>IF(M606=0,0,const*($T606/omega)*O606*(wz*(G606-U606)-wx*I606)/Z606)</f>
        <v>4.5017687735257406</v>
      </c>
      <c r="AC606" s="5">
        <f>IF(M606=0,0,const*($T606/omega)*O606*(wx*(H606-V606)-wy*(G606-U606))/Z606)</f>
        <v>7.9554556972646067</v>
      </c>
      <c r="AD606" s="5">
        <f t="shared" si="243"/>
        <v>0</v>
      </c>
      <c r="AE606" s="5">
        <f t="shared" si="243"/>
        <v>-7.6976849567301224</v>
      </c>
      <c r="AF606" s="5">
        <f t="shared" si="231"/>
        <v>-17.315216329226438</v>
      </c>
      <c r="AG606">
        <f t="shared" si="242"/>
        <v>0</v>
      </c>
    </row>
    <row r="607" spans="1:33" x14ac:dyDescent="0.2">
      <c r="A607">
        <f t="shared" si="232"/>
        <v>5.7499999999999218</v>
      </c>
      <c r="B607" s="5">
        <f t="shared" si="233"/>
        <v>0</v>
      </c>
      <c r="C607" s="5">
        <f t="shared" si="234"/>
        <v>861.06386950359536</v>
      </c>
      <c r="D607" s="5">
        <f t="shared" si="235"/>
        <v>-40.868860491094829</v>
      </c>
      <c r="E607" s="2">
        <f t="shared" si="217"/>
        <v>287.02128983453179</v>
      </c>
      <c r="F607" s="2">
        <f t="shared" si="236"/>
        <v>0</v>
      </c>
      <c r="G607" s="3">
        <f t="shared" si="237"/>
        <v>0</v>
      </c>
      <c r="H607" s="3">
        <f t="shared" si="238"/>
        <v>106.99916807689208</v>
      </c>
      <c r="I607" s="3">
        <f t="shared" si="239"/>
        <v>-60.764532966932812</v>
      </c>
      <c r="J607" s="2">
        <f t="shared" si="218"/>
        <v>123.04938210261953</v>
      </c>
      <c r="K607" s="2">
        <f t="shared" si="240"/>
        <v>83.878242742071933</v>
      </c>
      <c r="L607" s="5">
        <f t="shared" si="219"/>
        <v>28.439145743248325</v>
      </c>
      <c r="M607" s="3">
        <f t="shared" si="220"/>
        <v>17.962531567925694</v>
      </c>
      <c r="N607" s="2">
        <v>0</v>
      </c>
      <c r="O607" s="2">
        <f t="shared" si="221"/>
        <v>123.04938210261953</v>
      </c>
      <c r="P607" s="2">
        <f t="shared" si="222"/>
        <v>83.878242742071933</v>
      </c>
      <c r="Q607" s="5">
        <f t="shared" si="223"/>
        <v>1.037056705989938</v>
      </c>
      <c r="R607" s="5">
        <f t="shared" si="224"/>
        <v>0.16294882750460821</v>
      </c>
      <c r="S607" s="4">
        <f t="shared" si="241"/>
        <v>0.14597823459971115</v>
      </c>
      <c r="T607" s="5">
        <f t="shared" si="225"/>
        <v>0.1062494637876827</v>
      </c>
      <c r="U607" s="4">
        <f t="shared" si="226"/>
        <v>0</v>
      </c>
      <c r="V607" s="4">
        <f t="shared" si="227"/>
        <v>0</v>
      </c>
      <c r="W607" s="5">
        <f t="shared" si="228"/>
        <v>0</v>
      </c>
      <c r="X607" s="5">
        <f t="shared" si="229"/>
        <v>-12.191297140725771</v>
      </c>
      <c r="Y607" s="5">
        <f t="shared" si="230"/>
        <v>6.9234040818424862</v>
      </c>
      <c r="Z607" s="5">
        <f>1</f>
        <v>1</v>
      </c>
      <c r="AA607" s="5">
        <f>IF(M607=0,0,const*($T607/omega)*O607*(wy*I607-wz*(H607-V607))/Z607)</f>
        <v>0</v>
      </c>
      <c r="AB607" s="5">
        <f>IF(M607=0,0,const*($T607/omega)*O607*(wz*(G607-U607)-wx*I607)/Z607)</f>
        <v>4.5143495816833337</v>
      </c>
      <c r="AC607" s="5">
        <f>IF(M607=0,0,const*($T607/omega)*O607*(wx*(H607-V607)-wy*(G607-U607))/Z607)</f>
        <v>7.9492366033857511</v>
      </c>
      <c r="AD607" s="5">
        <f t="shared" si="243"/>
        <v>0</v>
      </c>
      <c r="AE607" s="5">
        <f t="shared" si="243"/>
        <v>-7.6769475590424374</v>
      </c>
      <c r="AF607" s="5">
        <f t="shared" si="231"/>
        <v>-17.301359314771762</v>
      </c>
      <c r="AG607">
        <f t="shared" si="242"/>
        <v>0</v>
      </c>
    </row>
    <row r="608" spans="1:33" x14ac:dyDescent="0.2">
      <c r="A608">
        <f t="shared" si="232"/>
        <v>5.7599999999999216</v>
      </c>
      <c r="B608" s="5">
        <f t="shared" si="233"/>
        <v>0</v>
      </c>
      <c r="C608" s="5">
        <f t="shared" si="234"/>
        <v>862.13347733698629</v>
      </c>
      <c r="D608" s="5">
        <f t="shared" si="235"/>
        <v>-41.477370888729901</v>
      </c>
      <c r="E608" s="2">
        <f t="shared" ref="E608:E671" si="244">SQRT(B608^2+C608^2)/3</f>
        <v>287.37782577899543</v>
      </c>
      <c r="F608" s="2">
        <f t="shared" si="236"/>
        <v>0</v>
      </c>
      <c r="G608" s="3">
        <f t="shared" si="237"/>
        <v>0</v>
      </c>
      <c r="H608" s="3">
        <f t="shared" si="238"/>
        <v>106.92239860130165</v>
      </c>
      <c r="I608" s="3">
        <f t="shared" si="239"/>
        <v>-60.937546560080527</v>
      </c>
      <c r="J608" s="2">
        <f t="shared" ref="J608:J671" si="245">SQRT(G608^2+H608^2+I608^2)</f>
        <v>123.06820833756221</v>
      </c>
      <c r="K608" s="2">
        <f t="shared" si="240"/>
        <v>83.891075894725432</v>
      </c>
      <c r="L608" s="5">
        <f t="shared" ref="L608:L671" si="246">1/(0.00002*J608/(circ/(2*PI()*12)))</f>
        <v>28.434795293635354</v>
      </c>
      <c r="M608" s="3">
        <f t="shared" ref="M608:M671" si="247">romega*EXP(-A608/L608)</f>
        <v>17.955660135132472</v>
      </c>
      <c r="N608" s="2">
        <v>0</v>
      </c>
      <c r="O608" s="2">
        <f t="shared" ref="O608:O671" si="248">IF(D608&gt;=hwind,SQRT((G608-vxw)^2+(H608-vyw)^2+I608^2),J608)</f>
        <v>123.06820833756221</v>
      </c>
      <c r="P608" s="2">
        <f t="shared" ref="P608:P671" si="249">J608/1.467</f>
        <v>83.891075894725432</v>
      </c>
      <c r="Q608" s="5">
        <f t="shared" ref="Q608:Q671" si="250">(P608/100)*Re_100*0.00001</f>
        <v>1.0372153729646294</v>
      </c>
      <c r="R608" s="5">
        <f t="shared" ref="R608:R671" si="251">IF(Q608&lt;=ReLow,CdL,IF(Q608&lt;ReHigh,CdL+(CdH-CdL)*(Q608-ReLow)/(ReHigh-ReLow),CdH))+CdS*S608</f>
        <v>0.16293251272449455</v>
      </c>
      <c r="S608" s="4">
        <f t="shared" si="241"/>
        <v>0.14590006938170516</v>
      </c>
      <c r="T608" s="5">
        <f t="shared" ref="T608:T671" si="252">ClAmp*S608^0.4</f>
        <v>0.10622670327958483</v>
      </c>
      <c r="U608" s="4">
        <f t="shared" ref="U608:U671" si="253">IF(D608&gt;=hwind,vxw,0)</f>
        <v>0</v>
      </c>
      <c r="V608" s="4">
        <f t="shared" ref="V608:V671" si="254">IF(D608&gt;=hwind,vyw,0)</f>
        <v>0</v>
      </c>
      <c r="W608" s="5">
        <f t="shared" ref="W608:W671" si="255">-const*$R608*$O608*(G608-U608)</f>
        <v>0</v>
      </c>
      <c r="X608" s="5">
        <f t="shared" ref="X608:X671" si="256">-const*$R608*$O608*(H608-V608)</f>
        <v>-12.183194130833527</v>
      </c>
      <c r="Y608" s="5">
        <f t="shared" ref="Y608:Y671" si="257">-const*$R608*$O608*I608</f>
        <v>6.9434839594884457</v>
      </c>
      <c r="Z608" s="5">
        <f>1</f>
        <v>1</v>
      </c>
      <c r="AA608" s="5">
        <f>IF(M608=0,0,const*($T608/omega)*O608*(wy*I608-wz*(H608-V608))/Z608)</f>
        <v>0</v>
      </c>
      <c r="AB608" s="5">
        <f>IF(M608=0,0,const*($T608/omega)*O608*(wz*(G608-U608)-wx*I608)/Z608)</f>
        <v>4.5269258907111363</v>
      </c>
      <c r="AC608" s="5">
        <f>IF(M608=0,0,const*($T608/omega)*O608*(wx*(H608-V608)-wy*(G608-U608))/Z608)</f>
        <v>7.9430466411696807</v>
      </c>
      <c r="AD608" s="5">
        <f t="shared" si="243"/>
        <v>0</v>
      </c>
      <c r="AE608" s="5">
        <f t="shared" si="243"/>
        <v>-7.6562682401223912</v>
      </c>
      <c r="AF608" s="5">
        <f t="shared" ref="AF608:AF671" si="258">Y608+AC608-32.174</f>
        <v>-17.287469399341873</v>
      </c>
      <c r="AG608">
        <f t="shared" si="242"/>
        <v>0</v>
      </c>
    </row>
    <row r="609" spans="1:33" x14ac:dyDescent="0.2">
      <c r="A609">
        <f t="shared" ref="A609:A672" si="259">A608+dt</f>
        <v>5.7699999999999214</v>
      </c>
      <c r="B609" s="5">
        <f t="shared" ref="B609:B672" si="260">B608+G608*dt+0.5*AD608*dt*dt</f>
        <v>0</v>
      </c>
      <c r="C609" s="5">
        <f t="shared" ref="C609:C672" si="261">C608+H608*dt+0.5*AE608*dt*dt</f>
        <v>863.20231850958737</v>
      </c>
      <c r="D609" s="5">
        <f t="shared" ref="D609:D672" si="262">D608+I608*dt+0.5*AF608*dt*dt</f>
        <v>-42.087610727800673</v>
      </c>
      <c r="E609" s="2">
        <f t="shared" si="244"/>
        <v>287.73410616986246</v>
      </c>
      <c r="F609" s="2">
        <f t="shared" ref="F609:F672" si="263">ATAN2(C609,B609)*180/PI()</f>
        <v>0</v>
      </c>
      <c r="G609" s="3">
        <f t="shared" ref="G609:G672" si="264">G608+AD608*dt</f>
        <v>0</v>
      </c>
      <c r="H609" s="3">
        <f t="shared" ref="H609:H672" si="265">H608+AE608*dt</f>
        <v>106.84583591890043</v>
      </c>
      <c r="I609" s="3">
        <f t="shared" ref="I609:I672" si="266">I608+AF608*dt</f>
        <v>-61.110421254073948</v>
      </c>
      <c r="J609" s="2">
        <f t="shared" si="245"/>
        <v>123.08743331087446</v>
      </c>
      <c r="K609" s="2">
        <f t="shared" ref="K609:K672" si="267">J609/1.467</f>
        <v>83.904180852675154</v>
      </c>
      <c r="L609" s="5">
        <f t="shared" si="246"/>
        <v>28.430354075178236</v>
      </c>
      <c r="M609" s="3">
        <f t="shared" si="247"/>
        <v>17.948777599163595</v>
      </c>
      <c r="N609" s="2">
        <v>0</v>
      </c>
      <c r="O609" s="2">
        <f t="shared" si="248"/>
        <v>123.08743331087446</v>
      </c>
      <c r="P609" s="2">
        <f t="shared" si="249"/>
        <v>83.904180852675154</v>
      </c>
      <c r="Q609" s="5">
        <f t="shared" si="250"/>
        <v>1.0373774004950018</v>
      </c>
      <c r="R609" s="5">
        <f t="shared" si="251"/>
        <v>0.16291608550996561</v>
      </c>
      <c r="S609" s="4">
        <f t="shared" ref="S609:S672" si="268">(M609/O609)</f>
        <v>0.14582136548279023</v>
      </c>
      <c r="T609" s="5">
        <f t="shared" si="252"/>
        <v>0.10620377852259573</v>
      </c>
      <c r="U609" s="4">
        <f t="shared" si="253"/>
        <v>0</v>
      </c>
      <c r="V609" s="4">
        <f t="shared" si="254"/>
        <v>0</v>
      </c>
      <c r="W609" s="5">
        <f t="shared" si="255"/>
        <v>0</v>
      </c>
      <c r="X609" s="5">
        <f t="shared" si="256"/>
        <v>-12.175144425943788</v>
      </c>
      <c r="Y609" s="5">
        <f t="shared" si="257"/>
        <v>6.9635676327466562</v>
      </c>
      <c r="Z609" s="5">
        <f>1</f>
        <v>1</v>
      </c>
      <c r="AA609" s="5">
        <f>IF(M609=0,0,const*($T609/omega)*O609*(wy*I609-wz*(H609-V609))/Z609)</f>
        <v>0</v>
      </c>
      <c r="AB609" s="5">
        <f>IF(M609=0,0,const*($T609/omega)*O609*(wz*(G609-U609)-wx*I609)/Z609)</f>
        <v>4.5394976946589063</v>
      </c>
      <c r="AC609" s="5">
        <f>IF(M609=0,0,const*($T609/omega)*O609*(wx*(H609-V609)-wy*(G609-U609))/Z609)</f>
        <v>7.9368856552501317</v>
      </c>
      <c r="AD609" s="5">
        <f t="shared" si="243"/>
        <v>0</v>
      </c>
      <c r="AE609" s="5">
        <f t="shared" si="243"/>
        <v>-7.6356467312848819</v>
      </c>
      <c r="AF609" s="5">
        <f t="shared" si="258"/>
        <v>-17.27354671200321</v>
      </c>
      <c r="AG609">
        <f t="shared" si="242"/>
        <v>0</v>
      </c>
    </row>
    <row r="610" spans="1:33" x14ac:dyDescent="0.2">
      <c r="A610">
        <f t="shared" si="259"/>
        <v>5.7799999999999212</v>
      </c>
      <c r="B610" s="5">
        <f t="shared" si="260"/>
        <v>0</v>
      </c>
      <c r="C610" s="5">
        <f t="shared" si="261"/>
        <v>864.27039508643975</v>
      </c>
      <c r="D610" s="5">
        <f t="shared" si="262"/>
        <v>-42.699578617677012</v>
      </c>
      <c r="E610" s="2">
        <f t="shared" si="244"/>
        <v>288.0901316954799</v>
      </c>
      <c r="F610" s="2">
        <f t="shared" si="263"/>
        <v>0</v>
      </c>
      <c r="G610" s="3">
        <f t="shared" si="264"/>
        <v>0</v>
      </c>
      <c r="H610" s="3">
        <f t="shared" si="265"/>
        <v>106.76947945158759</v>
      </c>
      <c r="I610" s="3">
        <f t="shared" si="266"/>
        <v>-61.283156721193983</v>
      </c>
      <c r="J610" s="2">
        <f t="shared" si="245"/>
        <v>123.10705520025003</v>
      </c>
      <c r="K610" s="2">
        <f t="shared" si="267"/>
        <v>83.917556373721894</v>
      </c>
      <c r="L610" s="5">
        <f t="shared" si="246"/>
        <v>28.42582259433285</v>
      </c>
      <c r="M610" s="3">
        <f t="shared" si="247"/>
        <v>17.941883967476222</v>
      </c>
      <c r="N610" s="2">
        <v>0</v>
      </c>
      <c r="O610" s="2">
        <f t="shared" si="248"/>
        <v>123.10705520025003</v>
      </c>
      <c r="P610" s="2">
        <f t="shared" si="249"/>
        <v>83.917556373721894</v>
      </c>
      <c r="Q610" s="5">
        <f t="shared" si="250"/>
        <v>1.03754277322271</v>
      </c>
      <c r="R610" s="5">
        <f t="shared" si="251"/>
        <v>0.16289954653624944</v>
      </c>
      <c r="S610" s="4">
        <f t="shared" si="268"/>
        <v>0.14574212613802967</v>
      </c>
      <c r="T610" s="5">
        <f t="shared" si="252"/>
        <v>0.10618069030067691</v>
      </c>
      <c r="U610" s="4">
        <f t="shared" si="253"/>
        <v>0</v>
      </c>
      <c r="V610" s="4">
        <f t="shared" si="254"/>
        <v>0</v>
      </c>
      <c r="W610" s="5">
        <f t="shared" si="255"/>
        <v>0</v>
      </c>
      <c r="X610" s="5">
        <f t="shared" si="256"/>
        <v>-12.167147752641329</v>
      </c>
      <c r="Y610" s="5">
        <f t="shared" si="257"/>
        <v>6.9836551269610467</v>
      </c>
      <c r="Z610" s="5">
        <f>1</f>
        <v>1</v>
      </c>
      <c r="AA610" s="5">
        <f>IF(M610=0,0,const*($T610/omega)*O610*(wy*I610-wz*(H610-V610))/Z610)</f>
        <v>0</v>
      </c>
      <c r="AB610" s="5">
        <f>IF(M610=0,0,const*($T610/omega)*O610*(wz*(G610-U610)-wx*I610)/Z610)</f>
        <v>4.5520649871028072</v>
      </c>
      <c r="AC610" s="5">
        <f>IF(M610=0,0,const*($T610/omega)*O610*(wx*(H610-V610)-wy*(G610-U610))/Z610)</f>
        <v>7.9307534909454214</v>
      </c>
      <c r="AD610" s="5">
        <f t="shared" si="243"/>
        <v>0</v>
      </c>
      <c r="AE610" s="5">
        <f t="shared" si="243"/>
        <v>-7.6150827655385216</v>
      </c>
      <c r="AF610" s="5">
        <f t="shared" si="258"/>
        <v>-17.259591382093532</v>
      </c>
      <c r="AG610">
        <f t="shared" ref="AG610:AG673" si="269">IF($D610*$D611&lt;0,1,0)</f>
        <v>0</v>
      </c>
    </row>
    <row r="611" spans="1:33" x14ac:dyDescent="0.2">
      <c r="A611">
        <f t="shared" si="259"/>
        <v>5.789999999999921</v>
      </c>
      <c r="B611" s="5">
        <f t="shared" si="260"/>
        <v>0</v>
      </c>
      <c r="C611" s="5">
        <f t="shared" si="261"/>
        <v>865.33770912681734</v>
      </c>
      <c r="D611" s="5">
        <f t="shared" si="262"/>
        <v>-43.31327316445806</v>
      </c>
      <c r="E611" s="2">
        <f t="shared" si="244"/>
        <v>288.44590304227245</v>
      </c>
      <c r="F611" s="2">
        <f t="shared" si="263"/>
        <v>0</v>
      </c>
      <c r="G611" s="3">
        <f t="shared" si="264"/>
        <v>0</v>
      </c>
      <c r="H611" s="3">
        <f t="shared" si="265"/>
        <v>106.6933286239322</v>
      </c>
      <c r="I611" s="3">
        <f t="shared" si="266"/>
        <v>-61.455752635014917</v>
      </c>
      <c r="J611" s="2">
        <f t="shared" si="245"/>
        <v>123.12707218475771</v>
      </c>
      <c r="K611" s="2">
        <f t="shared" si="267"/>
        <v>83.931201216603753</v>
      </c>
      <c r="L611" s="5">
        <f t="shared" si="246"/>
        <v>28.421201358398363</v>
      </c>
      <c r="M611" s="3">
        <f t="shared" si="247"/>
        <v>17.934979247891359</v>
      </c>
      <c r="N611" s="2">
        <v>0</v>
      </c>
      <c r="O611" s="2">
        <f t="shared" si="248"/>
        <v>123.12707218475771</v>
      </c>
      <c r="P611" s="2">
        <f t="shared" si="249"/>
        <v>83.931201216603753</v>
      </c>
      <c r="Q611" s="5">
        <f t="shared" si="250"/>
        <v>1.0377114758009975</v>
      </c>
      <c r="R611" s="5">
        <f t="shared" si="251"/>
        <v>0.16288289647961107</v>
      </c>
      <c r="S611" s="4">
        <f t="shared" si="268"/>
        <v>0.14566235458745511</v>
      </c>
      <c r="T611" s="5">
        <f t="shared" si="252"/>
        <v>0.10615743939915953</v>
      </c>
      <c r="U611" s="4">
        <f t="shared" si="253"/>
        <v>0</v>
      </c>
      <c r="V611" s="4">
        <f t="shared" si="254"/>
        <v>0</v>
      </c>
      <c r="W611" s="5">
        <f t="shared" si="255"/>
        <v>0</v>
      </c>
      <c r="X611" s="5">
        <f t="shared" si="256"/>
        <v>-12.159203838727061</v>
      </c>
      <c r="Y611" s="5">
        <f t="shared" si="257"/>
        <v>7.0037464665238591</v>
      </c>
      <c r="Z611" s="5">
        <f>1</f>
        <v>1</v>
      </c>
      <c r="AA611" s="5">
        <f>IF(M611=0,0,const*($T611/omega)*O611*(wy*I611-wz*(H611-V611))/Z611)</f>
        <v>0</v>
      </c>
      <c r="AB611" s="5">
        <f>IF(M611=0,0,const*($T611/omega)*O611*(wz*(G611-U611)-wx*I611)/Z611)</f>
        <v>4.5646277611483415</v>
      </c>
      <c r="AC611" s="5">
        <f>IF(M611=0,0,const*($T611/omega)*O611*(wx*(H611-V611)-wy*(G611-U611))/Z611)</f>
        <v>7.9246499942568915</v>
      </c>
      <c r="AD611" s="5">
        <f t="shared" si="243"/>
        <v>0</v>
      </c>
      <c r="AE611" s="5">
        <f t="shared" si="243"/>
        <v>-7.5945760775787194</v>
      </c>
      <c r="AF611" s="5">
        <f t="shared" si="258"/>
        <v>-17.24560353921925</v>
      </c>
      <c r="AG611">
        <f t="shared" si="269"/>
        <v>0</v>
      </c>
    </row>
    <row r="612" spans="1:33" x14ac:dyDescent="0.2">
      <c r="A612">
        <f t="shared" si="259"/>
        <v>5.7999999999999208</v>
      </c>
      <c r="B612" s="5">
        <f t="shared" si="260"/>
        <v>0</v>
      </c>
      <c r="C612" s="5">
        <f t="shared" si="261"/>
        <v>866.40426268425279</v>
      </c>
      <c r="D612" s="5">
        <f t="shared" si="262"/>
        <v>-43.928692970985168</v>
      </c>
      <c r="E612" s="2">
        <f t="shared" si="244"/>
        <v>288.80142089475095</v>
      </c>
      <c r="F612" s="2">
        <f t="shared" si="263"/>
        <v>0</v>
      </c>
      <c r="G612" s="3">
        <f t="shared" si="264"/>
        <v>0</v>
      </c>
      <c r="H612" s="3">
        <f t="shared" si="265"/>
        <v>106.61738286315642</v>
      </c>
      <c r="I612" s="3">
        <f t="shared" si="266"/>
        <v>-61.628208670407112</v>
      </c>
      <c r="J612" s="2">
        <f t="shared" si="245"/>
        <v>123.1474824448804</v>
      </c>
      <c r="K612" s="2">
        <f t="shared" si="267"/>
        <v>83.945114141022756</v>
      </c>
      <c r="L612" s="5">
        <f t="shared" si="246"/>
        <v>28.416490875478143</v>
      </c>
      <c r="M612" s="3">
        <f t="shared" si="247"/>
        <v>17.928063448591672</v>
      </c>
      <c r="N612" s="2">
        <v>0</v>
      </c>
      <c r="O612" s="2">
        <f t="shared" si="248"/>
        <v>123.1474824448804</v>
      </c>
      <c r="P612" s="2">
        <f t="shared" si="249"/>
        <v>83.945114141022756</v>
      </c>
      <c r="Q612" s="5">
        <f t="shared" si="250"/>
        <v>1.0378834928950256</v>
      </c>
      <c r="R612" s="5">
        <f t="shared" si="251"/>
        <v>0.16286613601730107</v>
      </c>
      <c r="S612" s="4">
        <f t="shared" si="268"/>
        <v>0.14558205407582001</v>
      </c>
      <c r="T612" s="5">
        <f t="shared" si="252"/>
        <v>0.10613402660469323</v>
      </c>
      <c r="U612" s="4">
        <f t="shared" si="253"/>
        <v>0</v>
      </c>
      <c r="V612" s="4">
        <f t="shared" si="254"/>
        <v>0</v>
      </c>
      <c r="W612" s="5">
        <f t="shared" si="255"/>
        <v>0</v>
      </c>
      <c r="X612" s="5">
        <f t="shared" si="256"/>
        <v>-12.151312413214042</v>
      </c>
      <c r="Y612" s="5">
        <f t="shared" si="257"/>
        <v>7.0238416748798915</v>
      </c>
      <c r="Z612" s="5">
        <f>1</f>
        <v>1</v>
      </c>
      <c r="AA612" s="5">
        <f>IF(M612=0,0,const*($T612/omega)*O612*(wy*I612-wz*(H612-V612))/Z612)</f>
        <v>0</v>
      </c>
      <c r="AB612" s="5">
        <f>IF(M612=0,0,const*($T612/omega)*O612*(wz*(G612-U612)-wx*I612)/Z612)</f>
        <v>4.5771860094333237</v>
      </c>
      <c r="AC612" s="5">
        <f>IF(M612=0,0,const*($T612/omega)*O612*(wx*(H612-V612)-wy*(G612-U612))/Z612)</f>
        <v>7.9185750118674036</v>
      </c>
      <c r="AD612" s="5">
        <f t="shared" si="243"/>
        <v>0</v>
      </c>
      <c r="AE612" s="5">
        <f t="shared" si="243"/>
        <v>-7.5741264037807179</v>
      </c>
      <c r="AF612" s="5">
        <f t="shared" si="258"/>
        <v>-17.231583313252706</v>
      </c>
      <c r="AG612">
        <f t="shared" si="269"/>
        <v>0</v>
      </c>
    </row>
    <row r="613" spans="1:33" x14ac:dyDescent="0.2">
      <c r="A613">
        <f t="shared" si="259"/>
        <v>5.8099999999999206</v>
      </c>
      <c r="B613" s="5">
        <f t="shared" si="260"/>
        <v>0</v>
      </c>
      <c r="C613" s="5">
        <f t="shared" si="261"/>
        <v>867.47005780656423</v>
      </c>
      <c r="D613" s="5">
        <f t="shared" si="262"/>
        <v>-44.545836636854901</v>
      </c>
      <c r="E613" s="2">
        <f t="shared" si="244"/>
        <v>289.15668593552141</v>
      </c>
      <c r="F613" s="2">
        <f t="shared" si="263"/>
        <v>0</v>
      </c>
      <c r="G613" s="3">
        <f t="shared" si="264"/>
        <v>0</v>
      </c>
      <c r="H613" s="3">
        <f t="shared" si="265"/>
        <v>106.54164159911862</v>
      </c>
      <c r="I613" s="3">
        <f t="shared" si="266"/>
        <v>-61.800524503539641</v>
      </c>
      <c r="J613" s="2">
        <f t="shared" si="245"/>
        <v>123.16828416255399</v>
      </c>
      <c r="K613" s="2">
        <f t="shared" si="267"/>
        <v>83.959293907671423</v>
      </c>
      <c r="L613" s="5">
        <f t="shared" si="246"/>
        <v>28.411691654440972</v>
      </c>
      <c r="M613" s="3">
        <f t="shared" si="247"/>
        <v>17.921136578119324</v>
      </c>
      <c r="N613" s="2">
        <v>0</v>
      </c>
      <c r="O613" s="2">
        <f t="shared" si="248"/>
        <v>123.16828416255399</v>
      </c>
      <c r="P613" s="2">
        <f t="shared" si="249"/>
        <v>83.959293907671423</v>
      </c>
      <c r="Q613" s="5">
        <f t="shared" si="250"/>
        <v>1.0380588091822014</v>
      </c>
      <c r="R613" s="5">
        <f t="shared" si="251"/>
        <v>0.16284926582750442</v>
      </c>
      <c r="S613" s="4">
        <f t="shared" si="268"/>
        <v>0.14550122785235459</v>
      </c>
      <c r="T613" s="5">
        <f t="shared" si="252"/>
        <v>0.10611045270519517</v>
      </c>
      <c r="U613" s="4">
        <f t="shared" si="253"/>
        <v>0</v>
      </c>
      <c r="V613" s="4">
        <f t="shared" si="254"/>
        <v>0</v>
      </c>
      <c r="W613" s="5">
        <f t="shared" si="255"/>
        <v>0</v>
      </c>
      <c r="X613" s="5">
        <f t="shared" si="256"/>
        <v>-12.143473206323515</v>
      </c>
      <c r="Y613" s="5">
        <f t="shared" si="257"/>
        <v>7.0439407745307525</v>
      </c>
      <c r="Z613" s="5">
        <f>1</f>
        <v>1</v>
      </c>
      <c r="AA613" s="5">
        <f>IF(M613=0,0,const*($T613/omega)*O613*(wy*I613-wz*(H613-V613))/Z613)</f>
        <v>0</v>
      </c>
      <c r="AB613" s="5">
        <f>IF(M613=0,0,const*($T613/omega)*O613*(wz*(G613-U613)-wx*I613)/Z613)</f>
        <v>4.5897397241308484</v>
      </c>
      <c r="AC613" s="5">
        <f>IF(M613=0,0,const*($T613/omega)*O613*(wx*(H613-V613)-wy*(G613-U613))/Z613)</f>
        <v>7.9125283911397686</v>
      </c>
      <c r="AD613" s="5">
        <f t="shared" si="243"/>
        <v>0</v>
      </c>
      <c r="AE613" s="5">
        <f t="shared" si="243"/>
        <v>-7.5537334821926665</v>
      </c>
      <c r="AF613" s="5">
        <f t="shared" si="258"/>
        <v>-17.21753083432948</v>
      </c>
      <c r="AG613">
        <f t="shared" si="269"/>
        <v>0</v>
      </c>
    </row>
    <row r="614" spans="1:33" x14ac:dyDescent="0.2">
      <c r="A614">
        <f t="shared" si="259"/>
        <v>5.8199999999999203</v>
      </c>
      <c r="B614" s="5">
        <f t="shared" si="260"/>
        <v>0</v>
      </c>
      <c r="C614" s="5">
        <f t="shared" si="261"/>
        <v>868.53509653588128</v>
      </c>
      <c r="D614" s="5">
        <f t="shared" si="262"/>
        <v>-45.164702758432014</v>
      </c>
      <c r="E614" s="2">
        <f t="shared" si="244"/>
        <v>289.51169884529378</v>
      </c>
      <c r="F614" s="2">
        <f t="shared" si="263"/>
        <v>0</v>
      </c>
      <c r="G614" s="3">
        <f t="shared" si="264"/>
        <v>0</v>
      </c>
      <c r="H614" s="3">
        <f t="shared" si="265"/>
        <v>106.46610426429669</v>
      </c>
      <c r="I614" s="3">
        <f t="shared" si="266"/>
        <v>-61.972699811882933</v>
      </c>
      <c r="J614" s="2">
        <f t="shared" si="245"/>
        <v>123.18947552120615</v>
      </c>
      <c r="K614" s="2">
        <f t="shared" si="267"/>
        <v>83.973739278259131</v>
      </c>
      <c r="L614" s="5">
        <f t="shared" si="246"/>
        <v>28.406804204882341</v>
      </c>
      <c r="M614" s="3">
        <f t="shared" si="247"/>
        <v>17.914198645373805</v>
      </c>
      <c r="N614" s="2">
        <v>0</v>
      </c>
      <c r="O614" s="2">
        <f t="shared" si="248"/>
        <v>123.18947552120615</v>
      </c>
      <c r="P614" s="2">
        <f t="shared" si="249"/>
        <v>83.973739278259131</v>
      </c>
      <c r="Q614" s="5">
        <f t="shared" si="250"/>
        <v>1.0382374093525046</v>
      </c>
      <c r="R614" s="5">
        <f t="shared" si="251"/>
        <v>0.16283228658928967</v>
      </c>
      <c r="S614" s="4">
        <f t="shared" si="268"/>
        <v>0.14541987917052224</v>
      </c>
      <c r="T614" s="5">
        <f t="shared" si="252"/>
        <v>0.10608671848979934</v>
      </c>
      <c r="U614" s="4">
        <f t="shared" si="253"/>
        <v>0</v>
      </c>
      <c r="V614" s="4">
        <f t="shared" si="254"/>
        <v>0</v>
      </c>
      <c r="W614" s="5">
        <f t="shared" si="255"/>
        <v>0</v>
      </c>
      <c r="X614" s="5">
        <f t="shared" si="256"/>
        <v>-12.135685949480967</v>
      </c>
      <c r="Y614" s="5">
        <f t="shared" si="257"/>
        <v>7.0640437870391697</v>
      </c>
      <c r="Z614" s="5">
        <f>1</f>
        <v>1</v>
      </c>
      <c r="AA614" s="5">
        <f>IF(M614=0,0,const*($T614/omega)*O614*(wy*I614-wz*(H614-V614))/Z614)</f>
        <v>0</v>
      </c>
      <c r="AB614" s="5">
        <f>IF(M614=0,0,const*($T614/omega)*O614*(wz*(G614-U614)-wx*I614)/Z614)</f>
        <v>4.6022888969522864</v>
      </c>
      <c r="AC614" s="5">
        <f>IF(M614=0,0,const*($T614/omega)*O614*(wx*(H614-V614)-wy*(G614-U614))/Z614)</f>
        <v>7.9065099801152225</v>
      </c>
      <c r="AD614" s="5">
        <f t="shared" si="243"/>
        <v>0</v>
      </c>
      <c r="AE614" s="5">
        <f t="shared" si="243"/>
        <v>-7.5333970525286809</v>
      </c>
      <c r="AF614" s="5">
        <f t="shared" si="258"/>
        <v>-17.203446232845607</v>
      </c>
      <c r="AG614">
        <f t="shared" si="269"/>
        <v>0</v>
      </c>
    </row>
    <row r="615" spans="1:33" x14ac:dyDescent="0.2">
      <c r="A615">
        <f t="shared" si="259"/>
        <v>5.8299999999999201</v>
      </c>
      <c r="B615" s="5">
        <f t="shared" si="260"/>
        <v>0</v>
      </c>
      <c r="C615" s="5">
        <f t="shared" si="261"/>
        <v>869.59938090867161</v>
      </c>
      <c r="D615" s="5">
        <f t="shared" si="262"/>
        <v>-45.785289928862483</v>
      </c>
      <c r="E615" s="2">
        <f t="shared" si="244"/>
        <v>289.86646030289052</v>
      </c>
      <c r="F615" s="2">
        <f t="shared" si="263"/>
        <v>0</v>
      </c>
      <c r="G615" s="3">
        <f t="shared" si="264"/>
        <v>0</v>
      </c>
      <c r="H615" s="3">
        <f t="shared" si="265"/>
        <v>106.3907702937714</v>
      </c>
      <c r="I615" s="3">
        <f t="shared" si="266"/>
        <v>-62.144734274211388</v>
      </c>
      <c r="J615" s="2">
        <f t="shared" si="245"/>
        <v>123.21105470579487</v>
      </c>
      <c r="K615" s="2">
        <f t="shared" si="267"/>
        <v>83.988449015538421</v>
      </c>
      <c r="L615" s="5">
        <f t="shared" si="246"/>
        <v>28.401829037086102</v>
      </c>
      <c r="M615" s="3">
        <f t="shared" si="247"/>
        <v>17.907249659609739</v>
      </c>
      <c r="N615" s="2">
        <v>0</v>
      </c>
      <c r="O615" s="2">
        <f t="shared" si="248"/>
        <v>123.21105470579487</v>
      </c>
      <c r="P615" s="2">
        <f t="shared" si="249"/>
        <v>83.988449015538421</v>
      </c>
      <c r="Q615" s="5">
        <f t="shared" si="250"/>
        <v>1.0384192781088133</v>
      </c>
      <c r="R615" s="5">
        <f t="shared" si="251"/>
        <v>0.16281519898255831</v>
      </c>
      <c r="S615" s="4">
        <f t="shared" si="268"/>
        <v>0.14533801128777712</v>
      </c>
      <c r="T615" s="5">
        <f t="shared" si="252"/>
        <v>0.10606282474880616</v>
      </c>
      <c r="U615" s="4">
        <f t="shared" si="253"/>
        <v>0</v>
      </c>
      <c r="V615" s="4">
        <f t="shared" si="254"/>
        <v>0</v>
      </c>
      <c r="W615" s="5">
        <f t="shared" si="255"/>
        <v>0</v>
      </c>
      <c r="X615" s="5">
        <f t="shared" si="256"/>
        <v>-12.12795037531219</v>
      </c>
      <c r="Y615" s="5">
        <f t="shared" si="257"/>
        <v>7.0841507330333027</v>
      </c>
      <c r="Z615" s="5">
        <f>1</f>
        <v>1</v>
      </c>
      <c r="AA615" s="5">
        <f>IF(M615=0,0,const*($T615/omega)*O615*(wy*I615-wz*(H615-V615))/Z615)</f>
        <v>0</v>
      </c>
      <c r="AB615" s="5">
        <f>IF(M615=0,0,const*($T615/omega)*O615*(wz*(G615-U615)-wx*I615)/Z615)</f>
        <v>4.6148335191503111</v>
      </c>
      <c r="AC615" s="5">
        <f>IF(M615=0,0,const*($T615/omega)*O615*(wx*(H615-V615)-wy*(G615-U615))/Z615)</f>
        <v>7.9005196275118825</v>
      </c>
      <c r="AD615" s="5">
        <f t="shared" si="243"/>
        <v>0</v>
      </c>
      <c r="AE615" s="5">
        <f t="shared" si="243"/>
        <v>-7.5131168561618793</v>
      </c>
      <c r="AF615" s="5">
        <f t="shared" si="258"/>
        <v>-17.189329639454815</v>
      </c>
      <c r="AG615">
        <f t="shared" si="269"/>
        <v>0</v>
      </c>
    </row>
    <row r="616" spans="1:33" x14ac:dyDescent="0.2">
      <c r="A616">
        <f t="shared" si="259"/>
        <v>5.8399999999999199</v>
      </c>
      <c r="B616" s="5">
        <f t="shared" si="260"/>
        <v>0</v>
      </c>
      <c r="C616" s="5">
        <f t="shared" si="261"/>
        <v>870.6629129557665</v>
      </c>
      <c r="D616" s="5">
        <f t="shared" si="262"/>
        <v>-46.407596738086568</v>
      </c>
      <c r="E616" s="2">
        <f t="shared" si="244"/>
        <v>290.22097098525552</v>
      </c>
      <c r="F616" s="2">
        <f t="shared" si="263"/>
        <v>0</v>
      </c>
      <c r="G616" s="3">
        <f t="shared" si="264"/>
        <v>0</v>
      </c>
      <c r="H616" s="3">
        <f t="shared" si="265"/>
        <v>106.31563912520977</v>
      </c>
      <c r="I616" s="3">
        <f t="shared" si="266"/>
        <v>-62.316627570605938</v>
      </c>
      <c r="J616" s="2">
        <f t="shared" si="245"/>
        <v>123.23301990284682</v>
      </c>
      <c r="K616" s="2">
        <f t="shared" si="267"/>
        <v>84.003421883331157</v>
      </c>
      <c r="L616" s="5">
        <f t="shared" si="246"/>
        <v>28.396766661986256</v>
      </c>
      <c r="M616" s="3">
        <f t="shared" si="247"/>
        <v>17.900289630434713</v>
      </c>
      <c r="N616" s="2">
        <v>0</v>
      </c>
      <c r="O616" s="2">
        <f t="shared" si="248"/>
        <v>123.23301990284682</v>
      </c>
      <c r="P616" s="2">
        <f t="shared" si="249"/>
        <v>84.003421883331157</v>
      </c>
      <c r="Q616" s="5">
        <f t="shared" si="250"/>
        <v>1.0386044001672248</v>
      </c>
      <c r="R616" s="5">
        <f t="shared" si="251"/>
        <v>0.16279800368799455</v>
      </c>
      <c r="S616" s="4">
        <f t="shared" si="268"/>
        <v>0.1452556274653235</v>
      </c>
      <c r="T616" s="5">
        <f t="shared" si="252"/>
        <v>0.1060387722736323</v>
      </c>
      <c r="U616" s="4">
        <f t="shared" si="253"/>
        <v>0</v>
      </c>
      <c r="V616" s="4">
        <f t="shared" si="254"/>
        <v>0</v>
      </c>
      <c r="W616" s="5">
        <f t="shared" si="255"/>
        <v>0</v>
      </c>
      <c r="X616" s="5">
        <f t="shared" si="256"/>
        <v>-12.120266217639335</v>
      </c>
      <c r="Y616" s="5">
        <f t="shared" si="257"/>
        <v>7.1042616322110819</v>
      </c>
      <c r="Z616" s="5">
        <f>1</f>
        <v>1</v>
      </c>
      <c r="AA616" s="5">
        <f>IF(M616=0,0,const*($T616/omega)*O616*(wy*I616-wz*(H616-V616))/Z616)</f>
        <v>0</v>
      </c>
      <c r="AB616" s="5">
        <f>IF(M616=0,0,const*($T616/omega)*O616*(wz*(G616-U616)-wx*I616)/Z616)</f>
        <v>4.6273735815219217</v>
      </c>
      <c r="AC616" s="5">
        <f>IF(M616=0,0,const*($T616/omega)*O616*(wx*(H616-V616)-wy*(G616-U616))/Z616)</f>
        <v>7.8945571827232062</v>
      </c>
      <c r="AD616" s="5">
        <f t="shared" si="243"/>
        <v>0</v>
      </c>
      <c r="AE616" s="5">
        <f t="shared" si="243"/>
        <v>-7.4928926361174133</v>
      </c>
      <c r="AF616" s="5">
        <f t="shared" si="258"/>
        <v>-17.175181185065711</v>
      </c>
      <c r="AG616">
        <f t="shared" si="269"/>
        <v>0</v>
      </c>
    </row>
    <row r="617" spans="1:33" x14ac:dyDescent="0.2">
      <c r="A617">
        <f t="shared" si="259"/>
        <v>5.8499999999999197</v>
      </c>
      <c r="B617" s="5">
        <f t="shared" si="260"/>
        <v>0</v>
      </c>
      <c r="C617" s="5">
        <f t="shared" si="261"/>
        <v>871.7256947023867</v>
      </c>
      <c r="D617" s="5">
        <f t="shared" si="262"/>
        <v>-47.031621772851885</v>
      </c>
      <c r="E617" s="2">
        <f t="shared" si="244"/>
        <v>290.57523156746225</v>
      </c>
      <c r="F617" s="2">
        <f t="shared" si="263"/>
        <v>0</v>
      </c>
      <c r="G617" s="3">
        <f t="shared" si="264"/>
        <v>0</v>
      </c>
      <c r="H617" s="3">
        <f t="shared" si="265"/>
        <v>106.2407101988486</v>
      </c>
      <c r="I617" s="3">
        <f t="shared" si="266"/>
        <v>-62.488379382456593</v>
      </c>
      <c r="J617" s="2">
        <f t="shared" si="245"/>
        <v>123.25536930049563</v>
      </c>
      <c r="K617" s="2">
        <f t="shared" si="267"/>
        <v>84.018656646554618</v>
      </c>
      <c r="L617" s="5">
        <f t="shared" si="246"/>
        <v>28.391617591128966</v>
      </c>
      <c r="M617" s="3">
        <f t="shared" si="247"/>
        <v>17.893318567807061</v>
      </c>
      <c r="N617" s="2">
        <v>0</v>
      </c>
      <c r="O617" s="2">
        <f t="shared" si="248"/>
        <v>123.25536930049563</v>
      </c>
      <c r="P617" s="2">
        <f t="shared" si="249"/>
        <v>84.018656646554618</v>
      </c>
      <c r="Q617" s="5">
        <f t="shared" si="250"/>
        <v>1.0387927602573812</v>
      </c>
      <c r="R617" s="5">
        <f t="shared" si="251"/>
        <v>0.16278070138701528</v>
      </c>
      <c r="S617" s="4">
        <f t="shared" si="268"/>
        <v>0.14517273096787606</v>
      </c>
      <c r="T617" s="5">
        <f t="shared" si="252"/>
        <v>0.10601456185676078</v>
      </c>
      <c r="U617" s="4">
        <f t="shared" si="253"/>
        <v>0</v>
      </c>
      <c r="V617" s="4">
        <f t="shared" si="254"/>
        <v>0</v>
      </c>
      <c r="W617" s="5">
        <f t="shared" si="255"/>
        <v>0</v>
      </c>
      <c r="X617" s="5">
        <f t="shared" si="256"/>
        <v>-12.112633211477016</v>
      </c>
      <c r="Y617" s="5">
        <f t="shared" si="257"/>
        <v>7.1243765033445943</v>
      </c>
      <c r="Z617" s="5">
        <f>1</f>
        <v>1</v>
      </c>
      <c r="AA617" s="5">
        <f>IF(M617=0,0,const*($T617/omega)*O617*(wy*I617-wz*(H617-V617))/Z617)</f>
        <v>0</v>
      </c>
      <c r="AB617" s="5">
        <f>IF(M617=0,0,const*($T617/omega)*O617*(wz*(G617-U617)-wx*I617)/Z617)</f>
        <v>4.6399090744114853</v>
      </c>
      <c r="AC617" s="5">
        <f>IF(M617=0,0,const*($T617/omega)*O617*(wx*(H617-V617)-wy*(G617-U617))/Z617)</f>
        <v>7.8886224958164268</v>
      </c>
      <c r="AD617" s="5">
        <f t="shared" si="243"/>
        <v>0</v>
      </c>
      <c r="AE617" s="5">
        <f t="shared" si="243"/>
        <v>-7.4727241370655308</v>
      </c>
      <c r="AF617" s="5">
        <f t="shared" si="258"/>
        <v>-17.161001000838979</v>
      </c>
      <c r="AG617">
        <f t="shared" si="269"/>
        <v>0</v>
      </c>
    </row>
    <row r="618" spans="1:33" x14ac:dyDescent="0.2">
      <c r="A618">
        <f t="shared" si="259"/>
        <v>5.8599999999999195</v>
      </c>
      <c r="B618" s="5">
        <f t="shared" si="260"/>
        <v>0</v>
      </c>
      <c r="C618" s="5">
        <f t="shared" si="261"/>
        <v>872.78772816816831</v>
      </c>
      <c r="D618" s="5">
        <f t="shared" si="262"/>
        <v>-47.657363616726492</v>
      </c>
      <c r="E618" s="2">
        <f t="shared" si="244"/>
        <v>290.92924272272279</v>
      </c>
      <c r="F618" s="2">
        <f t="shared" si="263"/>
        <v>0</v>
      </c>
      <c r="G618" s="3">
        <f t="shared" si="264"/>
        <v>0</v>
      </c>
      <c r="H618" s="3">
        <f t="shared" si="265"/>
        <v>106.16598295747795</v>
      </c>
      <c r="I618" s="3">
        <f t="shared" si="266"/>
        <v>-62.659989392464979</v>
      </c>
      <c r="J618" s="2">
        <f t="shared" si="245"/>
        <v>123.27810108851986</v>
      </c>
      <c r="K618" s="2">
        <f t="shared" si="267"/>
        <v>84.034152071247348</v>
      </c>
      <c r="L618" s="5">
        <f t="shared" si="246"/>
        <v>28.386382336634878</v>
      </c>
      <c r="M618" s="3">
        <f t="shared" si="247"/>
        <v>17.886336482033684</v>
      </c>
      <c r="N618" s="2">
        <v>0</v>
      </c>
      <c r="O618" s="2">
        <f t="shared" si="248"/>
        <v>123.27810108851986</v>
      </c>
      <c r="P618" s="2">
        <f t="shared" si="249"/>
        <v>84.034152071247348</v>
      </c>
      <c r="Q618" s="5">
        <f t="shared" si="250"/>
        <v>1.0389843431227874</v>
      </c>
      <c r="R618" s="5">
        <f t="shared" si="251"/>
        <v>0.16276329276172058</v>
      </c>
      <c r="S618" s="4">
        <f t="shared" si="268"/>
        <v>0.14508932506342223</v>
      </c>
      <c r="T618" s="5">
        <f t="shared" si="252"/>
        <v>0.10599019429169128</v>
      </c>
      <c r="U618" s="4">
        <f t="shared" si="253"/>
        <v>0</v>
      </c>
      <c r="V618" s="4">
        <f t="shared" si="254"/>
        <v>0</v>
      </c>
      <c r="W618" s="5">
        <f t="shared" si="255"/>
        <v>0</v>
      </c>
      <c r="X618" s="5">
        <f t="shared" si="256"/>
        <v>-12.105051093028397</v>
      </c>
      <c r="Y618" s="5">
        <f t="shared" si="257"/>
        <v>7.1444953642844773</v>
      </c>
      <c r="Z618" s="5">
        <f>1</f>
        <v>1</v>
      </c>
      <c r="AA618" s="5">
        <f>IF(M618=0,0,const*($T618/omega)*O618*(wy*I618-wz*(H618-V618))/Z618)</f>
        <v>0</v>
      </c>
      <c r="AB618" s="5">
        <f>IF(M618=0,0,const*($T618/omega)*O618*(wz*(G618-U618)-wx*I618)/Z618)</f>
        <v>4.652439987713815</v>
      </c>
      <c r="AC618" s="5">
        <f>IF(M618=0,0,const*($T618/omega)*O618*(wx*(H618-V618)-wy*(G618-U618))/Z618)</f>
        <v>7.8827154175310197</v>
      </c>
      <c r="AD618" s="5">
        <f t="shared" si="243"/>
        <v>0</v>
      </c>
      <c r="AE618" s="5">
        <f t="shared" si="243"/>
        <v>-7.452611105314582</v>
      </c>
      <c r="AF618" s="5">
        <f t="shared" si="258"/>
        <v>-17.146789218184502</v>
      </c>
      <c r="AG618">
        <f t="shared" si="269"/>
        <v>0</v>
      </c>
    </row>
    <row r="619" spans="1:33" x14ac:dyDescent="0.2">
      <c r="A619">
        <f t="shared" si="259"/>
        <v>5.8699999999999193</v>
      </c>
      <c r="B619" s="5">
        <f t="shared" si="260"/>
        <v>0</v>
      </c>
      <c r="C619" s="5">
        <f t="shared" si="261"/>
        <v>873.8490153671878</v>
      </c>
      <c r="D619" s="5">
        <f t="shared" si="262"/>
        <v>-48.284820850112048</v>
      </c>
      <c r="E619" s="2">
        <f t="shared" si="244"/>
        <v>291.28300512239593</v>
      </c>
      <c r="F619" s="2">
        <f t="shared" si="263"/>
        <v>0</v>
      </c>
      <c r="G619" s="3">
        <f t="shared" si="264"/>
        <v>0</v>
      </c>
      <c r="H619" s="3">
        <f t="shared" si="265"/>
        <v>106.0914568464248</v>
      </c>
      <c r="I619" s="3">
        <f t="shared" si="266"/>
        <v>-62.831457284646824</v>
      </c>
      <c r="J619" s="2">
        <f t="shared" si="245"/>
        <v>123.30121345838091</v>
      </c>
      <c r="K619" s="2">
        <f t="shared" si="267"/>
        <v>84.049906924595035</v>
      </c>
      <c r="L619" s="5">
        <f t="shared" si="246"/>
        <v>28.381061411161557</v>
      </c>
      <c r="M619" s="3">
        <f t="shared" si="247"/>
        <v>17.879343383767822</v>
      </c>
      <c r="N619" s="2">
        <v>0</v>
      </c>
      <c r="O619" s="2">
        <f t="shared" si="248"/>
        <v>123.30121345838091</v>
      </c>
      <c r="P619" s="2">
        <f t="shared" si="249"/>
        <v>84.049906924595035</v>
      </c>
      <c r="Q619" s="5">
        <f t="shared" si="250"/>
        <v>1.0391791335211311</v>
      </c>
      <c r="R619" s="5">
        <f t="shared" si="251"/>
        <v>0.16274577849484409</v>
      </c>
      <c r="S619" s="4">
        <f t="shared" si="268"/>
        <v>0.1450054130229855</v>
      </c>
      <c r="T619" s="5">
        <f t="shared" si="252"/>
        <v>0.10596567037289079</v>
      </c>
      <c r="U619" s="4">
        <f t="shared" si="253"/>
        <v>0</v>
      </c>
      <c r="V619" s="4">
        <f t="shared" si="254"/>
        <v>0</v>
      </c>
      <c r="W619" s="5">
        <f t="shared" si="255"/>
        <v>0</v>
      </c>
      <c r="X619" s="5">
        <f t="shared" si="256"/>
        <v>-12.097519599681293</v>
      </c>
      <c r="Y619" s="5">
        <f t="shared" si="257"/>
        <v>7.1646182319643374</v>
      </c>
      <c r="Z619" s="5">
        <f>1</f>
        <v>1</v>
      </c>
      <c r="AA619" s="5">
        <f>IF(M619=0,0,const*($T619/omega)*O619*(wy*I619-wz*(H619-V619))/Z619)</f>
        <v>0</v>
      </c>
      <c r="AB619" s="5">
        <f>IF(M619=0,0,const*($T619/omega)*O619*(wz*(G619-U619)-wx*I619)/Z619)</f>
        <v>4.6649663108772348</v>
      </c>
      <c r="AC619" s="5">
        <f>IF(M619=0,0,const*($T619/omega)*O619*(wx*(H619-V619)-wy*(G619-U619))/Z619)</f>
        <v>7.876835799277127</v>
      </c>
      <c r="AD619" s="5">
        <f t="shared" si="243"/>
        <v>0</v>
      </c>
      <c r="AE619" s="5">
        <f t="shared" si="243"/>
        <v>-7.4325532888040584</v>
      </c>
      <c r="AF619" s="5">
        <f t="shared" si="258"/>
        <v>-17.132545968758535</v>
      </c>
      <c r="AG619">
        <f t="shared" si="269"/>
        <v>0</v>
      </c>
    </row>
    <row r="620" spans="1:33" x14ac:dyDescent="0.2">
      <c r="A620">
        <f t="shared" si="259"/>
        <v>5.8799999999999191</v>
      </c>
      <c r="B620" s="5">
        <f t="shared" si="260"/>
        <v>0</v>
      </c>
      <c r="C620" s="5">
        <f t="shared" si="261"/>
        <v>874.9095583079876</v>
      </c>
      <c r="D620" s="5">
        <f t="shared" si="262"/>
        <v>-48.913992050256958</v>
      </c>
      <c r="E620" s="2">
        <f t="shared" si="244"/>
        <v>291.63651943599587</v>
      </c>
      <c r="F620" s="2">
        <f t="shared" si="263"/>
        <v>0</v>
      </c>
      <c r="G620" s="3">
        <f t="shared" si="264"/>
        <v>0</v>
      </c>
      <c r="H620" s="3">
        <f t="shared" si="265"/>
        <v>106.01713131353677</v>
      </c>
      <c r="I620" s="3">
        <f t="shared" si="266"/>
        <v>-63.002782744334411</v>
      </c>
      <c r="J620" s="2">
        <f t="shared" si="245"/>
        <v>123.32470460326064</v>
      </c>
      <c r="K620" s="2">
        <f t="shared" si="267"/>
        <v>84.065919974956131</v>
      </c>
      <c r="L620" s="5">
        <f t="shared" si="246"/>
        <v>28.375655327866284</v>
      </c>
      <c r="M620" s="3">
        <f t="shared" si="247"/>
        <v>17.872339284006863</v>
      </c>
      <c r="N620" s="2">
        <v>0</v>
      </c>
      <c r="O620" s="2">
        <f t="shared" si="248"/>
        <v>123.32470460326064</v>
      </c>
      <c r="P620" s="2">
        <f t="shared" si="249"/>
        <v>84.065919974956131</v>
      </c>
      <c r="Q620" s="5">
        <f t="shared" si="250"/>
        <v>1.0393771162246004</v>
      </c>
      <c r="R620" s="5">
        <f t="shared" si="251"/>
        <v>0.16272815926970427</v>
      </c>
      <c r="S620" s="4">
        <f t="shared" si="268"/>
        <v>0.14492099812039061</v>
      </c>
      <c r="T620" s="5">
        <f t="shared" si="252"/>
        <v>0.10594099089574446</v>
      </c>
      <c r="U620" s="4">
        <f t="shared" si="253"/>
        <v>0</v>
      </c>
      <c r="V620" s="4">
        <f t="shared" si="254"/>
        <v>0</v>
      </c>
      <c r="W620" s="5">
        <f t="shared" si="255"/>
        <v>0</v>
      </c>
      <c r="X620" s="5">
        <f t="shared" si="256"/>
        <v>-12.090038470004297</v>
      </c>
      <c r="Y620" s="5">
        <f t="shared" si="257"/>
        <v>7.1847451224052099</v>
      </c>
      <c r="Z620" s="5">
        <f>1</f>
        <v>1</v>
      </c>
      <c r="AA620" s="5">
        <f>IF(M620=0,0,const*($T620/omega)*O620*(wy*I620-wz*(H620-V620))/Z620)</f>
        <v>0</v>
      </c>
      <c r="AB620" s="5">
        <f>IF(M620=0,0,const*($T620/omega)*O620*(wz*(G620-U620)-wx*I620)/Z620)</f>
        <v>4.6774880329066839</v>
      </c>
      <c r="AC620" s="5">
        <f>IF(M620=0,0,const*($T620/omega)*O620*(wx*(H620-V620)-wy*(G620-U620))/Z620)</f>
        <v>7.8709834931340144</v>
      </c>
      <c r="AD620" s="5">
        <f t="shared" si="243"/>
        <v>0</v>
      </c>
      <c r="AE620" s="5">
        <f t="shared" si="243"/>
        <v>-7.4125504370976127</v>
      </c>
      <c r="AF620" s="5">
        <f t="shared" si="258"/>
        <v>-17.118271384460776</v>
      </c>
      <c r="AG620">
        <f t="shared" si="269"/>
        <v>0</v>
      </c>
    </row>
    <row r="621" spans="1:33" x14ac:dyDescent="0.2">
      <c r="A621">
        <f t="shared" si="259"/>
        <v>5.8899999999999189</v>
      </c>
      <c r="B621" s="5">
        <f t="shared" si="260"/>
        <v>0</v>
      </c>
      <c r="C621" s="5">
        <f t="shared" si="261"/>
        <v>875.96935899360108</v>
      </c>
      <c r="D621" s="5">
        <f t="shared" si="262"/>
        <v>-49.544875791269526</v>
      </c>
      <c r="E621" s="2">
        <f t="shared" si="244"/>
        <v>291.98978633120038</v>
      </c>
      <c r="F621" s="2">
        <f t="shared" si="263"/>
        <v>0</v>
      </c>
      <c r="G621" s="3">
        <f t="shared" si="264"/>
        <v>0</v>
      </c>
      <c r="H621" s="3">
        <f t="shared" si="265"/>
        <v>105.94300580916578</v>
      </c>
      <c r="I621" s="3">
        <f t="shared" si="266"/>
        <v>-63.173965458179019</v>
      </c>
      <c r="J621" s="2">
        <f t="shared" si="245"/>
        <v>123.34857271809889</v>
      </c>
      <c r="K621" s="2">
        <f t="shared" si="267"/>
        <v>84.082189991887446</v>
      </c>
      <c r="L621" s="5">
        <f t="shared" si="246"/>
        <v>28.370164600368984</v>
      </c>
      <c r="M621" s="3">
        <f t="shared" si="247"/>
        <v>17.865324194090118</v>
      </c>
      <c r="N621" s="2">
        <v>0</v>
      </c>
      <c r="O621" s="2">
        <f t="shared" si="248"/>
        <v>123.34857271809889</v>
      </c>
      <c r="P621" s="2">
        <f t="shared" si="249"/>
        <v>84.082189991887446</v>
      </c>
      <c r="Q621" s="5">
        <f t="shared" si="250"/>
        <v>1.0395782760201993</v>
      </c>
      <c r="R621" s="5">
        <f t="shared" si="251"/>
        <v>0.1627104357701554</v>
      </c>
      <c r="S621" s="4">
        <f t="shared" si="268"/>
        <v>0.1448360836320301</v>
      </c>
      <c r="T621" s="5">
        <f t="shared" si="252"/>
        <v>0.10591615665650697</v>
      </c>
      <c r="U621" s="4">
        <f t="shared" si="253"/>
        <v>0</v>
      </c>
      <c r="V621" s="4">
        <f t="shared" si="254"/>
        <v>0</v>
      </c>
      <c r="W621" s="5">
        <f t="shared" si="255"/>
        <v>0</v>
      </c>
      <c r="X621" s="5">
        <f t="shared" si="256"/>
        <v>-12.082607443742893</v>
      </c>
      <c r="Y621" s="5">
        <f t="shared" si="257"/>
        <v>7.2048760507200171</v>
      </c>
      <c r="Z621" s="5">
        <f>1</f>
        <v>1</v>
      </c>
      <c r="AA621" s="5">
        <f>IF(M621=0,0,const*($T621/omega)*O621*(wy*I621-wz*(H621-V621))/Z621)</f>
        <v>0</v>
      </c>
      <c r="AB621" s="5">
        <f>IF(M621=0,0,const*($T621/omega)*O621*(wz*(G621-U621)-wx*I621)/Z621)</f>
        <v>4.6900051423668296</v>
      </c>
      <c r="AC621" s="5">
        <f>IF(M621=0,0,const*($T621/omega)*O621*(wx*(H621-V621)-wy*(G621-U621))/Z621)</f>
        <v>7.8651583518485157</v>
      </c>
      <c r="AD621" s="5">
        <f t="shared" si="243"/>
        <v>0</v>
      </c>
      <c r="AE621" s="5">
        <f t="shared" si="243"/>
        <v>-7.3926023013760629</v>
      </c>
      <c r="AF621" s="5">
        <f t="shared" si="258"/>
        <v>-17.103965597431468</v>
      </c>
      <c r="AG621">
        <f t="shared" si="269"/>
        <v>0</v>
      </c>
    </row>
    <row r="622" spans="1:33" x14ac:dyDescent="0.2">
      <c r="A622">
        <f t="shared" si="259"/>
        <v>5.8999999999999186</v>
      </c>
      <c r="B622" s="5">
        <f t="shared" si="260"/>
        <v>0</v>
      </c>
      <c r="C622" s="5">
        <f t="shared" si="261"/>
        <v>877.02841942157761</v>
      </c>
      <c r="D622" s="5">
        <f t="shared" si="262"/>
        <v>-50.177470644131191</v>
      </c>
      <c r="E622" s="2">
        <f t="shared" si="244"/>
        <v>292.34280647385918</v>
      </c>
      <c r="F622" s="2">
        <f t="shared" si="263"/>
        <v>0</v>
      </c>
      <c r="G622" s="3">
        <f t="shared" si="264"/>
        <v>0</v>
      </c>
      <c r="H622" s="3">
        <f t="shared" si="265"/>
        <v>105.86907978615203</v>
      </c>
      <c r="I622" s="3">
        <f t="shared" si="266"/>
        <v>-63.345005114153331</v>
      </c>
      <c r="J622" s="2">
        <f t="shared" si="245"/>
        <v>123.37281599963072</v>
      </c>
      <c r="K622" s="2">
        <f t="shared" si="267"/>
        <v>84.098715746169532</v>
      </c>
      <c r="L622" s="5">
        <f t="shared" si="246"/>
        <v>28.364589742715474</v>
      </c>
      <c r="M622" s="3">
        <f t="shared" si="247"/>
        <v>17.858298125696596</v>
      </c>
      <c r="N622" s="2">
        <v>0</v>
      </c>
      <c r="O622" s="2">
        <f t="shared" si="248"/>
        <v>123.37281599963072</v>
      </c>
      <c r="P622" s="2">
        <f t="shared" si="249"/>
        <v>84.098715746169532</v>
      </c>
      <c r="Q622" s="5">
        <f t="shared" si="250"/>
        <v>1.0397825977100621</v>
      </c>
      <c r="R622" s="5">
        <f t="shared" si="251"/>
        <v>0.16269260868053939</v>
      </c>
      <c r="S622" s="4">
        <f t="shared" si="268"/>
        <v>0.14475067283663243</v>
      </c>
      <c r="T622" s="5">
        <f t="shared" si="252"/>
        <v>0.10589116845225366</v>
      </c>
      <c r="U622" s="4">
        <f t="shared" si="253"/>
        <v>0</v>
      </c>
      <c r="V622" s="4">
        <f t="shared" si="254"/>
        <v>0</v>
      </c>
      <c r="W622" s="5">
        <f t="shared" si="255"/>
        <v>0</v>
      </c>
      <c r="X622" s="5">
        <f t="shared" si="256"/>
        <v>-12.075226261815603</v>
      </c>
      <c r="Y622" s="5">
        <f t="shared" si="257"/>
        <v>7.2250110311180746</v>
      </c>
      <c r="Z622" s="5">
        <f>1</f>
        <v>1</v>
      </c>
      <c r="AA622" s="5">
        <f>IF(M622=0,0,const*($T622/omega)*O622*(wy*I622-wz*(H622-V622))/Z622)</f>
        <v>0</v>
      </c>
      <c r="AB622" s="5">
        <f>IF(M622=0,0,const*($T622/omega)*O622*(wz*(G622-U622)-wx*I622)/Z622)</f>
        <v>4.7025176273851743</v>
      </c>
      <c r="AC622" s="5">
        <f>IF(M622=0,0,const*($T622/omega)*O622*(wx*(H622-V622)-wy*(G622-U622))/Z622)</f>
        <v>7.859360228833439</v>
      </c>
      <c r="AD622" s="5">
        <f t="shared" si="243"/>
        <v>0</v>
      </c>
      <c r="AE622" s="5">
        <f t="shared" si="243"/>
        <v>-7.3727086344304285</v>
      </c>
      <c r="AF622" s="5">
        <f t="shared" si="258"/>
        <v>-17.089628740048486</v>
      </c>
      <c r="AG622">
        <f t="shared" si="269"/>
        <v>0</v>
      </c>
    </row>
    <row r="623" spans="1:33" x14ac:dyDescent="0.2">
      <c r="A623">
        <f t="shared" si="259"/>
        <v>5.9099999999999184</v>
      </c>
      <c r="B623" s="5">
        <f t="shared" si="260"/>
        <v>0</v>
      </c>
      <c r="C623" s="5">
        <f t="shared" si="261"/>
        <v>878.08674158400743</v>
      </c>
      <c r="D623" s="5">
        <f t="shared" si="262"/>
        <v>-50.811775176709723</v>
      </c>
      <c r="E623" s="2">
        <f t="shared" si="244"/>
        <v>292.69558052800249</v>
      </c>
      <c r="F623" s="2">
        <f t="shared" si="263"/>
        <v>0</v>
      </c>
      <c r="G623" s="3">
        <f t="shared" si="264"/>
        <v>0</v>
      </c>
      <c r="H623" s="3">
        <f t="shared" si="265"/>
        <v>105.79535269980772</v>
      </c>
      <c r="I623" s="3">
        <f t="shared" si="266"/>
        <v>-63.515901401553819</v>
      </c>
      <c r="J623" s="2">
        <f t="shared" si="245"/>
        <v>123.39743264642348</v>
      </c>
      <c r="K623" s="2">
        <f t="shared" si="267"/>
        <v>84.115496009831958</v>
      </c>
      <c r="L623" s="5">
        <f t="shared" si="246"/>
        <v>28.358931269340921</v>
      </c>
      <c r="M623" s="3">
        <f t="shared" si="247"/>
        <v>17.851261090842776</v>
      </c>
      <c r="N623" s="2">
        <v>0</v>
      </c>
      <c r="O623" s="2">
        <f t="shared" si="248"/>
        <v>123.39743264642348</v>
      </c>
      <c r="P623" s="2">
        <f t="shared" si="249"/>
        <v>84.115496009831958</v>
      </c>
      <c r="Q623" s="5">
        <f t="shared" si="250"/>
        <v>1.0399900661117656</v>
      </c>
      <c r="R623" s="5">
        <f t="shared" si="251"/>
        <v>0.16267467868563765</v>
      </c>
      <c r="S623" s="4">
        <f t="shared" si="268"/>
        <v>0.14466476901503164</v>
      </c>
      <c r="T623" s="5">
        <f t="shared" si="252"/>
        <v>0.10586602708083255</v>
      </c>
      <c r="U623" s="4">
        <f t="shared" si="253"/>
        <v>0</v>
      </c>
      <c r="V623" s="4">
        <f t="shared" si="254"/>
        <v>0</v>
      </c>
      <c r="W623" s="5">
        <f t="shared" si="255"/>
        <v>0</v>
      </c>
      <c r="X623" s="5">
        <f t="shared" si="256"/>
        <v>-12.067894666310126</v>
      </c>
      <c r="Y623" s="5">
        <f t="shared" si="257"/>
        <v>7.24515007690961</v>
      </c>
      <c r="Z623" s="5">
        <f>1</f>
        <v>1</v>
      </c>
      <c r="AA623" s="5">
        <f>IF(M623=0,0,const*($T623/omega)*O623*(wy*I623-wz*(H623-V623))/Z623)</f>
        <v>0</v>
      </c>
      <c r="AB623" s="5">
        <f>IF(M623=0,0,const*($T623/omega)*O623*(wz*(G623-U623)-wx*I623)/Z623)</f>
        <v>4.7150254756552199</v>
      </c>
      <c r="AC623" s="5">
        <f>IF(M623=0,0,const*($T623/omega)*O623*(wx*(H623-V623)-wy*(G623-U623))/Z623)</f>
        <v>7.8535889781660186</v>
      </c>
      <c r="AD623" s="5">
        <f t="shared" si="243"/>
        <v>0</v>
      </c>
      <c r="AE623" s="5">
        <f t="shared" si="243"/>
        <v>-7.3528691906549062</v>
      </c>
      <c r="AF623" s="5">
        <f t="shared" si="258"/>
        <v>-17.07526094492437</v>
      </c>
      <c r="AG623">
        <f t="shared" si="269"/>
        <v>0</v>
      </c>
    </row>
    <row r="624" spans="1:33" x14ac:dyDescent="0.2">
      <c r="A624">
        <f t="shared" si="259"/>
        <v>5.9199999999999182</v>
      </c>
      <c r="B624" s="5">
        <f t="shared" si="260"/>
        <v>0</v>
      </c>
      <c r="C624" s="5">
        <f t="shared" si="261"/>
        <v>879.14432746754596</v>
      </c>
      <c r="D624" s="5">
        <f t="shared" si="262"/>
        <v>-51.447787953772504</v>
      </c>
      <c r="E624" s="2">
        <f t="shared" si="244"/>
        <v>293.04810915584864</v>
      </c>
      <c r="F624" s="2">
        <f t="shared" si="263"/>
        <v>0</v>
      </c>
      <c r="G624" s="3">
        <f t="shared" si="264"/>
        <v>0</v>
      </c>
      <c r="H624" s="3">
        <f t="shared" si="265"/>
        <v>105.72182400790118</v>
      </c>
      <c r="I624" s="3">
        <f t="shared" si="266"/>
        <v>-63.686654011003064</v>
      </c>
      <c r="J624" s="2">
        <f t="shared" si="245"/>
        <v>123.42242085891381</v>
      </c>
      <c r="K624" s="2">
        <f t="shared" si="267"/>
        <v>84.132529556178469</v>
      </c>
      <c r="L624" s="5">
        <f t="shared" si="246"/>
        <v>28.353189695033549</v>
      </c>
      <c r="M624" s="3">
        <f t="shared" si="247"/>
        <v>17.844213101880388</v>
      </c>
      <c r="N624" s="2">
        <v>0</v>
      </c>
      <c r="O624" s="2">
        <f t="shared" si="248"/>
        <v>123.42242085891381</v>
      </c>
      <c r="P624" s="2">
        <f t="shared" si="249"/>
        <v>84.132529556178469</v>
      </c>
      <c r="Q624" s="5">
        <f t="shared" si="250"/>
        <v>1.0402006660586405</v>
      </c>
      <c r="R624" s="5">
        <f t="shared" si="251"/>
        <v>0.16265664647062331</v>
      </c>
      <c r="S624" s="4">
        <f t="shared" si="268"/>
        <v>0.14457837544993871</v>
      </c>
      <c r="T624" s="5">
        <f t="shared" si="252"/>
        <v>0.10584073334081624</v>
      </c>
      <c r="U624" s="4">
        <f t="shared" si="253"/>
        <v>0</v>
      </c>
      <c r="V624" s="4">
        <f t="shared" si="254"/>
        <v>0</v>
      </c>
      <c r="W624" s="5">
        <f t="shared" si="255"/>
        <v>0</v>
      </c>
      <c r="X624" s="5">
        <f t="shared" si="256"/>
        <v>-12.060612400479499</v>
      </c>
      <c r="Y624" s="5">
        <f t="shared" si="257"/>
        <v>7.2652932005102997</v>
      </c>
      <c r="Z624" s="5">
        <f>1</f>
        <v>1</v>
      </c>
      <c r="AA624" s="5">
        <f>IF(M624=0,0,const*($T624/omega)*O624*(wy*I624-wz*(H624-V624))/Z624)</f>
        <v>0</v>
      </c>
      <c r="AB624" s="5">
        <f>IF(M624=0,0,const*($T624/omega)*O624*(wz*(G624-U624)-wx*I624)/Z624)</f>
        <v>4.7275286744395979</v>
      </c>
      <c r="AC624" s="5">
        <f>IF(M624=0,0,const*($T624/omega)*O624*(wx*(H624-V624)-wy*(G624-U624))/Z624)</f>
        <v>7.8478444545863439</v>
      </c>
      <c r="AD624" s="5">
        <f t="shared" ref="AD624:AE687" si="270">W624+AA624</f>
        <v>0</v>
      </c>
      <c r="AE624" s="5">
        <f t="shared" si="270"/>
        <v>-7.3330837260399013</v>
      </c>
      <c r="AF624" s="5">
        <f t="shared" si="258"/>
        <v>-17.060862344903356</v>
      </c>
      <c r="AG624">
        <f t="shared" si="269"/>
        <v>0</v>
      </c>
    </row>
    <row r="625" spans="1:33" x14ac:dyDescent="0.2">
      <c r="A625">
        <f t="shared" si="259"/>
        <v>5.929999999999918</v>
      </c>
      <c r="B625" s="5">
        <f t="shared" si="260"/>
        <v>0</v>
      </c>
      <c r="C625" s="5">
        <f t="shared" si="261"/>
        <v>880.20117905343864</v>
      </c>
      <c r="D625" s="5">
        <f t="shared" si="262"/>
        <v>-52.085507536999778</v>
      </c>
      <c r="E625" s="2">
        <f t="shared" si="244"/>
        <v>293.40039301781286</v>
      </c>
      <c r="F625" s="2">
        <f t="shared" si="263"/>
        <v>0</v>
      </c>
      <c r="G625" s="3">
        <f t="shared" si="264"/>
        <v>0</v>
      </c>
      <c r="H625" s="3">
        <f t="shared" si="265"/>
        <v>105.64849317064078</v>
      </c>
      <c r="I625" s="3">
        <f t="shared" si="266"/>
        <v>-63.857262634452098</v>
      </c>
      <c r="J625" s="2">
        <f t="shared" si="245"/>
        <v>123.44777883944418</v>
      </c>
      <c r="K625" s="2">
        <f t="shared" si="267"/>
        <v>84.149815159811979</v>
      </c>
      <c r="L625" s="5">
        <f t="shared" si="246"/>
        <v>28.347365534898636</v>
      </c>
      <c r="M625" s="3">
        <f t="shared" si="247"/>
        <v>17.83715417149417</v>
      </c>
      <c r="N625" s="2">
        <v>0</v>
      </c>
      <c r="O625" s="2">
        <f t="shared" si="248"/>
        <v>123.44777883944418</v>
      </c>
      <c r="P625" s="2">
        <f t="shared" si="249"/>
        <v>84.149815159811979</v>
      </c>
      <c r="Q625" s="5">
        <f t="shared" si="250"/>
        <v>1.0404143824000802</v>
      </c>
      <c r="R625" s="5">
        <f t="shared" si="251"/>
        <v>0.16263851272101387</v>
      </c>
      <c r="S625" s="4">
        <f t="shared" si="268"/>
        <v>0.14449149542571454</v>
      </c>
      <c r="T625" s="5">
        <f t="shared" si="252"/>
        <v>0.1058152880314543</v>
      </c>
      <c r="U625" s="4">
        <f t="shared" si="253"/>
        <v>0</v>
      </c>
      <c r="V625" s="4">
        <f t="shared" si="254"/>
        <v>0</v>
      </c>
      <c r="W625" s="5">
        <f t="shared" si="255"/>
        <v>0</v>
      </c>
      <c r="X625" s="5">
        <f t="shared" si="256"/>
        <v>-12.053379208738253</v>
      </c>
      <c r="Y625" s="5">
        <f t="shared" si="257"/>
        <v>7.2854404134458388</v>
      </c>
      <c r="Z625" s="5">
        <f>1</f>
        <v>1</v>
      </c>
      <c r="AA625" s="5">
        <f>IF(M625=0,0,const*($T625/omega)*O625*(wy*I625-wz*(H625-V625))/Z625)</f>
        <v>0</v>
      </c>
      <c r="AB625" s="5">
        <f>IF(M625=0,0,const*($T625/omega)*O625*(wz*(G625-U625)-wx*I625)/Z625)</f>
        <v>4.7400272105732473</v>
      </c>
      <c r="AC625" s="5">
        <f>IF(M625=0,0,const*($T625/omega)*O625*(wx*(H625-V625)-wy*(G625-U625))/Z625)</f>
        <v>7.8421265134957654</v>
      </c>
      <c r="AD625" s="5">
        <f t="shared" si="270"/>
        <v>0</v>
      </c>
      <c r="AE625" s="5">
        <f t="shared" si="270"/>
        <v>-7.3133519981650057</v>
      </c>
      <c r="AF625" s="5">
        <f t="shared" si="258"/>
        <v>-17.046433073058395</v>
      </c>
      <c r="AG625">
        <f t="shared" si="269"/>
        <v>0</v>
      </c>
    </row>
    <row r="626" spans="1:33" x14ac:dyDescent="0.2">
      <c r="A626">
        <f t="shared" si="259"/>
        <v>5.9399999999999178</v>
      </c>
      <c r="B626" s="5">
        <f t="shared" si="260"/>
        <v>0</v>
      </c>
      <c r="C626" s="5">
        <f t="shared" si="261"/>
        <v>881.25729831754518</v>
      </c>
      <c r="D626" s="5">
        <f t="shared" si="262"/>
        <v>-52.72493248499795</v>
      </c>
      <c r="E626" s="2">
        <f t="shared" si="244"/>
        <v>293.75243277251508</v>
      </c>
      <c r="F626" s="2">
        <f t="shared" si="263"/>
        <v>0</v>
      </c>
      <c r="G626" s="3">
        <f t="shared" si="264"/>
        <v>0</v>
      </c>
      <c r="H626" s="3">
        <f t="shared" si="265"/>
        <v>105.57535965065912</v>
      </c>
      <c r="I626" s="3">
        <f t="shared" si="266"/>
        <v>-64.02772696518268</v>
      </c>
      <c r="J626" s="2">
        <f t="shared" si="245"/>
        <v>123.47350479229948</v>
      </c>
      <c r="K626" s="2">
        <f t="shared" si="267"/>
        <v>84.167351596659486</v>
      </c>
      <c r="L626" s="5">
        <f t="shared" si="246"/>
        <v>28.341459304322694</v>
      </c>
      <c r="M626" s="3">
        <f t="shared" si="247"/>
        <v>17.830084312699626</v>
      </c>
      <c r="N626" s="2">
        <v>0</v>
      </c>
      <c r="O626" s="2">
        <f t="shared" si="248"/>
        <v>123.47350479229948</v>
      </c>
      <c r="P626" s="2">
        <f t="shared" si="249"/>
        <v>84.167351596659486</v>
      </c>
      <c r="Q626" s="5">
        <f t="shared" si="250"/>
        <v>1.0406312000018485</v>
      </c>
      <c r="R626" s="5">
        <f t="shared" si="251"/>
        <v>0.16262027812262414</v>
      </c>
      <c r="S626" s="4">
        <f t="shared" si="268"/>
        <v>0.14440413222814433</v>
      </c>
      <c r="T626" s="5">
        <f t="shared" si="252"/>
        <v>0.10578969195262589</v>
      </c>
      <c r="U626" s="4">
        <f t="shared" si="253"/>
        <v>0</v>
      </c>
      <c r="V626" s="4">
        <f t="shared" si="254"/>
        <v>0</v>
      </c>
      <c r="W626" s="5">
        <f t="shared" si="255"/>
        <v>0</v>
      </c>
      <c r="X626" s="5">
        <f t="shared" si="256"/>
        <v>-12.046194836658593</v>
      </c>
      <c r="Y626" s="5">
        <f t="shared" si="257"/>
        <v>7.305591726356524</v>
      </c>
      <c r="Z626" s="5">
        <f>1</f>
        <v>1</v>
      </c>
      <c r="AA626" s="5">
        <f>IF(M626=0,0,const*($T626/omega)*O626*(wy*I626-wz*(H626-V626))/Z626)</f>
        <v>0</v>
      </c>
      <c r="AB626" s="5">
        <f>IF(M626=0,0,const*($T626/omega)*O626*(wz*(G626-U626)-wx*I626)/Z626)</f>
        <v>4.752521070466595</v>
      </c>
      <c r="AC626" s="5">
        <f>IF(M626=0,0,const*($T626/omega)*O626*(wx*(H626-V626)-wy*(G626-U626))/Z626)</f>
        <v>7.8364350109553307</v>
      </c>
      <c r="AD626" s="5">
        <f t="shared" si="270"/>
        <v>0</v>
      </c>
      <c r="AE626" s="5">
        <f t="shared" si="270"/>
        <v>-7.2936737661919979</v>
      </c>
      <c r="AF626" s="5">
        <f t="shared" si="258"/>
        <v>-17.031973262688144</v>
      </c>
      <c r="AG626">
        <f t="shared" si="269"/>
        <v>0</v>
      </c>
    </row>
    <row r="627" spans="1:33" x14ac:dyDescent="0.2">
      <c r="A627">
        <f t="shared" si="259"/>
        <v>5.9499999999999176</v>
      </c>
      <c r="B627" s="5">
        <f t="shared" si="260"/>
        <v>0</v>
      </c>
      <c r="C627" s="5">
        <f t="shared" si="261"/>
        <v>882.31268723036351</v>
      </c>
      <c r="D627" s="5">
        <f t="shared" si="262"/>
        <v>-53.366061353312908</v>
      </c>
      <c r="E627" s="2">
        <f t="shared" si="244"/>
        <v>294.10422907678782</v>
      </c>
      <c r="F627" s="2">
        <f t="shared" si="263"/>
        <v>0</v>
      </c>
      <c r="G627" s="3">
        <f t="shared" si="264"/>
        <v>0</v>
      </c>
      <c r="H627" s="3">
        <f t="shared" si="265"/>
        <v>105.5024229129972</v>
      </c>
      <c r="I627" s="3">
        <f t="shared" si="266"/>
        <v>-64.198046697809559</v>
      </c>
      <c r="J627" s="2">
        <f t="shared" si="245"/>
        <v>123.49959692374325</v>
      </c>
      <c r="K627" s="2">
        <f t="shared" si="267"/>
        <v>84.185137643996754</v>
      </c>
      <c r="L627" s="5">
        <f t="shared" si="246"/>
        <v>28.33547151893799</v>
      </c>
      <c r="M627" s="3">
        <f t="shared" si="247"/>
        <v>17.823003538840769</v>
      </c>
      <c r="N627" s="2">
        <v>0</v>
      </c>
      <c r="O627" s="2">
        <f t="shared" si="248"/>
        <v>123.49959692374325</v>
      </c>
      <c r="P627" s="2">
        <f t="shared" si="249"/>
        <v>84.185137643996754</v>
      </c>
      <c r="Q627" s="5">
        <f t="shared" si="250"/>
        <v>1.0408511037463855</v>
      </c>
      <c r="R627" s="5">
        <f t="shared" si="251"/>
        <v>0.16260194336151945</v>
      </c>
      <c r="S627" s="4">
        <f t="shared" si="268"/>
        <v>0.14431628914421366</v>
      </c>
      <c r="T627" s="5">
        <f t="shared" si="252"/>
        <v>0.1057639459047925</v>
      </c>
      <c r="U627" s="4">
        <f t="shared" si="253"/>
        <v>0</v>
      </c>
      <c r="V627" s="4">
        <f t="shared" si="254"/>
        <v>0</v>
      </c>
      <c r="W627" s="5">
        <f t="shared" si="255"/>
        <v>0</v>
      </c>
      <c r="X627" s="5">
        <f t="shared" si="256"/>
        <v>-12.039059030966573</v>
      </c>
      <c r="Y627" s="5">
        <f t="shared" si="257"/>
        <v>7.3257471490018613</v>
      </c>
      <c r="Z627" s="5">
        <f>1</f>
        <v>1</v>
      </c>
      <c r="AA627" s="5">
        <f>IF(M627=0,0,const*($T627/omega)*O627*(wy*I627-wz*(H627-V627))/Z627)</f>
        <v>0</v>
      </c>
      <c r="AB627" s="5">
        <f>IF(M627=0,0,const*($T627/omega)*O627*(wz*(G627-U627)-wx*I627)/Z627)</f>
        <v>4.7650102401087358</v>
      </c>
      <c r="AC627" s="5">
        <f>IF(M627=0,0,const*($T627/omega)*O627*(wx*(H627-V627)-wy*(G627-U627))/Z627)</f>
        <v>7.8307698036841824</v>
      </c>
      <c r="AD627" s="5">
        <f t="shared" si="270"/>
        <v>0</v>
      </c>
      <c r="AE627" s="5">
        <f t="shared" si="270"/>
        <v>-7.2740487908578375</v>
      </c>
      <c r="AF627" s="5">
        <f t="shared" si="258"/>
        <v>-17.017483047313956</v>
      </c>
      <c r="AG627">
        <f t="shared" si="269"/>
        <v>0</v>
      </c>
    </row>
    <row r="628" spans="1:33" x14ac:dyDescent="0.2">
      <c r="A628">
        <f t="shared" si="259"/>
        <v>5.9599999999999174</v>
      </c>
      <c r="B628" s="5">
        <f t="shared" si="260"/>
        <v>0</v>
      </c>
      <c r="C628" s="5">
        <f t="shared" si="261"/>
        <v>883.36734775705395</v>
      </c>
      <c r="D628" s="5">
        <f t="shared" si="262"/>
        <v>-54.008892694443368</v>
      </c>
      <c r="E628" s="2">
        <f t="shared" si="244"/>
        <v>294.45578258568463</v>
      </c>
      <c r="F628" s="2">
        <f t="shared" si="263"/>
        <v>0</v>
      </c>
      <c r="G628" s="3">
        <f t="shared" si="264"/>
        <v>0</v>
      </c>
      <c r="H628" s="3">
        <f t="shared" si="265"/>
        <v>105.42968242508863</v>
      </c>
      <c r="I628" s="3">
        <f t="shared" si="266"/>
        <v>-64.368221528282703</v>
      </c>
      <c r="J628" s="2">
        <f t="shared" si="245"/>
        <v>123.52605344205375</v>
      </c>
      <c r="K628" s="2">
        <f t="shared" si="267"/>
        <v>84.203172080472896</v>
      </c>
      <c r="L628" s="5">
        <f t="shared" si="246"/>
        <v>28.329402694587273</v>
      </c>
      <c r="M628" s="3">
        <f t="shared" si="247"/>
        <v>17.815911863587917</v>
      </c>
      <c r="N628" s="2">
        <v>0</v>
      </c>
      <c r="O628" s="2">
        <f t="shared" si="248"/>
        <v>123.52605344205375</v>
      </c>
      <c r="P628" s="2">
        <f t="shared" si="249"/>
        <v>84.203172080472896</v>
      </c>
      <c r="Q628" s="5">
        <f t="shared" si="250"/>
        <v>1.0410740785331112</v>
      </c>
      <c r="R628" s="5">
        <f t="shared" si="251"/>
        <v>0.16258350912396941</v>
      </c>
      <c r="S628" s="4">
        <f t="shared" si="268"/>
        <v>0.14422796946188673</v>
      </c>
      <c r="T628" s="5">
        <f t="shared" si="252"/>
        <v>0.10573805068895152</v>
      </c>
      <c r="U628" s="4">
        <f t="shared" si="253"/>
        <v>0</v>
      </c>
      <c r="V628" s="4">
        <f t="shared" si="254"/>
        <v>0</v>
      </c>
      <c r="W628" s="5">
        <f t="shared" si="255"/>
        <v>0</v>
      </c>
      <c r="X628" s="5">
        <f t="shared" si="256"/>
        <v>-12.031971539538294</v>
      </c>
      <c r="Y628" s="5">
        <f t="shared" si="257"/>
        <v>7.3459066902651973</v>
      </c>
      <c r="Z628" s="5">
        <f>1</f>
        <v>1</v>
      </c>
      <c r="AA628" s="5">
        <f>IF(M628=0,0,const*($T628/omega)*O628*(wy*I628-wz*(H628-V628))/Z628)</f>
        <v>0</v>
      </c>
      <c r="AB628" s="5">
        <f>IF(M628=0,0,const*($T628/omega)*O628*(wz*(G628-U628)-wx*I628)/Z628)</f>
        <v>4.7774947050706498</v>
      </c>
      <c r="AC628" s="5">
        <f>IF(M628=0,0,const*($T628/omega)*O628*(wx*(H628-V628)-wy*(G628-U628))/Z628)</f>
        <v>7.8251307490579842</v>
      </c>
      <c r="AD628" s="5">
        <f t="shared" si="270"/>
        <v>0</v>
      </c>
      <c r="AE628" s="5">
        <f t="shared" si="270"/>
        <v>-7.2544768344676438</v>
      </c>
      <c r="AF628" s="5">
        <f t="shared" si="258"/>
        <v>-17.002962560676817</v>
      </c>
      <c r="AG628">
        <f t="shared" si="269"/>
        <v>0</v>
      </c>
    </row>
    <row r="629" spans="1:33" x14ac:dyDescent="0.2">
      <c r="A629">
        <f t="shared" si="259"/>
        <v>5.9699999999999172</v>
      </c>
      <c r="B629" s="5">
        <f t="shared" si="260"/>
        <v>0</v>
      </c>
      <c r="C629" s="5">
        <f t="shared" si="261"/>
        <v>884.4212818574631</v>
      </c>
      <c r="D629" s="5">
        <f t="shared" si="262"/>
        <v>-54.653425057854228</v>
      </c>
      <c r="E629" s="2">
        <f t="shared" si="244"/>
        <v>294.80709395248772</v>
      </c>
      <c r="F629" s="2">
        <f t="shared" si="263"/>
        <v>0</v>
      </c>
      <c r="G629" s="3">
        <f t="shared" si="264"/>
        <v>0</v>
      </c>
      <c r="H629" s="3">
        <f t="shared" si="265"/>
        <v>105.35713765674396</v>
      </c>
      <c r="I629" s="3">
        <f t="shared" si="266"/>
        <v>-64.538251153889476</v>
      </c>
      <c r="J629" s="2">
        <f t="shared" si="245"/>
        <v>123.55287255755979</v>
      </c>
      <c r="K629" s="2">
        <f t="shared" si="267"/>
        <v>84.221453686134822</v>
      </c>
      <c r="L629" s="5">
        <f t="shared" si="246"/>
        <v>28.323253347288777</v>
      </c>
      <c r="M629" s="3">
        <f t="shared" si="247"/>
        <v>17.808809300935398</v>
      </c>
      <c r="N629" s="2">
        <v>0</v>
      </c>
      <c r="O629" s="2">
        <f t="shared" si="248"/>
        <v>123.55287255755979</v>
      </c>
      <c r="P629" s="2">
        <f t="shared" si="249"/>
        <v>84.221453686134822</v>
      </c>
      <c r="Q629" s="5">
        <f t="shared" si="250"/>
        <v>1.0413001092787271</v>
      </c>
      <c r="R629" s="5">
        <f t="shared" si="251"/>
        <v>0.1625649760964018</v>
      </c>
      <c r="S629" s="4">
        <f t="shared" si="268"/>
        <v>0.14413917646988561</v>
      </c>
      <c r="T629" s="5">
        <f t="shared" si="252"/>
        <v>0.10571200710658955</v>
      </c>
      <c r="U629" s="4">
        <f t="shared" si="253"/>
        <v>0</v>
      </c>
      <c r="V629" s="4">
        <f t="shared" si="254"/>
        <v>0</v>
      </c>
      <c r="W629" s="5">
        <f t="shared" si="255"/>
        <v>0</v>
      </c>
      <c r="X629" s="5">
        <f t="shared" si="256"/>
        <v>-12.024932111396103</v>
      </c>
      <c r="Y629" s="5">
        <f t="shared" si="257"/>
        <v>7.3660703581583649</v>
      </c>
      <c r="Z629" s="5">
        <f>1</f>
        <v>1</v>
      </c>
      <c r="AA629" s="5">
        <f>IF(M629=0,0,const*($T629/omega)*O629*(wy*I629-wz*(H629-V629))/Z629)</f>
        <v>0</v>
      </c>
      <c r="AB629" s="5">
        <f>IF(M629=0,0,const*($T629/omega)*O629*(wz*(G629-U629)-wx*I629)/Z629)</f>
        <v>4.7899744505084145</v>
      </c>
      <c r="AC629" s="5">
        <f>IF(M629=0,0,const*($T629/omega)*O629*(wx*(H629-V629)-wy*(G629-U629))/Z629)</f>
        <v>7.8195177051073177</v>
      </c>
      <c r="AD629" s="5">
        <f t="shared" si="270"/>
        <v>0</v>
      </c>
      <c r="AE629" s="5">
        <f t="shared" si="270"/>
        <v>-7.2349576608876882</v>
      </c>
      <c r="AF629" s="5">
        <f t="shared" si="258"/>
        <v>-16.988411936734316</v>
      </c>
      <c r="AG629">
        <f t="shared" si="269"/>
        <v>0</v>
      </c>
    </row>
    <row r="630" spans="1:33" x14ac:dyDescent="0.2">
      <c r="A630">
        <f t="shared" si="259"/>
        <v>5.9799999999999169</v>
      </c>
      <c r="B630" s="5">
        <f t="shared" si="260"/>
        <v>0</v>
      </c>
      <c r="C630" s="5">
        <f t="shared" si="261"/>
        <v>885.47449148614749</v>
      </c>
      <c r="D630" s="5">
        <f t="shared" si="262"/>
        <v>-55.299656989989963</v>
      </c>
      <c r="E630" s="2">
        <f t="shared" si="244"/>
        <v>295.15816382871583</v>
      </c>
      <c r="F630" s="2">
        <f t="shared" si="263"/>
        <v>0</v>
      </c>
      <c r="G630" s="3">
        <f t="shared" si="264"/>
        <v>0</v>
      </c>
      <c r="H630" s="3">
        <f t="shared" si="265"/>
        <v>105.28478808013509</v>
      </c>
      <c r="I630" s="3">
        <f t="shared" si="266"/>
        <v>-64.708135273256815</v>
      </c>
      <c r="J630" s="2">
        <f t="shared" si="245"/>
        <v>123.58005248267642</v>
      </c>
      <c r="K630" s="2">
        <f t="shared" si="267"/>
        <v>84.239981242451549</v>
      </c>
      <c r="L630" s="5">
        <f t="shared" si="246"/>
        <v>28.317023993201502</v>
      </c>
      <c r="M630" s="3">
        <f t="shared" si="247"/>
        <v>17.801695865199299</v>
      </c>
      <c r="N630" s="2">
        <v>0</v>
      </c>
      <c r="O630" s="2">
        <f t="shared" si="248"/>
        <v>123.58005248267642</v>
      </c>
      <c r="P630" s="2">
        <f t="shared" si="249"/>
        <v>84.239981242451549</v>
      </c>
      <c r="Q630" s="5">
        <f t="shared" si="250"/>
        <v>1.0415291809175184</v>
      </c>
      <c r="R630" s="5">
        <f t="shared" si="251"/>
        <v>0.16254634496535691</v>
      </c>
      <c r="S630" s="4">
        <f t="shared" si="268"/>
        <v>0.14404991345747128</v>
      </c>
      <c r="T630" s="5">
        <f t="shared" si="252"/>
        <v>0.10568581595963616</v>
      </c>
      <c r="U630" s="4">
        <f t="shared" si="253"/>
        <v>0</v>
      </c>
      <c r="V630" s="4">
        <f t="shared" si="254"/>
        <v>0</v>
      </c>
      <c r="W630" s="5">
        <f t="shared" si="255"/>
        <v>0</v>
      </c>
      <c r="X630" s="5">
        <f t="shared" si="256"/>
        <v>-12.017940496704782</v>
      </c>
      <c r="Y630" s="5">
        <f t="shared" si="257"/>
        <v>7.3862381598263509</v>
      </c>
      <c r="Z630" s="5">
        <f>1</f>
        <v>1</v>
      </c>
      <c r="AA630" s="5">
        <f>IF(M630=0,0,const*($T630/omega)*O630*(wy*I630-wz*(H630-V630))/Z630)</f>
        <v>0</v>
      </c>
      <c r="AB630" s="5">
        <f>IF(M630=0,0,const*($T630/omega)*O630*(wz*(G630-U630)-wx*I630)/Z630)</f>
        <v>4.8024494611664199</v>
      </c>
      <c r="AC630" s="5">
        <f>IF(M630=0,0,const*($T630/omega)*O630*(wx*(H630-V630)-wy*(G630-U630))/Z630)</f>
        <v>7.8139305305160729</v>
      </c>
      <c r="AD630" s="5">
        <f t="shared" si="270"/>
        <v>0</v>
      </c>
      <c r="AE630" s="5">
        <f t="shared" si="270"/>
        <v>-7.2154910355383617</v>
      </c>
      <c r="AF630" s="5">
        <f t="shared" si="258"/>
        <v>-16.973831309657577</v>
      </c>
      <c r="AG630">
        <f t="shared" si="269"/>
        <v>0</v>
      </c>
    </row>
    <row r="631" spans="1:33" x14ac:dyDescent="0.2">
      <c r="A631">
        <f t="shared" si="259"/>
        <v>5.9899999999999167</v>
      </c>
      <c r="B631" s="5">
        <f t="shared" si="260"/>
        <v>0</v>
      </c>
      <c r="C631" s="5">
        <f t="shared" si="261"/>
        <v>886.52697859239709</v>
      </c>
      <c r="D631" s="5">
        <f t="shared" si="262"/>
        <v>-55.947587034288013</v>
      </c>
      <c r="E631" s="2">
        <f t="shared" si="244"/>
        <v>295.50899286413238</v>
      </c>
      <c r="F631" s="2">
        <f t="shared" si="263"/>
        <v>0</v>
      </c>
      <c r="G631" s="3">
        <f t="shared" si="264"/>
        <v>0</v>
      </c>
      <c r="H631" s="3">
        <f t="shared" si="265"/>
        <v>105.21263316977971</v>
      </c>
      <c r="I631" s="3">
        <f t="shared" si="266"/>
        <v>-64.877873586353388</v>
      </c>
      <c r="J631" s="2">
        <f t="shared" si="245"/>
        <v>123.60759143194029</v>
      </c>
      <c r="K631" s="2">
        <f t="shared" si="267"/>
        <v>84.258753532338304</v>
      </c>
      <c r="L631" s="5">
        <f t="shared" si="246"/>
        <v>28.310715148590756</v>
      </c>
      <c r="M631" s="3">
        <f t="shared" si="247"/>
        <v>17.794571571015236</v>
      </c>
      <c r="N631" s="2">
        <v>0</v>
      </c>
      <c r="O631" s="2">
        <f t="shared" si="248"/>
        <v>123.60759143194029</v>
      </c>
      <c r="P631" s="2">
        <f t="shared" si="249"/>
        <v>84.258753532338304</v>
      </c>
      <c r="Q631" s="5">
        <f t="shared" si="250"/>
        <v>1.0417612784016506</v>
      </c>
      <c r="R631" s="5">
        <f t="shared" si="251"/>
        <v>0.16252761641744223</v>
      </c>
      <c r="S631" s="4">
        <f t="shared" si="268"/>
        <v>0.143960183714227</v>
      </c>
      <c r="T631" s="5">
        <f t="shared" si="252"/>
        <v>0.10565947805041834</v>
      </c>
      <c r="U631" s="4">
        <f t="shared" si="253"/>
        <v>0</v>
      </c>
      <c r="V631" s="4">
        <f t="shared" si="254"/>
        <v>0</v>
      </c>
      <c r="W631" s="5">
        <f t="shared" si="255"/>
        <v>0</v>
      </c>
      <c r="X631" s="5">
        <f t="shared" si="256"/>
        <v>-12.010996446767782</v>
      </c>
      <c r="Y631" s="5">
        <f t="shared" si="257"/>
        <v>7.4064101015519856</v>
      </c>
      <c r="Z631" s="5">
        <f>1</f>
        <v>1</v>
      </c>
      <c r="AA631" s="5">
        <f>IF(M631=0,0,const*($T631/omega)*O631*(wy*I631-wz*(H631-V631))/Z631)</f>
        <v>0</v>
      </c>
      <c r="AB631" s="5">
        <f>IF(M631=0,0,const*($T631/omega)*O631*(wz*(G631-U631)-wx*I631)/Z631)</f>
        <v>4.8149197213806287</v>
      </c>
      <c r="AC631" s="5">
        <f>IF(M631=0,0,const*($T631/omega)*O631*(wx*(H631-V631)-wy*(G631-U631))/Z631)</f>
        <v>7.8083690846198737</v>
      </c>
      <c r="AD631" s="5">
        <f t="shared" si="270"/>
        <v>0</v>
      </c>
      <c r="AE631" s="5">
        <f t="shared" si="270"/>
        <v>-7.1960767253871536</v>
      </c>
      <c r="AF631" s="5">
        <f t="shared" si="258"/>
        <v>-16.959220813828139</v>
      </c>
      <c r="AG631">
        <f t="shared" si="269"/>
        <v>0</v>
      </c>
    </row>
    <row r="632" spans="1:33" x14ac:dyDescent="0.2">
      <c r="A632">
        <f t="shared" si="259"/>
        <v>5.9999999999999165</v>
      </c>
      <c r="B632" s="5">
        <f t="shared" si="260"/>
        <v>0</v>
      </c>
      <c r="C632" s="5">
        <f t="shared" si="261"/>
        <v>887.57874512025853</v>
      </c>
      <c r="D632" s="5">
        <f t="shared" si="262"/>
        <v>-56.597213731192241</v>
      </c>
      <c r="E632" s="2">
        <f t="shared" si="244"/>
        <v>295.85958170675286</v>
      </c>
      <c r="F632" s="2">
        <f t="shared" si="263"/>
        <v>0</v>
      </c>
      <c r="G632" s="3">
        <f t="shared" si="264"/>
        <v>0</v>
      </c>
      <c r="H632" s="3">
        <f t="shared" si="265"/>
        <v>105.14067240252584</v>
      </c>
      <c r="I632" s="3">
        <f t="shared" si="266"/>
        <v>-65.047465794491671</v>
      </c>
      <c r="J632" s="2">
        <f t="shared" si="245"/>
        <v>123.63548762204492</v>
      </c>
      <c r="K632" s="2">
        <f t="shared" si="267"/>
        <v>84.277769340180583</v>
      </c>
      <c r="L632" s="5">
        <f t="shared" si="246"/>
        <v>28.304327329793956</v>
      </c>
      <c r="M632" s="3">
        <f t="shared" si="247"/>
        <v>17.787436433336079</v>
      </c>
      <c r="N632" s="2">
        <v>0</v>
      </c>
      <c r="O632" s="2">
        <f t="shared" si="248"/>
        <v>123.63548762204492</v>
      </c>
      <c r="P632" s="2">
        <f t="shared" si="249"/>
        <v>84.277769340180583</v>
      </c>
      <c r="Q632" s="5">
        <f t="shared" si="250"/>
        <v>1.0419963867014668</v>
      </c>
      <c r="R632" s="5">
        <f t="shared" si="251"/>
        <v>0.16250879113928757</v>
      </c>
      <c r="S632" s="4">
        <f t="shared" si="268"/>
        <v>0.14386999052984265</v>
      </c>
      <c r="T632" s="5">
        <f t="shared" si="252"/>
        <v>0.10563299418161472</v>
      </c>
      <c r="U632" s="4">
        <f t="shared" si="253"/>
        <v>0</v>
      </c>
      <c r="V632" s="4">
        <f t="shared" si="254"/>
        <v>0</v>
      </c>
      <c r="W632" s="5">
        <f t="shared" si="255"/>
        <v>0</v>
      </c>
      <c r="X632" s="5">
        <f t="shared" si="256"/>
        <v>-12.004099714023441</v>
      </c>
      <c r="Y632" s="5">
        <f t="shared" si="257"/>
        <v>7.4265861887606563</v>
      </c>
      <c r="Z632" s="5">
        <f>1</f>
        <v>1</v>
      </c>
      <c r="AA632" s="5">
        <f>IF(M632=0,0,const*($T632/omega)*O632*(wy*I632-wz*(H632-V632))/Z632)</f>
        <v>0</v>
      </c>
      <c r="AB632" s="5">
        <f>IF(M632=0,0,const*($T632/omega)*O632*(wz*(G632-U632)-wx*I632)/Z632)</f>
        <v>4.8273852150818106</v>
      </c>
      <c r="AC632" s="5">
        <f>IF(M632=0,0,const*($T632/omega)*O632*(wx*(H632-V632)-wy*(G632-U632))/Z632)</f>
        <v>7.802833227404439</v>
      </c>
      <c r="AD632" s="5">
        <f t="shared" si="270"/>
        <v>0</v>
      </c>
      <c r="AE632" s="5">
        <f t="shared" si="270"/>
        <v>-7.1767144989416307</v>
      </c>
      <c r="AF632" s="5">
        <f t="shared" si="258"/>
        <v>-16.944580583834906</v>
      </c>
      <c r="AG632">
        <f t="shared" si="269"/>
        <v>0</v>
      </c>
    </row>
    <row r="633" spans="1:33" x14ac:dyDescent="0.2">
      <c r="A633">
        <f t="shared" si="259"/>
        <v>6.0099999999999163</v>
      </c>
      <c r="B633" s="5">
        <f t="shared" si="260"/>
        <v>0</v>
      </c>
      <c r="C633" s="5">
        <f t="shared" si="261"/>
        <v>888.62979300855886</v>
      </c>
      <c r="D633" s="5">
        <f t="shared" si="262"/>
        <v>-57.248535618166351</v>
      </c>
      <c r="E633" s="2">
        <f t="shared" si="244"/>
        <v>296.20993100285295</v>
      </c>
      <c r="F633" s="2">
        <f t="shared" si="263"/>
        <v>0</v>
      </c>
      <c r="G633" s="3">
        <f t="shared" si="264"/>
        <v>0</v>
      </c>
      <c r="H633" s="3">
        <f t="shared" si="265"/>
        <v>105.06890525753641</v>
      </c>
      <c r="I633" s="3">
        <f t="shared" si="266"/>
        <v>-65.216911600330022</v>
      </c>
      <c r="J633" s="2">
        <f t="shared" si="245"/>
        <v>123.66373927187558</v>
      </c>
      <c r="K633" s="2">
        <f t="shared" si="267"/>
        <v>84.297027451857929</v>
      </c>
      <c r="L633" s="5">
        <f t="shared" si="246"/>
        <v>28.297861053186747</v>
      </c>
      <c r="M633" s="3">
        <f t="shared" si="247"/>
        <v>17.780290467429673</v>
      </c>
      <c r="N633" s="2">
        <v>0</v>
      </c>
      <c r="O633" s="2">
        <f t="shared" si="248"/>
        <v>123.66373927187558</v>
      </c>
      <c r="P633" s="2">
        <f t="shared" si="249"/>
        <v>84.297027451857929</v>
      </c>
      <c r="Q633" s="5">
        <f t="shared" si="250"/>
        <v>1.0422344908057826</v>
      </c>
      <c r="R633" s="5">
        <f t="shared" si="251"/>
        <v>0.16248986981750038</v>
      </c>
      <c r="S633" s="4">
        <f t="shared" si="268"/>
        <v>0.14377933719390112</v>
      </c>
      <c r="T633" s="5">
        <f t="shared" si="252"/>
        <v>0.1056063651562105</v>
      </c>
      <c r="U633" s="4">
        <f t="shared" si="253"/>
        <v>0</v>
      </c>
      <c r="V633" s="4">
        <f t="shared" si="254"/>
        <v>0</v>
      </c>
      <c r="W633" s="5">
        <f t="shared" si="255"/>
        <v>0</v>
      </c>
      <c r="X633" s="5">
        <f t="shared" si="256"/>
        <v>-11.997250052041201</v>
      </c>
      <c r="Y633" s="5">
        <f t="shared" si="257"/>
        <v>7.4467664260250181</v>
      </c>
      <c r="Z633" s="5">
        <f>1</f>
        <v>1</v>
      </c>
      <c r="AA633" s="5">
        <f>IF(M633=0,0,const*($T633/omega)*O633*(wy*I633-wz*(H633-V633))/Z633)</f>
        <v>0</v>
      </c>
      <c r="AB633" s="5">
        <f>IF(M633=0,0,const*($T633/omega)*O633*(wz*(G633-U633)-wx*I633)/Z633)</f>
        <v>4.8398459257988007</v>
      </c>
      <c r="AC633" s="5">
        <f>IF(M633=0,0,const*($T633/omega)*O633*(wx*(H633-V633)-wy*(G633-U633))/Z633)</f>
        <v>7.7973228195039903</v>
      </c>
      <c r="AD633" s="5">
        <f t="shared" si="270"/>
        <v>0</v>
      </c>
      <c r="AE633" s="5">
        <f t="shared" si="270"/>
        <v>-7.1574041262424002</v>
      </c>
      <c r="AF633" s="5">
        <f t="shared" si="258"/>
        <v>-16.929910754470992</v>
      </c>
      <c r="AG633">
        <f t="shared" si="269"/>
        <v>0</v>
      </c>
    </row>
    <row r="634" spans="1:33" x14ac:dyDescent="0.2">
      <c r="A634">
        <f t="shared" si="259"/>
        <v>6.0199999999999161</v>
      </c>
      <c r="B634" s="5">
        <f t="shared" si="260"/>
        <v>0</v>
      </c>
      <c r="C634" s="5">
        <f t="shared" si="261"/>
        <v>889.68012419092781</v>
      </c>
      <c r="D634" s="5">
        <f t="shared" si="262"/>
        <v>-57.901551229707373</v>
      </c>
      <c r="E634" s="2">
        <f t="shared" si="244"/>
        <v>296.56004139697592</v>
      </c>
      <c r="F634" s="2">
        <f t="shared" si="263"/>
        <v>0</v>
      </c>
      <c r="G634" s="3">
        <f t="shared" si="264"/>
        <v>0</v>
      </c>
      <c r="H634" s="3">
        <f t="shared" si="265"/>
        <v>104.99733121627399</v>
      </c>
      <c r="I634" s="3">
        <f t="shared" si="266"/>
        <v>-65.386210707874739</v>
      </c>
      <c r="J634" s="2">
        <f t="shared" si="245"/>
        <v>123.69234460254417</v>
      </c>
      <c r="K634" s="2">
        <f t="shared" si="267"/>
        <v>84.316526654767657</v>
      </c>
      <c r="L634" s="5">
        <f t="shared" si="246"/>
        <v>28.291316835149317</v>
      </c>
      <c r="M634" s="3">
        <f t="shared" si="247"/>
        <v>17.773133688876587</v>
      </c>
      <c r="N634" s="2">
        <v>0</v>
      </c>
      <c r="O634" s="2">
        <f t="shared" si="248"/>
        <v>123.69234460254417</v>
      </c>
      <c r="P634" s="2">
        <f t="shared" si="249"/>
        <v>84.316526654767657</v>
      </c>
      <c r="Q634" s="5">
        <f t="shared" si="250"/>
        <v>1.0424755757221795</v>
      </c>
      <c r="R634" s="5">
        <f t="shared" si="251"/>
        <v>0.16247085313862161</v>
      </c>
      <c r="S634" s="4">
        <f t="shared" si="268"/>
        <v>0.14368822699566663</v>
      </c>
      <c r="T634" s="5">
        <f t="shared" si="252"/>
        <v>0.10557959177745244</v>
      </c>
      <c r="U634" s="4">
        <f t="shared" si="253"/>
        <v>0</v>
      </c>
      <c r="V634" s="4">
        <f t="shared" si="254"/>
        <v>0</v>
      </c>
      <c r="W634" s="5">
        <f t="shared" si="255"/>
        <v>0</v>
      </c>
      <c r="X634" s="5">
        <f t="shared" si="256"/>
        <v>-11.990447215517859</v>
      </c>
      <c r="Y634" s="5">
        <f t="shared" si="257"/>
        <v>7.4669508170697547</v>
      </c>
      <c r="Z634" s="5">
        <f>1</f>
        <v>1</v>
      </c>
      <c r="AA634" s="5">
        <f>IF(M634=0,0,const*($T634/omega)*O634*(wy*I634-wz*(H634-V634))/Z634)</f>
        <v>0</v>
      </c>
      <c r="AB634" s="5">
        <f>IF(M634=0,0,const*($T634/omega)*O634*(wz*(G634-U634)-wx*I634)/Z634)</f>
        <v>4.8523018366617769</v>
      </c>
      <c r="AC634" s="5">
        <f>IF(M634=0,0,const*($T634/omega)*O634*(wx*(H634-V634)-wy*(G634-U634))/Z634)</f>
        <v>7.791837722199622</v>
      </c>
      <c r="AD634" s="5">
        <f t="shared" si="270"/>
        <v>0</v>
      </c>
      <c r="AE634" s="5">
        <f t="shared" si="270"/>
        <v>-7.1381453788560822</v>
      </c>
      <c r="AF634" s="5">
        <f t="shared" si="258"/>
        <v>-16.915211460730625</v>
      </c>
      <c r="AG634">
        <f t="shared" si="269"/>
        <v>0</v>
      </c>
    </row>
    <row r="635" spans="1:33" x14ac:dyDescent="0.2">
      <c r="A635">
        <f t="shared" si="259"/>
        <v>6.0299999999999159</v>
      </c>
      <c r="B635" s="5">
        <f t="shared" si="260"/>
        <v>0</v>
      </c>
      <c r="C635" s="5">
        <f t="shared" si="261"/>
        <v>890.72974059582157</v>
      </c>
      <c r="D635" s="5">
        <f t="shared" si="262"/>
        <v>-58.556259097359153</v>
      </c>
      <c r="E635" s="2">
        <f t="shared" si="244"/>
        <v>296.9099135319405</v>
      </c>
      <c r="F635" s="2">
        <f t="shared" si="263"/>
        <v>0</v>
      </c>
      <c r="G635" s="3">
        <f t="shared" si="264"/>
        <v>0</v>
      </c>
      <c r="H635" s="3">
        <f t="shared" si="265"/>
        <v>104.92594976248543</v>
      </c>
      <c r="I635" s="3">
        <f t="shared" si="266"/>
        <v>-65.555362822482039</v>
      </c>
      <c r="J635" s="2">
        <f t="shared" si="245"/>
        <v>123.72130183742361</v>
      </c>
      <c r="K635" s="2">
        <f t="shared" si="267"/>
        <v>84.336265737848407</v>
      </c>
      <c r="L635" s="5">
        <f t="shared" si="246"/>
        <v>28.284695192033077</v>
      </c>
      <c r="M635" s="3">
        <f t="shared" si="247"/>
        <v>17.765966113567845</v>
      </c>
      <c r="N635" s="2">
        <v>0</v>
      </c>
      <c r="O635" s="2">
        <f t="shared" si="248"/>
        <v>123.72130183742361</v>
      </c>
      <c r="P635" s="2">
        <f t="shared" si="249"/>
        <v>84.336265737848407</v>
      </c>
      <c r="Q635" s="5">
        <f t="shared" si="250"/>
        <v>1.0427196264772951</v>
      </c>
      <c r="R635" s="5">
        <f t="shared" si="251"/>
        <v>0.16245174178908184</v>
      </c>
      <c r="S635" s="4">
        <f t="shared" si="268"/>
        <v>0.14359666322387452</v>
      </c>
      <c r="T635" s="5">
        <f t="shared" si="252"/>
        <v>0.10555267484880448</v>
      </c>
      <c r="U635" s="4">
        <f t="shared" si="253"/>
        <v>0</v>
      </c>
      <c r="V635" s="4">
        <f t="shared" si="254"/>
        <v>0</v>
      </c>
      <c r="W635" s="5">
        <f t="shared" si="255"/>
        <v>0</v>
      </c>
      <c r="X635" s="5">
        <f t="shared" si="256"/>
        <v>-11.983690960273805</v>
      </c>
      <c r="Y635" s="5">
        <f t="shared" si="257"/>
        <v>7.487139364776322</v>
      </c>
      <c r="Z635" s="5">
        <f>1</f>
        <v>1</v>
      </c>
      <c r="AA635" s="5">
        <f>IF(M635=0,0,const*($T635/omega)*O635*(wy*I635-wz*(H635-V635))/Z635)</f>
        <v>0</v>
      </c>
      <c r="AB635" s="5">
        <f>IF(M635=0,0,const*($T635/omega)*O635*(wz*(G635-U635)-wx*I635)/Z635)</f>
        <v>4.8647529304055377</v>
      </c>
      <c r="AC635" s="5">
        <f>IF(M635=0,0,const*($T635/omega)*O635*(wx*(H635-V635)-wy*(G635-U635))/Z635)</f>
        <v>7.78637779741769</v>
      </c>
      <c r="AD635" s="5">
        <f t="shared" si="270"/>
        <v>0</v>
      </c>
      <c r="AE635" s="5">
        <f t="shared" si="270"/>
        <v>-7.118938029868267</v>
      </c>
      <c r="AF635" s="5">
        <f t="shared" si="258"/>
        <v>-16.900482837805988</v>
      </c>
      <c r="AG635">
        <f t="shared" si="269"/>
        <v>0</v>
      </c>
    </row>
    <row r="636" spans="1:33" x14ac:dyDescent="0.2">
      <c r="A636">
        <f t="shared" si="259"/>
        <v>6.0399999999999157</v>
      </c>
      <c r="B636" s="5">
        <f t="shared" si="260"/>
        <v>0</v>
      </c>
      <c r="C636" s="5">
        <f t="shared" si="261"/>
        <v>891.77864414654482</v>
      </c>
      <c r="D636" s="5">
        <f t="shared" si="262"/>
        <v>-59.212657749725864</v>
      </c>
      <c r="E636" s="2">
        <f t="shared" si="244"/>
        <v>297.25954804884827</v>
      </c>
      <c r="F636" s="2">
        <f t="shared" si="263"/>
        <v>0</v>
      </c>
      <c r="G636" s="3">
        <f t="shared" si="264"/>
        <v>0</v>
      </c>
      <c r="H636" s="3">
        <f t="shared" si="265"/>
        <v>104.85476038218675</v>
      </c>
      <c r="I636" s="3">
        <f t="shared" si="266"/>
        <v>-65.724367650860103</v>
      </c>
      <c r="J636" s="2">
        <f t="shared" si="245"/>
        <v>123.75060920218222</v>
      </c>
      <c r="K636" s="2">
        <f t="shared" si="267"/>
        <v>84.356243491603422</v>
      </c>
      <c r="L636" s="5">
        <f t="shared" si="246"/>
        <v>28.277996640127572</v>
      </c>
      <c r="M636" s="3">
        <f t="shared" si="247"/>
        <v>17.758787757702663</v>
      </c>
      <c r="N636" s="2">
        <v>0</v>
      </c>
      <c r="O636" s="2">
        <f t="shared" si="248"/>
        <v>123.75060920218222</v>
      </c>
      <c r="P636" s="2">
        <f t="shared" si="249"/>
        <v>84.356243491603422</v>
      </c>
      <c r="Q636" s="5">
        <f t="shared" si="250"/>
        <v>1.0429666281171122</v>
      </c>
      <c r="R636" s="5">
        <f t="shared" si="251"/>
        <v>0.16243253645515773</v>
      </c>
      <c r="S636" s="4">
        <f t="shared" si="268"/>
        <v>0.14350464916652309</v>
      </c>
      <c r="T636" s="5">
        <f t="shared" si="252"/>
        <v>0.10552561517390342</v>
      </c>
      <c r="U636" s="4">
        <f t="shared" si="253"/>
        <v>0</v>
      </c>
      <c r="V636" s="4">
        <f t="shared" si="254"/>
        <v>0</v>
      </c>
      <c r="W636" s="5">
        <f t="shared" si="255"/>
        <v>0</v>
      </c>
      <c r="X636" s="5">
        <f t="shared" si="256"/>
        <v>-11.976981043249257</v>
      </c>
      <c r="Y636" s="5">
        <f t="shared" si="257"/>
        <v>7.5073320711877392</v>
      </c>
      <c r="Z636" s="5">
        <f>1</f>
        <v>1</v>
      </c>
      <c r="AA636" s="5">
        <f>IF(M636=0,0,const*($T636/omega)*O636*(wy*I636-wz*(H636-V636))/Z636)</f>
        <v>0</v>
      </c>
      <c r="AB636" s="5">
        <f>IF(M636=0,0,const*($T636/omega)*O636*(wz*(G636-U636)-wx*I636)/Z636)</f>
        <v>4.8771991893727851</v>
      </c>
      <c r="AC636" s="5">
        <f>IF(M636=0,0,const*($T636/omega)*O636*(wx*(H636-V636)-wy*(G636-U636))/Z636)</f>
        <v>7.7809429077281731</v>
      </c>
      <c r="AD636" s="5">
        <f t="shared" si="270"/>
        <v>0</v>
      </c>
      <c r="AE636" s="5">
        <f t="shared" si="270"/>
        <v>-7.0997818538764719</v>
      </c>
      <c r="AF636" s="5">
        <f t="shared" si="258"/>
        <v>-16.885725021084088</v>
      </c>
      <c r="AG636">
        <f t="shared" si="269"/>
        <v>0</v>
      </c>
    </row>
    <row r="637" spans="1:33" x14ac:dyDescent="0.2">
      <c r="A637">
        <f t="shared" si="259"/>
        <v>6.0499999999999154</v>
      </c>
      <c r="B637" s="5">
        <f t="shared" si="260"/>
        <v>0</v>
      </c>
      <c r="C637" s="5">
        <f t="shared" si="261"/>
        <v>892.82683676127397</v>
      </c>
      <c r="D637" s="5">
        <f t="shared" si="262"/>
        <v>-59.870745712485515</v>
      </c>
      <c r="E637" s="2">
        <f t="shared" si="244"/>
        <v>297.60894558709134</v>
      </c>
      <c r="F637" s="2">
        <f t="shared" si="263"/>
        <v>0</v>
      </c>
      <c r="G637" s="3">
        <f t="shared" si="264"/>
        <v>0</v>
      </c>
      <c r="H637" s="3">
        <f t="shared" si="265"/>
        <v>104.78376256364798</v>
      </c>
      <c r="I637" s="3">
        <f t="shared" si="266"/>
        <v>-65.893224901070937</v>
      </c>
      <c r="J637" s="2">
        <f t="shared" si="245"/>
        <v>123.78026492481776</v>
      </c>
      <c r="K637" s="2">
        <f t="shared" si="267"/>
        <v>84.376458708123891</v>
      </c>
      <c r="L637" s="5">
        <f t="shared" si="246"/>
        <v>28.271221695627677</v>
      </c>
      <c r="M637" s="3">
        <f t="shared" si="247"/>
        <v>17.751598637786138</v>
      </c>
      <c r="N637" s="2">
        <v>0</v>
      </c>
      <c r="O637" s="2">
        <f t="shared" si="248"/>
        <v>123.78026492481776</v>
      </c>
      <c r="P637" s="2">
        <f t="shared" si="249"/>
        <v>84.376458708123891</v>
      </c>
      <c r="Q637" s="5">
        <f t="shared" si="250"/>
        <v>1.0432165657072456</v>
      </c>
      <c r="R637" s="5">
        <f t="shared" si="251"/>
        <v>0.16241323782292905</v>
      </c>
      <c r="S637" s="4">
        <f t="shared" si="268"/>
        <v>0.14341218811066681</v>
      </c>
      <c r="T637" s="5">
        <f t="shared" si="252"/>
        <v>0.10549841355651496</v>
      </c>
      <c r="U637" s="4">
        <f t="shared" si="253"/>
        <v>0</v>
      </c>
      <c r="V637" s="4">
        <f t="shared" si="254"/>
        <v>0</v>
      </c>
      <c r="W637" s="5">
        <f t="shared" si="255"/>
        <v>0</v>
      </c>
      <c r="X637" s="5">
        <f t="shared" si="256"/>
        <v>-11.970317222500546</v>
      </c>
      <c r="Y637" s="5">
        <f t="shared" si="257"/>
        <v>7.5275289375133791</v>
      </c>
      <c r="Z637" s="5">
        <f>1</f>
        <v>1</v>
      </c>
      <c r="AA637" s="5">
        <f>IF(M637=0,0,const*($T637/omega)*O637*(wy*I637-wz*(H637-V637))/Z637)</f>
        <v>0</v>
      </c>
      <c r="AB637" s="5">
        <f>IF(M637=0,0,const*($T637/omega)*O637*(wz*(G637-U637)-wx*I637)/Z637)</f>
        <v>4.8896405955174256</v>
      </c>
      <c r="AC637" s="5">
        <f>IF(M637=0,0,const*($T637/omega)*O637*(wx*(H637-V637)-wy*(G637-U637))/Z637)</f>
        <v>7.7755329163430451</v>
      </c>
      <c r="AD637" s="5">
        <f t="shared" si="270"/>
        <v>0</v>
      </c>
      <c r="AE637" s="5">
        <f t="shared" si="270"/>
        <v>-7.0806766269831201</v>
      </c>
      <c r="AF637" s="5">
        <f t="shared" si="258"/>
        <v>-16.870938146143576</v>
      </c>
      <c r="AG637">
        <f t="shared" si="269"/>
        <v>0</v>
      </c>
    </row>
    <row r="638" spans="1:33" x14ac:dyDescent="0.2">
      <c r="A638">
        <f t="shared" si="259"/>
        <v>6.0599999999999152</v>
      </c>
      <c r="B638" s="5">
        <f t="shared" si="260"/>
        <v>0</v>
      </c>
      <c r="C638" s="5">
        <f t="shared" si="261"/>
        <v>893.87432035307904</v>
      </c>
      <c r="D638" s="5">
        <f t="shared" si="262"/>
        <v>-60.530521508403531</v>
      </c>
      <c r="E638" s="2">
        <f t="shared" si="244"/>
        <v>297.9581067843597</v>
      </c>
      <c r="F638" s="2">
        <f t="shared" si="263"/>
        <v>0</v>
      </c>
      <c r="G638" s="3">
        <f t="shared" si="264"/>
        <v>0</v>
      </c>
      <c r="H638" s="3">
        <f t="shared" si="265"/>
        <v>104.71295579737816</v>
      </c>
      <c r="I638" s="3">
        <f t="shared" si="266"/>
        <v>-66.061934282532377</v>
      </c>
      <c r="J638" s="2">
        <f t="shared" si="245"/>
        <v>123.81026723569131</v>
      </c>
      <c r="K638" s="2">
        <f t="shared" si="267"/>
        <v>84.396910181112005</v>
      </c>
      <c r="L638" s="5">
        <f t="shared" si="246"/>
        <v>28.26437087460107</v>
      </c>
      <c r="M638" s="3">
        <f t="shared" si="247"/>
        <v>17.744398770627033</v>
      </c>
      <c r="N638" s="2">
        <v>0</v>
      </c>
      <c r="O638" s="2">
        <f t="shared" si="248"/>
        <v>123.81026723569131</v>
      </c>
      <c r="P638" s="2">
        <f t="shared" si="249"/>
        <v>84.396910181112005</v>
      </c>
      <c r="Q638" s="5">
        <f t="shared" si="250"/>
        <v>1.0434694243332294</v>
      </c>
      <c r="R638" s="5">
        <f t="shared" si="251"/>
        <v>0.16239384657823586</v>
      </c>
      <c r="S638" s="4">
        <f t="shared" si="268"/>
        <v>0.14331928334221203</v>
      </c>
      <c r="T638" s="5">
        <f t="shared" si="252"/>
        <v>0.10547107080049023</v>
      </c>
      <c r="U638" s="4">
        <f t="shared" si="253"/>
        <v>0</v>
      </c>
      <c r="V638" s="4">
        <f t="shared" si="254"/>
        <v>0</v>
      </c>
      <c r="W638" s="5">
        <f t="shared" si="255"/>
        <v>0</v>
      </c>
      <c r="X638" s="5">
        <f t="shared" si="256"/>
        <v>-11.963699257196362</v>
      </c>
      <c r="Y638" s="5">
        <f t="shared" si="257"/>
        <v>7.5477299641337829</v>
      </c>
      <c r="Z638" s="5">
        <f>1</f>
        <v>1</v>
      </c>
      <c r="AA638" s="5">
        <f>IF(M638=0,0,const*($T638/omega)*O638*(wy*I638-wz*(H638-V638))/Z638)</f>
        <v>0</v>
      </c>
      <c r="AB638" s="5">
        <f>IF(M638=0,0,const*($T638/omega)*O638*(wz*(G638-U638)-wx*I638)/Z638)</f>
        <v>4.9020771304078794</v>
      </c>
      <c r="AC638" s="5">
        <f>IF(M638=0,0,const*($T638/omega)*O638*(wx*(H638-V638)-wy*(G638-U638))/Z638)</f>
        <v>7.7701476871146449</v>
      </c>
      <c r="AD638" s="5">
        <f t="shared" si="270"/>
        <v>0</v>
      </c>
      <c r="AE638" s="5">
        <f t="shared" si="270"/>
        <v>-7.0616221267884827</v>
      </c>
      <c r="AF638" s="5">
        <f t="shared" si="258"/>
        <v>-16.856122348751573</v>
      </c>
      <c r="AG638">
        <f t="shared" si="269"/>
        <v>0</v>
      </c>
    </row>
    <row r="639" spans="1:33" x14ac:dyDescent="0.2">
      <c r="A639">
        <f t="shared" si="259"/>
        <v>6.069999999999915</v>
      </c>
      <c r="B639" s="5">
        <f t="shared" si="260"/>
        <v>0</v>
      </c>
      <c r="C639" s="5">
        <f t="shared" si="261"/>
        <v>894.92109682994646</v>
      </c>
      <c r="D639" s="5">
        <f t="shared" si="262"/>
        <v>-61.191983657346292</v>
      </c>
      <c r="E639" s="2">
        <f t="shared" si="244"/>
        <v>298.30703227664884</v>
      </c>
      <c r="F639" s="2">
        <f t="shared" si="263"/>
        <v>0</v>
      </c>
      <c r="G639" s="3">
        <f t="shared" si="264"/>
        <v>0</v>
      </c>
      <c r="H639" s="3">
        <f t="shared" si="265"/>
        <v>104.64233957611027</v>
      </c>
      <c r="I639" s="3">
        <f t="shared" si="266"/>
        <v>-66.230495506019892</v>
      </c>
      <c r="J639" s="2">
        <f t="shared" si="245"/>
        <v>123.84061436756076</v>
      </c>
      <c r="K639" s="2">
        <f t="shared" si="267"/>
        <v>84.417596705903719</v>
      </c>
      <c r="L639" s="5">
        <f t="shared" si="246"/>
        <v>28.257444692956067</v>
      </c>
      <c r="M639" s="3">
        <f t="shared" si="247"/>
        <v>17.737188173335436</v>
      </c>
      <c r="N639" s="2">
        <v>0</v>
      </c>
      <c r="O639" s="2">
        <f t="shared" si="248"/>
        <v>123.84061436756076</v>
      </c>
      <c r="P639" s="2">
        <f t="shared" si="249"/>
        <v>84.417596705903719</v>
      </c>
      <c r="Q639" s="5">
        <f t="shared" si="250"/>
        <v>1.0437251891007968</v>
      </c>
      <c r="R639" s="5">
        <f t="shared" si="251"/>
        <v>0.16237436340663614</v>
      </c>
      <c r="S639" s="4">
        <f t="shared" si="268"/>
        <v>0.14322593814571366</v>
      </c>
      <c r="T639" s="5">
        <f t="shared" si="252"/>
        <v>0.10544358770972251</v>
      </c>
      <c r="U639" s="4">
        <f t="shared" si="253"/>
        <v>0</v>
      </c>
      <c r="V639" s="4">
        <f t="shared" si="254"/>
        <v>0</v>
      </c>
      <c r="W639" s="5">
        <f t="shared" si="255"/>
        <v>0</v>
      </c>
      <c r="X639" s="5">
        <f t="shared" si="256"/>
        <v>-11.957126907614013</v>
      </c>
      <c r="Y639" s="5">
        <f t="shared" si="257"/>
        <v>7.5679351506054759</v>
      </c>
      <c r="Z639" s="5">
        <f>1</f>
        <v>1</v>
      </c>
      <c r="AA639" s="5">
        <f>IF(M639=0,0,const*($T639/omega)*O639*(wy*I639-wz*(H639-V639))/Z639)</f>
        <v>0</v>
      </c>
      <c r="AB639" s="5">
        <f>IF(M639=0,0,const*($T639/omega)*O639*(wz*(G639-U639)-wx*I639)/Z639)</f>
        <v>4.9145087752303835</v>
      </c>
      <c r="AC639" s="5">
        <f>IF(M639=0,0,const*($T639/omega)*O639*(wx*(H639-V639)-wy*(G639-U639))/Z639)</f>
        <v>7.7647870845340172</v>
      </c>
      <c r="AD639" s="5">
        <f t="shared" si="270"/>
        <v>0</v>
      </c>
      <c r="AE639" s="5">
        <f t="shared" si="270"/>
        <v>-7.0426181323836294</v>
      </c>
      <c r="AF639" s="5">
        <f t="shared" si="258"/>
        <v>-16.841277764860507</v>
      </c>
      <c r="AG639">
        <f t="shared" si="269"/>
        <v>0</v>
      </c>
    </row>
    <row r="640" spans="1:33" x14ac:dyDescent="0.2">
      <c r="A640">
        <f t="shared" si="259"/>
        <v>6.0799999999999148</v>
      </c>
      <c r="B640" s="5">
        <f t="shared" si="260"/>
        <v>0</v>
      </c>
      <c r="C640" s="5">
        <f t="shared" si="261"/>
        <v>895.96716809480085</v>
      </c>
      <c r="D640" s="5">
        <f t="shared" si="262"/>
        <v>-61.855130676294735</v>
      </c>
      <c r="E640" s="2">
        <f t="shared" si="244"/>
        <v>298.65572269826697</v>
      </c>
      <c r="F640" s="2">
        <f t="shared" si="263"/>
        <v>0</v>
      </c>
      <c r="G640" s="3">
        <f t="shared" si="264"/>
        <v>0</v>
      </c>
      <c r="H640" s="3">
        <f t="shared" si="265"/>
        <v>104.57191339478643</v>
      </c>
      <c r="I640" s="3">
        <f t="shared" si="266"/>
        <v>-66.398908283668504</v>
      </c>
      <c r="J640" s="2">
        <f t="shared" si="245"/>
        <v>123.87130455561424</v>
      </c>
      <c r="K640" s="2">
        <f t="shared" si="267"/>
        <v>84.438517079491646</v>
      </c>
      <c r="L640" s="5">
        <f t="shared" si="246"/>
        <v>28.250443666409613</v>
      </c>
      <c r="M640" s="3">
        <f t="shared" si="247"/>
        <v>17.729966863320531</v>
      </c>
      <c r="N640" s="2">
        <v>0</v>
      </c>
      <c r="O640" s="2">
        <f t="shared" si="248"/>
        <v>123.87130455561424</v>
      </c>
      <c r="P640" s="2">
        <f t="shared" si="249"/>
        <v>84.438517079491646</v>
      </c>
      <c r="Q640" s="5">
        <f t="shared" si="250"/>
        <v>1.0439838451361634</v>
      </c>
      <c r="R640" s="5">
        <f t="shared" si="251"/>
        <v>0.162354788993364</v>
      </c>
      <c r="S640" s="4">
        <f t="shared" si="268"/>
        <v>0.14313215580417452</v>
      </c>
      <c r="T640" s="5">
        <f t="shared" si="252"/>
        <v>0.10541596508810439</v>
      </c>
      <c r="U640" s="4">
        <f t="shared" si="253"/>
        <v>0</v>
      </c>
      <c r="V640" s="4">
        <f t="shared" si="254"/>
        <v>0</v>
      </c>
      <c r="W640" s="5">
        <f t="shared" si="255"/>
        <v>0</v>
      </c>
      <c r="X640" s="5">
        <f t="shared" si="256"/>
        <v>-11.950599935135731</v>
      </c>
      <c r="Y640" s="5">
        <f t="shared" si="257"/>
        <v>7.5881444956658255</v>
      </c>
      <c r="Z640" s="5">
        <f>1</f>
        <v>1</v>
      </c>
      <c r="AA640" s="5">
        <f>IF(M640=0,0,const*($T640/omega)*O640*(wy*I640-wz*(H640-V640))/Z640)</f>
        <v>0</v>
      </c>
      <c r="AB640" s="5">
        <f>IF(M640=0,0,const*($T640/omega)*O640*(wz*(G640-U640)-wx*I640)/Z640)</f>
        <v>4.9269355107923261</v>
      </c>
      <c r="AC640" s="5">
        <f>IF(M640=0,0,const*($T640/omega)*O640*(wx*(H640-V640)-wy*(G640-U640))/Z640)</f>
        <v>7.7594509737292841</v>
      </c>
      <c r="AD640" s="5">
        <f t="shared" si="270"/>
        <v>0</v>
      </c>
      <c r="AE640" s="5">
        <f t="shared" si="270"/>
        <v>-7.023664424343405</v>
      </c>
      <c r="AF640" s="5">
        <f t="shared" si="258"/>
        <v>-16.82640453060489</v>
      </c>
      <c r="AG640">
        <f t="shared" si="269"/>
        <v>0</v>
      </c>
    </row>
    <row r="641" spans="1:33" x14ac:dyDescent="0.2">
      <c r="A641">
        <f t="shared" si="259"/>
        <v>6.0899999999999146</v>
      </c>
      <c r="B641" s="5">
        <f t="shared" si="260"/>
        <v>0</v>
      </c>
      <c r="C641" s="5">
        <f t="shared" si="261"/>
        <v>897.01253604552744</v>
      </c>
      <c r="D641" s="5">
        <f t="shared" si="262"/>
        <v>-62.519961079357948</v>
      </c>
      <c r="E641" s="2">
        <f t="shared" si="244"/>
        <v>299.00417868184246</v>
      </c>
      <c r="F641" s="2">
        <f t="shared" si="263"/>
        <v>0</v>
      </c>
      <c r="G641" s="3">
        <f t="shared" si="264"/>
        <v>0</v>
      </c>
      <c r="H641" s="3">
        <f t="shared" si="265"/>
        <v>104.501676750543</v>
      </c>
      <c r="I641" s="3">
        <f t="shared" si="266"/>
        <v>-66.56717232897455</v>
      </c>
      <c r="J641" s="2">
        <f t="shared" si="245"/>
        <v>123.90233603750323</v>
      </c>
      <c r="K641" s="2">
        <f t="shared" si="267"/>
        <v>84.459670100547527</v>
      </c>
      <c r="L641" s="5">
        <f t="shared" si="246"/>
        <v>28.243368310455672</v>
      </c>
      <c r="M641" s="3">
        <f t="shared" si="247"/>
        <v>17.722734858288298</v>
      </c>
      <c r="N641" s="2">
        <v>0</v>
      </c>
      <c r="O641" s="2">
        <f t="shared" si="248"/>
        <v>123.90233603750323</v>
      </c>
      <c r="P641" s="2">
        <f t="shared" si="249"/>
        <v>84.459670100547527</v>
      </c>
      <c r="Q641" s="5">
        <f t="shared" si="250"/>
        <v>1.0442453775863054</v>
      </c>
      <c r="R641" s="5">
        <f t="shared" si="251"/>
        <v>0.1623351240232879</v>
      </c>
      <c r="S641" s="4">
        <f t="shared" si="268"/>
        <v>0.14303793959884592</v>
      </c>
      <c r="T641" s="5">
        <f t="shared" si="252"/>
        <v>0.1053882037394852</v>
      </c>
      <c r="U641" s="4">
        <f t="shared" si="253"/>
        <v>0</v>
      </c>
      <c r="V641" s="4">
        <f t="shared" si="254"/>
        <v>0</v>
      </c>
      <c r="W641" s="5">
        <f t="shared" si="255"/>
        <v>0</v>
      </c>
      <c r="X641" s="5">
        <f t="shared" si="256"/>
        <v>-11.944118102244913</v>
      </c>
      <c r="Y641" s="5">
        <f t="shared" si="257"/>
        <v>7.6083579972378796</v>
      </c>
      <c r="Z641" s="5">
        <f>1</f>
        <v>1</v>
      </c>
      <c r="AA641" s="5">
        <f>IF(M641=0,0,const*($T641/omega)*O641*(wy*I641-wz*(H641-V641))/Z641)</f>
        <v>0</v>
      </c>
      <c r="AB641" s="5">
        <f>IF(M641=0,0,const*($T641/omega)*O641*(wz*(G641-U641)-wx*I641)/Z641)</f>
        <v>4.9393573175255652</v>
      </c>
      <c r="AC641" s="5">
        <f>IF(M641=0,0,const*($T641/omega)*O641*(wx*(H641-V641)-wy*(G641-U641))/Z641)</f>
        <v>7.7541392204639745</v>
      </c>
      <c r="AD641" s="5">
        <f t="shared" si="270"/>
        <v>0</v>
      </c>
      <c r="AE641" s="5">
        <f t="shared" si="270"/>
        <v>-7.0047607847193474</v>
      </c>
      <c r="AF641" s="5">
        <f t="shared" si="258"/>
        <v>-16.811502782298145</v>
      </c>
      <c r="AG641">
        <f t="shared" si="269"/>
        <v>0</v>
      </c>
    </row>
    <row r="642" spans="1:33" x14ac:dyDescent="0.2">
      <c r="A642">
        <f t="shared" si="259"/>
        <v>6.0999999999999144</v>
      </c>
      <c r="B642" s="5">
        <f t="shared" si="260"/>
        <v>0</v>
      </c>
      <c r="C642" s="5">
        <f t="shared" si="261"/>
        <v>898.05720257499365</v>
      </c>
      <c r="D642" s="5">
        <f t="shared" si="262"/>
        <v>-63.186473377786811</v>
      </c>
      <c r="E642" s="2">
        <f t="shared" si="244"/>
        <v>299.35240085833124</v>
      </c>
      <c r="F642" s="2">
        <f t="shared" si="263"/>
        <v>0</v>
      </c>
      <c r="G642" s="3">
        <f t="shared" si="264"/>
        <v>0</v>
      </c>
      <c r="H642" s="3">
        <f t="shared" si="265"/>
        <v>104.43162914269581</v>
      </c>
      <c r="I642" s="3">
        <f t="shared" si="266"/>
        <v>-66.735287356797528</v>
      </c>
      <c r="J642" s="2">
        <f t="shared" si="245"/>
        <v>123.93370705337549</v>
      </c>
      <c r="K642" s="2">
        <f t="shared" si="267"/>
        <v>84.481054569444765</v>
      </c>
      <c r="L642" s="5">
        <f t="shared" si="246"/>
        <v>28.236219140333848</v>
      </c>
      <c r="M642" s="3">
        <f t="shared" si="247"/>
        <v>17.715492176239231</v>
      </c>
      <c r="N642" s="2">
        <v>0</v>
      </c>
      <c r="O642" s="2">
        <f t="shared" si="248"/>
        <v>123.93370705337549</v>
      </c>
      <c r="P642" s="2">
        <f t="shared" si="249"/>
        <v>84.481054569444765</v>
      </c>
      <c r="Q642" s="5">
        <f t="shared" si="250"/>
        <v>1.0445097716192386</v>
      </c>
      <c r="R642" s="5">
        <f t="shared" si="251"/>
        <v>0.16231536918086953</v>
      </c>
      <c r="S642" s="4">
        <f t="shared" si="268"/>
        <v>0.14294329280903026</v>
      </c>
      <c r="T642" s="5">
        <f t="shared" si="252"/>
        <v>0.10536030446762874</v>
      </c>
      <c r="U642" s="4">
        <f t="shared" si="253"/>
        <v>0</v>
      </c>
      <c r="V642" s="4">
        <f t="shared" si="254"/>
        <v>0</v>
      </c>
      <c r="W642" s="5">
        <f t="shared" si="255"/>
        <v>0</v>
      </c>
      <c r="X642" s="5">
        <f t="shared" si="256"/>
        <v>-11.937681172522451</v>
      </c>
      <c r="Y642" s="5">
        <f t="shared" si="257"/>
        <v>7.6285756524352566</v>
      </c>
      <c r="Z642" s="5">
        <f>1</f>
        <v>1</v>
      </c>
      <c r="AA642" s="5">
        <f>IF(M642=0,0,const*($T642/omega)*O642*(wy*I642-wz*(H642-V642))/Z642)</f>
        <v>0</v>
      </c>
      <c r="AB642" s="5">
        <f>IF(M642=0,0,const*($T642/omega)*O642*(wz*(G642-U642)-wx*I642)/Z642)</f>
        <v>4.9517741754897733</v>
      </c>
      <c r="AC642" s="5">
        <f>IF(M642=0,0,const*($T642/omega)*O642*(wx*(H642-V642)-wy*(G642-U642))/Z642)</f>
        <v>7.7488516911353837</v>
      </c>
      <c r="AD642" s="5">
        <f t="shared" si="270"/>
        <v>0</v>
      </c>
      <c r="AE642" s="5">
        <f t="shared" si="270"/>
        <v>-6.9859069970326777</v>
      </c>
      <c r="AF642" s="5">
        <f t="shared" si="258"/>
        <v>-16.796572656429358</v>
      </c>
      <c r="AG642">
        <f t="shared" si="269"/>
        <v>0</v>
      </c>
    </row>
    <row r="643" spans="1:33" x14ac:dyDescent="0.2">
      <c r="A643">
        <f t="shared" si="259"/>
        <v>6.1099999999999142</v>
      </c>
      <c r="B643" s="5">
        <f t="shared" si="260"/>
        <v>0</v>
      </c>
      <c r="C643" s="5">
        <f t="shared" si="261"/>
        <v>899.10116957107073</v>
      </c>
      <c r="D643" s="5">
        <f t="shared" si="262"/>
        <v>-63.854666079987609</v>
      </c>
      <c r="E643" s="2">
        <f t="shared" si="244"/>
        <v>299.70038985702359</v>
      </c>
      <c r="F643" s="2">
        <f t="shared" si="263"/>
        <v>0</v>
      </c>
      <c r="G643" s="3">
        <f t="shared" si="264"/>
        <v>0</v>
      </c>
      <c r="H643" s="3">
        <f t="shared" si="265"/>
        <v>104.36177007272549</v>
      </c>
      <c r="I643" s="3">
        <f t="shared" si="266"/>
        <v>-66.903253083361818</v>
      </c>
      <c r="J643" s="2">
        <f t="shared" si="245"/>
        <v>123.96541584590754</v>
      </c>
      <c r="K643" s="2">
        <f t="shared" si="267"/>
        <v>84.502669288280529</v>
      </c>
      <c r="L643" s="5">
        <f t="shared" si="246"/>
        <v>28.228996670998345</v>
      </c>
      <c r="M643" s="3">
        <f t="shared" si="247"/>
        <v>17.708238835466052</v>
      </c>
      <c r="N643" s="2">
        <v>0</v>
      </c>
      <c r="O643" s="2">
        <f t="shared" si="248"/>
        <v>123.96541584590754</v>
      </c>
      <c r="P643" s="2">
        <f t="shared" si="249"/>
        <v>84.502669288280529</v>
      </c>
      <c r="Q643" s="5">
        <f t="shared" si="250"/>
        <v>1.0447770124242903</v>
      </c>
      <c r="R643" s="5">
        <f t="shared" si="251"/>
        <v>0.16229552515012297</v>
      </c>
      <c r="S643" s="4">
        <f t="shared" si="268"/>
        <v>0.14284821871188561</v>
      </c>
      <c r="T643" s="5">
        <f t="shared" si="252"/>
        <v>0.10533226807617148</v>
      </c>
      <c r="U643" s="4">
        <f t="shared" si="253"/>
        <v>0</v>
      </c>
      <c r="V643" s="4">
        <f t="shared" si="254"/>
        <v>0</v>
      </c>
      <c r="W643" s="5">
        <f t="shared" si="255"/>
        <v>0</v>
      </c>
      <c r="X643" s="5">
        <f t="shared" si="256"/>
        <v>-11.931288910642989</v>
      </c>
      <c r="Y643" s="5">
        <f t="shared" si="257"/>
        <v>7.6487974575670155</v>
      </c>
      <c r="Z643" s="5">
        <f>1</f>
        <v>1</v>
      </c>
      <c r="AA643" s="5">
        <f>IF(M643=0,0,const*($T643/omega)*O643*(wy*I643-wz*(H643-V643))/Z643)</f>
        <v>0</v>
      </c>
      <c r="AB643" s="5">
        <f>IF(M643=0,0,const*($T643/omega)*O643*(wz*(G643-U643)-wx*I643)/Z643)</f>
        <v>4.9641860643757703</v>
      </c>
      <c r="AC643" s="5">
        <f>IF(M643=0,0,const*($T643/omega)*O643*(wx*(H643-V643)-wy*(G643-U643))/Z643)</f>
        <v>7.7435882527728905</v>
      </c>
      <c r="AD643" s="5">
        <f t="shared" si="270"/>
        <v>0</v>
      </c>
      <c r="AE643" s="5">
        <f t="shared" si="270"/>
        <v>-6.9671028462672187</v>
      </c>
      <c r="AF643" s="5">
        <f t="shared" si="258"/>
        <v>-16.781614289660094</v>
      </c>
      <c r="AG643">
        <f t="shared" si="269"/>
        <v>0</v>
      </c>
    </row>
    <row r="644" spans="1:33" x14ac:dyDescent="0.2">
      <c r="A644">
        <f t="shared" si="259"/>
        <v>6.119999999999914</v>
      </c>
      <c r="B644" s="5">
        <f t="shared" si="260"/>
        <v>0</v>
      </c>
      <c r="C644" s="5">
        <f t="shared" si="261"/>
        <v>900.14443891665564</v>
      </c>
      <c r="D644" s="5">
        <f t="shared" si="262"/>
        <v>-64.524537691535713</v>
      </c>
      <c r="E644" s="2">
        <f t="shared" si="244"/>
        <v>300.04814630555188</v>
      </c>
      <c r="F644" s="2">
        <f t="shared" si="263"/>
        <v>0</v>
      </c>
      <c r="G644" s="3">
        <f t="shared" si="264"/>
        <v>0</v>
      </c>
      <c r="H644" s="3">
        <f t="shared" si="265"/>
        <v>104.29209904426281</v>
      </c>
      <c r="I644" s="3">
        <f t="shared" si="266"/>
        <v>-67.071069226258416</v>
      </c>
      <c r="J644" s="2">
        <f t="shared" si="245"/>
        <v>123.9974606603372</v>
      </c>
      <c r="K644" s="2">
        <f t="shared" si="267"/>
        <v>84.524513060897874</v>
      </c>
      <c r="L644" s="5">
        <f t="shared" si="246"/>
        <v>28.221701417087164</v>
      </c>
      <c r="M644" s="3">
        <f t="shared" si="247"/>
        <v>17.70097485455144</v>
      </c>
      <c r="N644" s="2">
        <v>0</v>
      </c>
      <c r="O644" s="2">
        <f t="shared" si="248"/>
        <v>123.9974606603372</v>
      </c>
      <c r="P644" s="2">
        <f t="shared" si="249"/>
        <v>84.524513060897874</v>
      </c>
      <c r="Q644" s="5">
        <f t="shared" si="250"/>
        <v>1.0450470852123741</v>
      </c>
      <c r="R644" s="5">
        <f t="shared" si="251"/>
        <v>0.16227559261457444</v>
      </c>
      <c r="S644" s="4">
        <f t="shared" si="268"/>
        <v>0.14275272058223215</v>
      </c>
      <c r="T644" s="5">
        <f t="shared" si="252"/>
        <v>0.10530409536858105</v>
      </c>
      <c r="U644" s="4">
        <f t="shared" si="253"/>
        <v>0</v>
      </c>
      <c r="V644" s="4">
        <f t="shared" si="254"/>
        <v>0</v>
      </c>
      <c r="W644" s="5">
        <f t="shared" si="255"/>
        <v>0</v>
      </c>
      <c r="X644" s="5">
        <f t="shared" si="256"/>
        <v>-11.924941082371237</v>
      </c>
      <c r="Y644" s="5">
        <f t="shared" si="257"/>
        <v>7.6690234081425634</v>
      </c>
      <c r="Z644" s="5">
        <f>1</f>
        <v>1</v>
      </c>
      <c r="AA644" s="5">
        <f>IF(M644=0,0,const*($T644/omega)*O644*(wy*I644-wz*(H644-V644))/Z644)</f>
        <v>0</v>
      </c>
      <c r="AB644" s="5">
        <f>IF(M644=0,0,const*($T644/omega)*O644*(wz*(G644-U644)-wx*I644)/Z644)</f>
        <v>4.9765929635088817</v>
      </c>
      <c r="AC644" s="5">
        <f>IF(M644=0,0,const*($T644/omega)*O644*(wx*(H644-V644)-wy*(G644-U644))/Z644)</f>
        <v>7.7383487730363019</v>
      </c>
      <c r="AD644" s="5">
        <f t="shared" si="270"/>
        <v>0</v>
      </c>
      <c r="AE644" s="5">
        <f t="shared" si="270"/>
        <v>-6.9483481188623557</v>
      </c>
      <c r="AF644" s="5">
        <f t="shared" si="258"/>
        <v>-16.766627818821135</v>
      </c>
      <c r="AG644">
        <f t="shared" si="269"/>
        <v>0</v>
      </c>
    </row>
    <row r="645" spans="1:33" x14ac:dyDescent="0.2">
      <c r="A645">
        <f t="shared" si="259"/>
        <v>6.1299999999999137</v>
      </c>
      <c r="B645" s="5">
        <f t="shared" si="260"/>
        <v>0</v>
      </c>
      <c r="C645" s="5">
        <f t="shared" si="261"/>
        <v>901.18701248969239</v>
      </c>
      <c r="D645" s="5">
        <f t="shared" si="262"/>
        <v>-65.196086715189239</v>
      </c>
      <c r="E645" s="2">
        <f t="shared" si="244"/>
        <v>300.39567082989748</v>
      </c>
      <c r="F645" s="2">
        <f t="shared" si="263"/>
        <v>0</v>
      </c>
      <c r="G645" s="3">
        <f t="shared" si="264"/>
        <v>0</v>
      </c>
      <c r="H645" s="3">
        <f t="shared" si="265"/>
        <v>104.22261556307419</v>
      </c>
      <c r="I645" s="3">
        <f t="shared" si="266"/>
        <v>-67.238735504446623</v>
      </c>
      <c r="J645" s="2">
        <f t="shared" si="245"/>
        <v>124.0298397444957</v>
      </c>
      <c r="K645" s="2">
        <f t="shared" si="267"/>
        <v>84.546584692907771</v>
      </c>
      <c r="L645" s="5">
        <f t="shared" si="246"/>
        <v>28.214333892891684</v>
      </c>
      <c r="M645" s="3">
        <f t="shared" si="247"/>
        <v>17.693700252365755</v>
      </c>
      <c r="N645" s="2">
        <v>0</v>
      </c>
      <c r="O645" s="2">
        <f t="shared" si="248"/>
        <v>124.0298397444957</v>
      </c>
      <c r="P645" s="2">
        <f t="shared" si="249"/>
        <v>84.546584692907771</v>
      </c>
      <c r="Q645" s="5">
        <f t="shared" si="250"/>
        <v>1.0453199752162621</v>
      </c>
      <c r="R645" s="5">
        <f t="shared" si="251"/>
        <v>0.16225557225722209</v>
      </c>
      <c r="S645" s="4">
        <f t="shared" si="268"/>
        <v>0.14265680169236034</v>
      </c>
      <c r="T645" s="5">
        <f t="shared" si="252"/>
        <v>0.10527578714811504</v>
      </c>
      <c r="U645" s="4">
        <f t="shared" si="253"/>
        <v>0</v>
      </c>
      <c r="V645" s="4">
        <f t="shared" si="254"/>
        <v>0</v>
      </c>
      <c r="W645" s="5">
        <f t="shared" si="255"/>
        <v>0</v>
      </c>
      <c r="X645" s="5">
        <f t="shared" si="256"/>
        <v>-11.918637454558285</v>
      </c>
      <c r="Y645" s="5">
        <f t="shared" si="257"/>
        <v>7.6892534988765657</v>
      </c>
      <c r="Z645" s="5">
        <f>1</f>
        <v>1</v>
      </c>
      <c r="AA645" s="5">
        <f>IF(M645=0,0,const*($T645/omega)*O645*(wy*I645-wz*(H645-V645))/Z645)</f>
        <v>0</v>
      </c>
      <c r="AB645" s="5">
        <f>IF(M645=0,0,const*($T645/omega)*O645*(wz*(G645-U645)-wx*I645)/Z645)</f>
        <v>4.98899485185229</v>
      </c>
      <c r="AC645" s="5">
        <f>IF(M645=0,0,const*($T645/omega)*O645*(wx*(H645-V645)-wy*(G645-U645))/Z645)</f>
        <v>7.7331331202141822</v>
      </c>
      <c r="AD645" s="5">
        <f t="shared" si="270"/>
        <v>0</v>
      </c>
      <c r="AE645" s="5">
        <f t="shared" si="270"/>
        <v>-6.9296426027059947</v>
      </c>
      <c r="AF645" s="5">
        <f t="shared" si="258"/>
        <v>-16.751613380909252</v>
      </c>
      <c r="AG645">
        <f t="shared" si="269"/>
        <v>0</v>
      </c>
    </row>
    <row r="646" spans="1:33" x14ac:dyDescent="0.2">
      <c r="A646">
        <f t="shared" si="259"/>
        <v>6.1399999999999135</v>
      </c>
      <c r="B646" s="5">
        <f t="shared" si="260"/>
        <v>0</v>
      </c>
      <c r="C646" s="5">
        <f t="shared" si="261"/>
        <v>902.228892163193</v>
      </c>
      <c r="D646" s="5">
        <f t="shared" si="262"/>
        <v>-65.869311650902745</v>
      </c>
      <c r="E646" s="2">
        <f t="shared" si="244"/>
        <v>300.74296405439765</v>
      </c>
      <c r="F646" s="2">
        <f t="shared" si="263"/>
        <v>0</v>
      </c>
      <c r="G646" s="3">
        <f t="shared" si="264"/>
        <v>0</v>
      </c>
      <c r="H646" s="3">
        <f t="shared" si="265"/>
        <v>104.15331913704712</v>
      </c>
      <c r="I646" s="3">
        <f t="shared" si="266"/>
        <v>-67.406251638255711</v>
      </c>
      <c r="J646" s="2">
        <f t="shared" si="245"/>
        <v>124.06255134883951</v>
      </c>
      <c r="K646" s="2">
        <f t="shared" si="267"/>
        <v>84.568882991710637</v>
      </c>
      <c r="L646" s="5">
        <f t="shared" si="246"/>
        <v>28.206894612326405</v>
      </c>
      <c r="M646" s="3">
        <f t="shared" si="247"/>
        <v>17.686415048064713</v>
      </c>
      <c r="N646" s="2">
        <v>0</v>
      </c>
      <c r="O646" s="2">
        <f t="shared" si="248"/>
        <v>124.06255134883951</v>
      </c>
      <c r="P646" s="2">
        <f t="shared" si="249"/>
        <v>84.568882991710637</v>
      </c>
      <c r="Q646" s="5">
        <f t="shared" si="250"/>
        <v>1.0455956676908504</v>
      </c>
      <c r="R646" s="5">
        <f t="shared" si="251"/>
        <v>0.16223546476049636</v>
      </c>
      <c r="S646" s="4">
        <f t="shared" si="268"/>
        <v>0.14256046531184088</v>
      </c>
      <c r="T646" s="5">
        <f t="shared" si="252"/>
        <v>0.10524734421778018</v>
      </c>
      <c r="U646" s="4">
        <f t="shared" si="253"/>
        <v>0</v>
      </c>
      <c r="V646" s="4">
        <f t="shared" si="254"/>
        <v>0</v>
      </c>
      <c r="W646" s="5">
        <f t="shared" si="255"/>
        <v>0</v>
      </c>
      <c r="X646" s="5">
        <f t="shared" si="256"/>
        <v>-11.912377795137882</v>
      </c>
      <c r="Y646" s="5">
        <f t="shared" si="257"/>
        <v>7.7094877236938624</v>
      </c>
      <c r="Z646" s="5">
        <f>1</f>
        <v>1</v>
      </c>
      <c r="AA646" s="5">
        <f>IF(M646=0,0,const*($T646/omega)*O646*(wy*I646-wz*(H646-V646))/Z646)</f>
        <v>0</v>
      </c>
      <c r="AB646" s="5">
        <f>IF(M646=0,0,const*($T646/omega)*O646*(wz*(G646-U646)-wx*I646)/Z646)</f>
        <v>5.0013917080103907</v>
      </c>
      <c r="AC646" s="5">
        <f>IF(M646=0,0,const*($T646/omega)*O646*(wx*(H646-V646)-wy*(G646-U646))/Z646)</f>
        <v>7.7279411632221597</v>
      </c>
      <c r="AD646" s="5">
        <f t="shared" si="270"/>
        <v>0</v>
      </c>
      <c r="AE646" s="5">
        <f t="shared" si="270"/>
        <v>-6.9109860871274913</v>
      </c>
      <c r="AF646" s="5">
        <f t="shared" si="258"/>
        <v>-16.736571113083976</v>
      </c>
      <c r="AG646">
        <f t="shared" si="269"/>
        <v>0</v>
      </c>
    </row>
    <row r="647" spans="1:33" x14ac:dyDescent="0.2">
      <c r="A647">
        <f t="shared" si="259"/>
        <v>6.1499999999999133</v>
      </c>
      <c r="B647" s="5">
        <f t="shared" si="260"/>
        <v>0</v>
      </c>
      <c r="C647" s="5">
        <f t="shared" si="261"/>
        <v>903.27007980525912</v>
      </c>
      <c r="D647" s="5">
        <f t="shared" si="262"/>
        <v>-66.544210995840956</v>
      </c>
      <c r="E647" s="2">
        <f t="shared" si="244"/>
        <v>301.09002660175304</v>
      </c>
      <c r="F647" s="2">
        <f t="shared" si="263"/>
        <v>0</v>
      </c>
      <c r="G647" s="3">
        <f t="shared" si="264"/>
        <v>0</v>
      </c>
      <c r="H647" s="3">
        <f t="shared" si="265"/>
        <v>104.08420927617584</v>
      </c>
      <c r="I647" s="3">
        <f t="shared" si="266"/>
        <v>-67.573617349386552</v>
      </c>
      <c r="J647" s="2">
        <f t="shared" si="245"/>
        <v>124.09559372648202</v>
      </c>
      <c r="K647" s="2">
        <f t="shared" si="267"/>
        <v>84.591406766518077</v>
      </c>
      <c r="L647" s="5">
        <f t="shared" si="246"/>
        <v>28.199384088899134</v>
      </c>
      <c r="M647" s="3">
        <f t="shared" si="247"/>
        <v>17.679119261087166</v>
      </c>
      <c r="N647" s="2">
        <v>0</v>
      </c>
      <c r="O647" s="2">
        <f t="shared" si="248"/>
        <v>124.09559372648202</v>
      </c>
      <c r="P647" s="2">
        <f t="shared" si="249"/>
        <v>84.591406766518077</v>
      </c>
      <c r="Q647" s="5">
        <f t="shared" si="250"/>
        <v>1.0458741479134284</v>
      </c>
      <c r="R647" s="5">
        <f t="shared" si="251"/>
        <v>0.16221527080622092</v>
      </c>
      <c r="S647" s="4">
        <f t="shared" si="268"/>
        <v>0.14246371470733726</v>
      </c>
      <c r="T647" s="5">
        <f t="shared" si="252"/>
        <v>0.10521876738029187</v>
      </c>
      <c r="U647" s="4">
        <f t="shared" si="253"/>
        <v>0</v>
      </c>
      <c r="V647" s="4">
        <f t="shared" si="254"/>
        <v>0</v>
      </c>
      <c r="W647" s="5">
        <f t="shared" si="255"/>
        <v>0</v>
      </c>
      <c r="X647" s="5">
        <f t="shared" si="256"/>
        <v>-11.906161873122779</v>
      </c>
      <c r="Y647" s="5">
        <f t="shared" si="257"/>
        <v>7.7297260757344128</v>
      </c>
      <c r="Z647" s="5">
        <f>1</f>
        <v>1</v>
      </c>
      <c r="AA647" s="5">
        <f>IF(M647=0,0,const*($T647/omega)*O647*(wy*I647-wz*(H647-V647))/Z647)</f>
        <v>0</v>
      </c>
      <c r="AB647" s="5">
        <f>IF(M647=0,0,const*($T647/omega)*O647*(wz*(G647-U647)-wx*I647)/Z647)</f>
        <v>5.0137835102321651</v>
      </c>
      <c r="AC647" s="5">
        <f>IF(M647=0,0,const*($T647/omega)*O647*(wx*(H647-V647)-wy*(G647-U647))/Z647)</f>
        <v>7.7227727716012486</v>
      </c>
      <c r="AD647" s="5">
        <f t="shared" si="270"/>
        <v>0</v>
      </c>
      <c r="AE647" s="5">
        <f t="shared" si="270"/>
        <v>-6.8923783628906135</v>
      </c>
      <c r="AF647" s="5">
        <f t="shared" si="258"/>
        <v>-16.721501152664338</v>
      </c>
      <c r="AG647">
        <f t="shared" si="269"/>
        <v>0</v>
      </c>
    </row>
    <row r="648" spans="1:33" x14ac:dyDescent="0.2">
      <c r="A648">
        <f t="shared" si="259"/>
        <v>6.1599999999999131</v>
      </c>
      <c r="B648" s="5">
        <f t="shared" si="260"/>
        <v>0</v>
      </c>
      <c r="C648" s="5">
        <f t="shared" si="261"/>
        <v>904.31057727910274</v>
      </c>
      <c r="D648" s="5">
        <f t="shared" si="262"/>
        <v>-67.22078324439245</v>
      </c>
      <c r="E648" s="2">
        <f t="shared" si="244"/>
        <v>301.43685909303423</v>
      </c>
      <c r="F648" s="2">
        <f t="shared" si="263"/>
        <v>0</v>
      </c>
      <c r="G648" s="3">
        <f t="shared" si="264"/>
        <v>0</v>
      </c>
      <c r="H648" s="3">
        <f t="shared" si="265"/>
        <v>104.01528549254694</v>
      </c>
      <c r="I648" s="3">
        <f t="shared" si="266"/>
        <v>-67.740832360913203</v>
      </c>
      <c r="J648" s="2">
        <f t="shared" si="245"/>
        <v>124.12896513322501</v>
      </c>
      <c r="K648" s="2">
        <f t="shared" si="267"/>
        <v>84.61415482837424</v>
      </c>
      <c r="L648" s="5">
        <f t="shared" si="246"/>
        <v>28.19180283568139</v>
      </c>
      <c r="M648" s="3">
        <f t="shared" si="247"/>
        <v>17.671812911152749</v>
      </c>
      <c r="N648" s="2">
        <v>0</v>
      </c>
      <c r="O648" s="2">
        <f t="shared" si="248"/>
        <v>124.12896513322501</v>
      </c>
      <c r="P648" s="2">
        <f t="shared" si="249"/>
        <v>84.61415482837424</v>
      </c>
      <c r="Q648" s="5">
        <f t="shared" si="250"/>
        <v>1.0461554011839429</v>
      </c>
      <c r="R648" s="5">
        <f t="shared" si="251"/>
        <v>0.16219499107557372</v>
      </c>
      <c r="S648" s="4">
        <f t="shared" si="268"/>
        <v>0.14236655314241897</v>
      </c>
      <c r="T648" s="5">
        <f t="shared" si="252"/>
        <v>0.10519005743803414</v>
      </c>
      <c r="U648" s="4">
        <f t="shared" si="253"/>
        <v>0</v>
      </c>
      <c r="V648" s="4">
        <f t="shared" si="254"/>
        <v>0</v>
      </c>
      <c r="W648" s="5">
        <f t="shared" si="255"/>
        <v>0</v>
      </c>
      <c r="X648" s="5">
        <f t="shared" si="256"/>
        <v>-11.89998945860104</v>
      </c>
      <c r="Y648" s="5">
        <f t="shared" si="257"/>
        <v>7.7499685473582467</v>
      </c>
      <c r="Z648" s="5">
        <f>1</f>
        <v>1</v>
      </c>
      <c r="AA648" s="5">
        <f>IF(M648=0,0,const*($T648/omega)*O648*(wy*I648-wz*(H648-V648))/Z648)</f>
        <v>0</v>
      </c>
      <c r="AB648" s="5">
        <f>IF(M648=0,0,const*($T648/omega)*O648*(wz*(G648-U648)-wx*I648)/Z648)</f>
        <v>5.0261702364145489</v>
      </c>
      <c r="AC648" s="5">
        <f>IF(M648=0,0,const*($T648/omega)*O648*(wx*(H648-V648)-wy*(G648-U648))/Z648)</f>
        <v>7.7176278155161668</v>
      </c>
      <c r="AD648" s="5">
        <f t="shared" si="270"/>
        <v>0</v>
      </c>
      <c r="AE648" s="5">
        <f t="shared" si="270"/>
        <v>-6.8738192221864907</v>
      </c>
      <c r="AF648" s="5">
        <f t="shared" si="258"/>
        <v>-16.706403637125586</v>
      </c>
      <c r="AG648">
        <f t="shared" si="269"/>
        <v>0</v>
      </c>
    </row>
    <row r="649" spans="1:33" x14ac:dyDescent="0.2">
      <c r="A649">
        <f t="shared" si="259"/>
        <v>6.1699999999999129</v>
      </c>
      <c r="B649" s="5">
        <f t="shared" si="260"/>
        <v>0</v>
      </c>
      <c r="C649" s="5">
        <f t="shared" si="261"/>
        <v>905.35038644306712</v>
      </c>
      <c r="D649" s="5">
        <f t="shared" si="262"/>
        <v>-67.899026888183428</v>
      </c>
      <c r="E649" s="2">
        <f t="shared" si="244"/>
        <v>301.78346214768902</v>
      </c>
      <c r="F649" s="2">
        <f t="shared" si="263"/>
        <v>0</v>
      </c>
      <c r="G649" s="3">
        <f t="shared" si="264"/>
        <v>0</v>
      </c>
      <c r="H649" s="3">
        <f t="shared" si="265"/>
        <v>103.94654730032507</v>
      </c>
      <c r="I649" s="3">
        <f t="shared" si="266"/>
        <v>-67.90789639728446</v>
      </c>
      <c r="J649" s="2">
        <f t="shared" si="245"/>
        <v>124.16266382758964</v>
      </c>
      <c r="K649" s="2">
        <f t="shared" si="267"/>
        <v>84.637125990176983</v>
      </c>
      <c r="L649" s="5">
        <f t="shared" si="246"/>
        <v>28.184151365279085</v>
      </c>
      <c r="M649" s="3">
        <f t="shared" si="247"/>
        <v>17.664496018259648</v>
      </c>
      <c r="N649" s="2">
        <v>0</v>
      </c>
      <c r="O649" s="2">
        <f t="shared" si="248"/>
        <v>124.16266382758964</v>
      </c>
      <c r="P649" s="2">
        <f t="shared" si="249"/>
        <v>84.637125990176983</v>
      </c>
      <c r="Q649" s="5">
        <f t="shared" si="250"/>
        <v>1.0464394128252594</v>
      </c>
      <c r="R649" s="5">
        <f t="shared" si="251"/>
        <v>0.16217462624904852</v>
      </c>
      <c r="S649" s="4">
        <f t="shared" si="268"/>
        <v>0.14226898387737794</v>
      </c>
      <c r="T649" s="5">
        <f t="shared" si="252"/>
        <v>0.10516121519301977</v>
      </c>
      <c r="U649" s="4">
        <f t="shared" si="253"/>
        <v>0</v>
      </c>
      <c r="V649" s="4">
        <f t="shared" si="254"/>
        <v>0</v>
      </c>
      <c r="W649" s="5">
        <f t="shared" si="255"/>
        <v>0</v>
      </c>
      <c r="X649" s="5">
        <f t="shared" si="256"/>
        <v>-11.893860322732351</v>
      </c>
      <c r="Y649" s="5">
        <f t="shared" si="257"/>
        <v>7.7702151301504072</v>
      </c>
      <c r="Z649" s="5">
        <f>1</f>
        <v>1</v>
      </c>
      <c r="AA649" s="5">
        <f>IF(M649=0,0,const*($T649/omega)*O649*(wy*I649-wz*(H649-V649))/Z649)</f>
        <v>0</v>
      </c>
      <c r="AB649" s="5">
        <f>IF(M649=0,0,const*($T649/omega)*O649*(wz*(G649-U649)-wx*I649)/Z649)</f>
        <v>5.0385518641058029</v>
      </c>
      <c r="AC649" s="5">
        <f>IF(M649=0,0,const*($T649/omega)*O649*(wx*(H649-V649)-wy*(G649-U649))/Z649)</f>
        <v>7.7125061657536262</v>
      </c>
      <c r="AD649" s="5">
        <f t="shared" si="270"/>
        <v>0</v>
      </c>
      <c r="AE649" s="5">
        <f t="shared" si="270"/>
        <v>-6.8553084586265483</v>
      </c>
      <c r="AF649" s="5">
        <f t="shared" si="258"/>
        <v>-16.691278704095964</v>
      </c>
      <c r="AG649">
        <f t="shared" si="269"/>
        <v>0</v>
      </c>
    </row>
    <row r="650" spans="1:33" x14ac:dyDescent="0.2">
      <c r="A650">
        <f t="shared" si="259"/>
        <v>6.1799999999999127</v>
      </c>
      <c r="B650" s="5">
        <f t="shared" si="260"/>
        <v>0</v>
      </c>
      <c r="C650" s="5">
        <f t="shared" si="261"/>
        <v>906.38950915064743</v>
      </c>
      <c r="D650" s="5">
        <f t="shared" si="262"/>
        <v>-68.57894041609147</v>
      </c>
      <c r="E650" s="2">
        <f t="shared" si="244"/>
        <v>302.12983638354916</v>
      </c>
      <c r="F650" s="2">
        <f t="shared" si="263"/>
        <v>0</v>
      </c>
      <c r="G650" s="3">
        <f t="shared" si="264"/>
        <v>0</v>
      </c>
      <c r="H650" s="3">
        <f t="shared" si="265"/>
        <v>103.87799421573879</v>
      </c>
      <c r="I650" s="3">
        <f t="shared" si="266"/>
        <v>-68.074809184325417</v>
      </c>
      <c r="J650" s="2">
        <f t="shared" si="245"/>
        <v>124.19668807084744</v>
      </c>
      <c r="K650" s="2">
        <f t="shared" si="267"/>
        <v>84.660319066699003</v>
      </c>
      <c r="L650" s="5">
        <f t="shared" si="246"/>
        <v>28.176430189803618</v>
      </c>
      <c r="M650" s="3">
        <f t="shared" si="247"/>
        <v>17.657168602682297</v>
      </c>
      <c r="N650" s="2">
        <v>0</v>
      </c>
      <c r="O650" s="2">
        <f t="shared" si="248"/>
        <v>124.19668807084744</v>
      </c>
      <c r="P650" s="2">
        <f t="shared" si="249"/>
        <v>84.660319066699003</v>
      </c>
      <c r="Q650" s="5">
        <f t="shared" si="250"/>
        <v>1.0467261681834237</v>
      </c>
      <c r="R650" s="5">
        <f t="shared" si="251"/>
        <v>0.16215417700641693</v>
      </c>
      <c r="S650" s="4">
        <f t="shared" si="268"/>
        <v>0.1421710101690461</v>
      </c>
      <c r="T650" s="5">
        <f t="shared" si="252"/>
        <v>0.105132241446851</v>
      </c>
      <c r="U650" s="4">
        <f t="shared" si="253"/>
        <v>0</v>
      </c>
      <c r="V650" s="4">
        <f t="shared" si="254"/>
        <v>0</v>
      </c>
      <c r="W650" s="5">
        <f t="shared" si="255"/>
        <v>0</v>
      </c>
      <c r="X650" s="5">
        <f t="shared" si="256"/>
        <v>-11.88777423774437</v>
      </c>
      <c r="Y650" s="5">
        <f t="shared" si="257"/>
        <v>7.7904658149259394</v>
      </c>
      <c r="Z650" s="5">
        <f>1</f>
        <v>1</v>
      </c>
      <c r="AA650" s="5">
        <f>IF(M650=0,0,const*($T650/omega)*O650*(wy*I650-wz*(H650-V650))/Z650)</f>
        <v>0</v>
      </c>
      <c r="AB650" s="5">
        <f>IF(M650=0,0,const*($T650/omega)*O650*(wz*(G650-U650)-wx*I650)/Z650)</f>
        <v>5.0509283705088963</v>
      </c>
      <c r="AC650" s="5">
        <f>IF(M650=0,0,const*($T650/omega)*O650*(wx*(H650-V650)-wy*(G650-U650))/Z650)</f>
        <v>7.7074076937206382</v>
      </c>
      <c r="AD650" s="5">
        <f t="shared" si="270"/>
        <v>0</v>
      </c>
      <c r="AE650" s="5">
        <f t="shared" si="270"/>
        <v>-6.8368458672354739</v>
      </c>
      <c r="AF650" s="5">
        <f t="shared" si="258"/>
        <v>-16.676126491353422</v>
      </c>
      <c r="AG650">
        <f t="shared" si="269"/>
        <v>0</v>
      </c>
    </row>
    <row r="651" spans="1:33" x14ac:dyDescent="0.2">
      <c r="A651">
        <f t="shared" si="259"/>
        <v>6.1899999999999125</v>
      </c>
      <c r="B651" s="5">
        <f t="shared" si="260"/>
        <v>0</v>
      </c>
      <c r="C651" s="5">
        <f t="shared" si="261"/>
        <v>907.42794725051147</v>
      </c>
      <c r="D651" s="5">
        <f t="shared" si="262"/>
        <v>-69.260522314259291</v>
      </c>
      <c r="E651" s="2">
        <f t="shared" si="244"/>
        <v>302.47598241683716</v>
      </c>
      <c r="F651" s="2">
        <f t="shared" si="263"/>
        <v>0</v>
      </c>
      <c r="G651" s="3">
        <f t="shared" si="264"/>
        <v>0</v>
      </c>
      <c r="H651" s="3">
        <f t="shared" si="265"/>
        <v>103.80962575706644</v>
      </c>
      <c r="I651" s="3">
        <f t="shared" si="266"/>
        <v>-68.241570449238949</v>
      </c>
      <c r="J651" s="2">
        <f t="shared" si="245"/>
        <v>124.23103612705093</v>
      </c>
      <c r="K651" s="2">
        <f t="shared" si="267"/>
        <v>84.683732874608665</v>
      </c>
      <c r="L651" s="5">
        <f t="shared" si="246"/>
        <v>28.168639820843136</v>
      </c>
      <c r="M651" s="3">
        <f t="shared" si="247"/>
        <v>17.649830684969086</v>
      </c>
      <c r="N651" s="2">
        <v>0</v>
      </c>
      <c r="O651" s="2">
        <f t="shared" si="248"/>
        <v>124.23103612705093</v>
      </c>
      <c r="P651" s="2">
        <f t="shared" si="249"/>
        <v>84.683732874608665</v>
      </c>
      <c r="Q651" s="5">
        <f t="shared" si="250"/>
        <v>1.0470156526279195</v>
      </c>
      <c r="R651" s="5">
        <f t="shared" si="251"/>
        <v>0.16213364402669075</v>
      </c>
      <c r="S651" s="4">
        <f t="shared" si="268"/>
        <v>0.14207263527061487</v>
      </c>
      <c r="T651" s="5">
        <f t="shared" si="252"/>
        <v>0.10510313700068043</v>
      </c>
      <c r="U651" s="4">
        <f t="shared" si="253"/>
        <v>0</v>
      </c>
      <c r="V651" s="4">
        <f t="shared" si="254"/>
        <v>0</v>
      </c>
      <c r="W651" s="5">
        <f t="shared" si="255"/>
        <v>0</v>
      </c>
      <c r="X651" s="5">
        <f t="shared" si="256"/>
        <v>-11.881730976929042</v>
      </c>
      <c r="Y651" s="5">
        <f t="shared" si="257"/>
        <v>7.8107205917348557</v>
      </c>
      <c r="Z651" s="5">
        <f>1</f>
        <v>1</v>
      </c>
      <c r="AA651" s="5">
        <f>IF(M651=0,0,const*($T651/omega)*O651*(wy*I651-wz*(H651-V651))/Z651)</f>
        <v>0</v>
      </c>
      <c r="AB651" s="5">
        <f>IF(M651=0,0,const*($T651/omega)*O651*(wz*(G651-U651)-wx*I651)/Z651)</f>
        <v>5.063299732484893</v>
      </c>
      <c r="AC651" s="5">
        <f>IF(M651=0,0,const*($T651/omega)*O651*(wx*(H651-V651)-wy*(G651-U651))/Z651)</f>
        <v>7.7023322714428133</v>
      </c>
      <c r="AD651" s="5">
        <f t="shared" si="270"/>
        <v>0</v>
      </c>
      <c r="AE651" s="5">
        <f t="shared" si="270"/>
        <v>-6.8184312444441488</v>
      </c>
      <c r="AF651" s="5">
        <f t="shared" si="258"/>
        <v>-16.66094713682233</v>
      </c>
      <c r="AG651">
        <f t="shared" si="269"/>
        <v>0</v>
      </c>
    </row>
    <row r="652" spans="1:33" x14ac:dyDescent="0.2">
      <c r="A652">
        <f t="shared" si="259"/>
        <v>6.1999999999999122</v>
      </c>
      <c r="B652" s="5">
        <f t="shared" si="260"/>
        <v>0</v>
      </c>
      <c r="C652" s="5">
        <f t="shared" si="261"/>
        <v>908.46570258651991</v>
      </c>
      <c r="D652" s="5">
        <f t="shared" si="262"/>
        <v>-69.943771066108511</v>
      </c>
      <c r="E652" s="2">
        <f t="shared" si="244"/>
        <v>302.82190086217332</v>
      </c>
      <c r="F652" s="2">
        <f t="shared" si="263"/>
        <v>0</v>
      </c>
      <c r="G652" s="3">
        <f t="shared" si="264"/>
        <v>0</v>
      </c>
      <c r="H652" s="3">
        <f t="shared" si="265"/>
        <v>103.741441444622</v>
      </c>
      <c r="I652" s="3">
        <f t="shared" si="266"/>
        <v>-68.408179920607168</v>
      </c>
      <c r="J652" s="2">
        <f t="shared" si="245"/>
        <v>124.26570626306398</v>
      </c>
      <c r="K652" s="2">
        <f t="shared" si="267"/>
        <v>84.70736623249077</v>
      </c>
      <c r="L652" s="5">
        <f t="shared" si="246"/>
        <v>28.160780769434179</v>
      </c>
      <c r="M652" s="3">
        <f t="shared" si="247"/>
        <v>17.64248228594009</v>
      </c>
      <c r="N652" s="2">
        <v>0</v>
      </c>
      <c r="O652" s="2">
        <f t="shared" si="248"/>
        <v>124.26570626306398</v>
      </c>
      <c r="P652" s="2">
        <f t="shared" si="249"/>
        <v>84.70736623249077</v>
      </c>
      <c r="Q652" s="5">
        <f t="shared" si="250"/>
        <v>1.047307851551925</v>
      </c>
      <c r="R652" s="5">
        <f t="shared" si="251"/>
        <v>0.16211302798808469</v>
      </c>
      <c r="S652" s="4">
        <f t="shared" si="268"/>
        <v>0.14197386243145702</v>
      </c>
      <c r="T652" s="5">
        <f t="shared" si="252"/>
        <v>0.10507390265517233</v>
      </c>
      <c r="U652" s="4">
        <f t="shared" si="253"/>
        <v>0</v>
      </c>
      <c r="V652" s="4">
        <f t="shared" si="254"/>
        <v>0</v>
      </c>
      <c r="W652" s="5">
        <f t="shared" si="255"/>
        <v>0</v>
      </c>
      <c r="X652" s="5">
        <f t="shared" si="256"/>
        <v>-11.875730314638949</v>
      </c>
      <c r="Y652" s="5">
        <f t="shared" si="257"/>
        <v>7.8309794498671392</v>
      </c>
      <c r="Z652" s="5">
        <f>1</f>
        <v>1</v>
      </c>
      <c r="AA652" s="5">
        <f>IF(M652=0,0,const*($T652/omega)*O652*(wy*I652-wz*(H652-V652))/Z652)</f>
        <v>0</v>
      </c>
      <c r="AB652" s="5">
        <f>IF(M652=0,0,const*($T652/omega)*O652*(wz*(G652-U652)-wx*I652)/Z652)</f>
        <v>5.0756659265563338</v>
      </c>
      <c r="AC652" s="5">
        <f>IF(M652=0,0,const*($T652/omega)*O652*(wx*(H652-V652)-wy*(G652-U652))/Z652)</f>
        <v>7.6972797715626369</v>
      </c>
      <c r="AD652" s="5">
        <f t="shared" si="270"/>
        <v>0</v>
      </c>
      <c r="AE652" s="5">
        <f t="shared" si="270"/>
        <v>-6.8000643880826148</v>
      </c>
      <c r="AF652" s="5">
        <f t="shared" si="258"/>
        <v>-16.645740778570222</v>
      </c>
      <c r="AG652">
        <f t="shared" si="269"/>
        <v>0</v>
      </c>
    </row>
    <row r="653" spans="1:33" x14ac:dyDescent="0.2">
      <c r="A653">
        <f t="shared" si="259"/>
        <v>6.209999999999912</v>
      </c>
      <c r="B653" s="5">
        <f t="shared" si="260"/>
        <v>0</v>
      </c>
      <c r="C653" s="5">
        <f t="shared" si="261"/>
        <v>909.50277699774665</v>
      </c>
      <c r="D653" s="5">
        <f t="shared" si="262"/>
        <v>-70.628685152353512</v>
      </c>
      <c r="E653" s="2">
        <f t="shared" si="244"/>
        <v>303.16759233258222</v>
      </c>
      <c r="F653" s="2">
        <f t="shared" si="263"/>
        <v>0</v>
      </c>
      <c r="G653" s="3">
        <f t="shared" si="264"/>
        <v>0</v>
      </c>
      <c r="H653" s="3">
        <f t="shared" si="265"/>
        <v>103.67344080074118</v>
      </c>
      <c r="I653" s="3">
        <f t="shared" si="266"/>
        <v>-68.574637328392868</v>
      </c>
      <c r="J653" s="2">
        <f t="shared" si="245"/>
        <v>124.30069674859188</v>
      </c>
      <c r="K653" s="2">
        <f t="shared" si="267"/>
        <v>84.731217960866985</v>
      </c>
      <c r="L653" s="5">
        <f t="shared" si="246"/>
        <v>28.152853546033654</v>
      </c>
      <c r="M653" s="3">
        <f t="shared" si="247"/>
        <v>17.635123426684789</v>
      </c>
      <c r="N653" s="2">
        <v>0</v>
      </c>
      <c r="O653" s="2">
        <f t="shared" si="248"/>
        <v>124.30069674859188</v>
      </c>
      <c r="P653" s="2">
        <f t="shared" si="249"/>
        <v>84.731217960866985</v>
      </c>
      <c r="Q653" s="5">
        <f t="shared" si="250"/>
        <v>1.0476027503725651</v>
      </c>
      <c r="R653" s="5">
        <f t="shared" si="251"/>
        <v>0.16209232956797959</v>
      </c>
      <c r="S653" s="4">
        <f t="shared" si="268"/>
        <v>0.14187469489695009</v>
      </c>
      <c r="T653" s="5">
        <f t="shared" si="252"/>
        <v>0.10504453921046435</v>
      </c>
      <c r="U653" s="4">
        <f t="shared" si="253"/>
        <v>0</v>
      </c>
      <c r="V653" s="4">
        <f t="shared" si="254"/>
        <v>0</v>
      </c>
      <c r="W653" s="5">
        <f t="shared" si="255"/>
        <v>0</v>
      </c>
      <c r="X653" s="5">
        <f t="shared" si="256"/>
        <v>-11.869772026283647</v>
      </c>
      <c r="Y653" s="5">
        <f t="shared" si="257"/>
        <v>7.8512423778577327</v>
      </c>
      <c r="Z653" s="5">
        <f>1</f>
        <v>1</v>
      </c>
      <c r="AA653" s="5">
        <f>IF(M653=0,0,const*($T653/omega)*O653*(wy*I653-wz*(H653-V653))/Z653)</f>
        <v>0</v>
      </c>
      <c r="AB653" s="5">
        <f>IF(M653=0,0,const*($T653/omega)*O653*(wz*(G653-U653)-wx*I653)/Z653)</f>
        <v>5.088026928910625</v>
      </c>
      <c r="AC653" s="5">
        <f>IF(M653=0,0,const*($T653/omega)*O653*(wx*(H653-V653)-wy*(G653-U653))/Z653)</f>
        <v>7.6922500673377607</v>
      </c>
      <c r="AD653" s="5">
        <f t="shared" si="270"/>
        <v>0</v>
      </c>
      <c r="AE653" s="5">
        <f t="shared" si="270"/>
        <v>-6.7817450973730216</v>
      </c>
      <c r="AF653" s="5">
        <f t="shared" si="258"/>
        <v>-16.630507554804506</v>
      </c>
      <c r="AG653">
        <f t="shared" si="269"/>
        <v>0</v>
      </c>
    </row>
    <row r="654" spans="1:33" x14ac:dyDescent="0.2">
      <c r="A654">
        <f t="shared" si="259"/>
        <v>6.2199999999999118</v>
      </c>
      <c r="B654" s="5">
        <f t="shared" si="260"/>
        <v>0</v>
      </c>
      <c r="C654" s="5">
        <f t="shared" si="261"/>
        <v>910.53917231849925</v>
      </c>
      <c r="D654" s="5">
        <f t="shared" si="262"/>
        <v>-71.315263051015179</v>
      </c>
      <c r="E654" s="2">
        <f t="shared" si="244"/>
        <v>303.51305743949973</v>
      </c>
      <c r="F654" s="2">
        <f t="shared" si="263"/>
        <v>0</v>
      </c>
      <c r="G654" s="3">
        <f t="shared" si="264"/>
        <v>0</v>
      </c>
      <c r="H654" s="3">
        <f t="shared" si="265"/>
        <v>103.60562334976744</v>
      </c>
      <c r="I654" s="3">
        <f t="shared" si="266"/>
        <v>-68.740942403940906</v>
      </c>
      <c r="J654" s="2">
        <f t="shared" si="245"/>
        <v>124.33600585621124</v>
      </c>
      <c r="K654" s="2">
        <f t="shared" si="267"/>
        <v>84.755286882216254</v>
      </c>
      <c r="L654" s="5">
        <f t="shared" si="246"/>
        <v>28.144858660491014</v>
      </c>
      <c r="M654" s="3">
        <f t="shared" si="247"/>
        <v>17.627754128559776</v>
      </c>
      <c r="N654" s="2">
        <v>0</v>
      </c>
      <c r="O654" s="2">
        <f t="shared" si="248"/>
        <v>124.33600585621124</v>
      </c>
      <c r="P654" s="2">
        <f t="shared" si="249"/>
        <v>84.755286882216254</v>
      </c>
      <c r="Q654" s="5">
        <f t="shared" si="250"/>
        <v>1.0479003345311646</v>
      </c>
      <c r="R654" s="5">
        <f t="shared" si="251"/>
        <v>0.16207154944288596</v>
      </c>
      <c r="S654" s="4">
        <f t="shared" si="268"/>
        <v>0.14177513590830196</v>
      </c>
      <c r="T654" s="5">
        <f t="shared" si="252"/>
        <v>0.10501504746612958</v>
      </c>
      <c r="U654" s="4">
        <f t="shared" si="253"/>
        <v>0</v>
      </c>
      <c r="V654" s="4">
        <f t="shared" si="254"/>
        <v>0</v>
      </c>
      <c r="W654" s="5">
        <f t="shared" si="255"/>
        <v>0</v>
      </c>
      <c r="X654" s="5">
        <f t="shared" si="256"/>
        <v>-11.863855888326007</v>
      </c>
      <c r="Y654" s="5">
        <f t="shared" si="257"/>
        <v>7.8715093634915512</v>
      </c>
      <c r="Z654" s="5">
        <f>1</f>
        <v>1</v>
      </c>
      <c r="AA654" s="5">
        <f>IF(M654=0,0,const*($T654/omega)*O654*(wy*I654-wz*(H654-V654))/Z654)</f>
        <v>0</v>
      </c>
      <c r="AB654" s="5">
        <f>IF(M654=0,0,const*($T654/omega)*O654*(wz*(G654-U654)-wx*I654)/Z654)</f>
        <v>5.100382715403434</v>
      </c>
      <c r="AC654" s="5">
        <f>IF(M654=0,0,const*($T654/omega)*O654*(wx*(H654-V654)-wy*(G654-U654))/Z654)</f>
        <v>7.6872430326392731</v>
      </c>
      <c r="AD654" s="5">
        <f t="shared" si="270"/>
        <v>0</v>
      </c>
      <c r="AE654" s="5">
        <f t="shared" si="270"/>
        <v>-6.7634731729225734</v>
      </c>
      <c r="AF654" s="5">
        <f t="shared" si="258"/>
        <v>-16.615247603869175</v>
      </c>
      <c r="AG654">
        <f t="shared" si="269"/>
        <v>0</v>
      </c>
    </row>
    <row r="655" spans="1:33" x14ac:dyDescent="0.2">
      <c r="A655">
        <f t="shared" si="259"/>
        <v>6.2299999999999116</v>
      </c>
      <c r="B655" s="5">
        <f t="shared" si="260"/>
        <v>0</v>
      </c>
      <c r="C655" s="5">
        <f t="shared" si="261"/>
        <v>911.5748903783383</v>
      </c>
      <c r="D655" s="5">
        <f t="shared" si="262"/>
        <v>-72.003503237434785</v>
      </c>
      <c r="E655" s="2">
        <f t="shared" si="244"/>
        <v>303.85829679277941</v>
      </c>
      <c r="F655" s="2">
        <f t="shared" si="263"/>
        <v>0</v>
      </c>
      <c r="G655" s="3">
        <f t="shared" si="264"/>
        <v>0</v>
      </c>
      <c r="H655" s="3">
        <f t="shared" si="265"/>
        <v>103.53798861803821</v>
      </c>
      <c r="I655" s="3">
        <f t="shared" si="266"/>
        <v>-68.907094879979596</v>
      </c>
      <c r="J655" s="2">
        <f t="shared" si="245"/>
        <v>124.37163186139965</v>
      </c>
      <c r="K655" s="2">
        <f t="shared" si="267"/>
        <v>84.779571820994988</v>
      </c>
      <c r="L655" s="5">
        <f t="shared" si="246"/>
        <v>28.136796622020835</v>
      </c>
      <c r="M655" s="3">
        <f t="shared" si="247"/>
        <v>17.620374413186479</v>
      </c>
      <c r="N655" s="2">
        <v>0</v>
      </c>
      <c r="O655" s="2">
        <f t="shared" si="248"/>
        <v>124.37163186139965</v>
      </c>
      <c r="P655" s="2">
        <f t="shared" si="249"/>
        <v>84.779571820994988</v>
      </c>
      <c r="Q655" s="5">
        <f t="shared" si="250"/>
        <v>1.0482005894934971</v>
      </c>
      <c r="R655" s="5">
        <f t="shared" si="251"/>
        <v>0.16205068828840802</v>
      </c>
      <c r="S655" s="4">
        <f t="shared" si="268"/>
        <v>0.14167518870237797</v>
      </c>
      <c r="T655" s="5">
        <f t="shared" si="252"/>
        <v>0.10498542822113888</v>
      </c>
      <c r="U655" s="4">
        <f t="shared" si="253"/>
        <v>0</v>
      </c>
      <c r="V655" s="4">
        <f t="shared" si="254"/>
        <v>0</v>
      </c>
      <c r="W655" s="5">
        <f t="shared" si="255"/>
        <v>0</v>
      </c>
      <c r="X655" s="5">
        <f t="shared" si="256"/>
        <v>-11.857981678278586</v>
      </c>
      <c r="Y655" s="5">
        <f t="shared" si="257"/>
        <v>7.8917803938085056</v>
      </c>
      <c r="Z655" s="5">
        <f>1</f>
        <v>1</v>
      </c>
      <c r="AA655" s="5">
        <f>IF(M655=0,0,const*($T655/omega)*O655*(wy*I655-wz*(H655-V655))/Z655)</f>
        <v>0</v>
      </c>
      <c r="AB655" s="5">
        <f>IF(M655=0,0,const*($T655/omega)*O655*(wz*(G655-U655)-wx*I655)/Z655)</f>
        <v>5.1127332615620897</v>
      </c>
      <c r="AC655" s="5">
        <f>IF(M655=0,0,const*($T655/omega)*O655*(wx*(H655-V655)-wy*(G655-U655))/Z655)</f>
        <v>7.6822585419499818</v>
      </c>
      <c r="AD655" s="5">
        <f t="shared" si="270"/>
        <v>0</v>
      </c>
      <c r="AE655" s="5">
        <f t="shared" si="270"/>
        <v>-6.7452484167164961</v>
      </c>
      <c r="AF655" s="5">
        <f t="shared" si="258"/>
        <v>-16.599961064241512</v>
      </c>
      <c r="AG655">
        <f t="shared" si="269"/>
        <v>0</v>
      </c>
    </row>
    <row r="656" spans="1:33" x14ac:dyDescent="0.2">
      <c r="A656">
        <f t="shared" si="259"/>
        <v>6.2399999999999114</v>
      </c>
      <c r="B656" s="5">
        <f t="shared" si="260"/>
        <v>0</v>
      </c>
      <c r="C656" s="5">
        <f t="shared" si="261"/>
        <v>912.60993300209782</v>
      </c>
      <c r="D656" s="5">
        <f t="shared" si="262"/>
        <v>-72.693404184287786</v>
      </c>
      <c r="E656" s="2">
        <f t="shared" si="244"/>
        <v>304.20331100069927</v>
      </c>
      <c r="F656" s="2">
        <f t="shared" si="263"/>
        <v>0</v>
      </c>
      <c r="G656" s="3">
        <f t="shared" si="264"/>
        <v>0</v>
      </c>
      <c r="H656" s="3">
        <f t="shared" si="265"/>
        <v>103.47053613387105</v>
      </c>
      <c r="I656" s="3">
        <f t="shared" si="266"/>
        <v>-69.073094490622012</v>
      </c>
      <c r="J656" s="2">
        <f t="shared" si="245"/>
        <v>124.40757304256486</v>
      </c>
      <c r="K656" s="2">
        <f t="shared" si="267"/>
        <v>84.804071603657022</v>
      </c>
      <c r="L656" s="5">
        <f t="shared" si="246"/>
        <v>28.128667939175664</v>
      </c>
      <c r="M656" s="3">
        <f t="shared" si="247"/>
        <v>17.61298430244889</v>
      </c>
      <c r="N656" s="2">
        <v>0</v>
      </c>
      <c r="O656" s="2">
        <f t="shared" si="248"/>
        <v>124.40757304256486</v>
      </c>
      <c r="P656" s="2">
        <f t="shared" si="249"/>
        <v>84.804071603657022</v>
      </c>
      <c r="Q656" s="5">
        <f t="shared" si="250"/>
        <v>1.0485035007500323</v>
      </c>
      <c r="R656" s="5">
        <f t="shared" si="251"/>
        <v>0.16202974677920795</v>
      </c>
      <c r="S656" s="4">
        <f t="shared" si="268"/>
        <v>0.14157485651153065</v>
      </c>
      <c r="T656" s="5">
        <f t="shared" si="252"/>
        <v>0.10495568227382369</v>
      </c>
      <c r="U656" s="4">
        <f t="shared" si="253"/>
        <v>0</v>
      </c>
      <c r="V656" s="4">
        <f t="shared" si="254"/>
        <v>0</v>
      </c>
      <c r="W656" s="5">
        <f t="shared" si="255"/>
        <v>0</v>
      </c>
      <c r="X656" s="5">
        <f t="shared" si="256"/>
        <v>-11.852149174699948</v>
      </c>
      <c r="Y656" s="5">
        <f t="shared" si="257"/>
        <v>7.9120554551085149</v>
      </c>
      <c r="Z656" s="5">
        <f>1</f>
        <v>1</v>
      </c>
      <c r="AA656" s="5">
        <f>IF(M656=0,0,const*($T656/omega)*O656*(wy*I656-wz*(H656-V656))/Z656)</f>
        <v>0</v>
      </c>
      <c r="AB656" s="5">
        <f>IF(M656=0,0,const*($T656/omega)*O656*(wz*(G656-U656)-wx*I656)/Z656)</f>
        <v>5.1250785425889696</v>
      </c>
      <c r="AC656" s="5">
        <f>IF(M656=0,0,const*($T656/omega)*O656*(wx*(H656-V656)-wy*(G656-U656))/Z656)</f>
        <v>7.6772964703626636</v>
      </c>
      <c r="AD656" s="5">
        <f t="shared" si="270"/>
        <v>0</v>
      </c>
      <c r="AE656" s="5">
        <f t="shared" si="270"/>
        <v>-6.7270706321109781</v>
      </c>
      <c r="AF656" s="5">
        <f t="shared" si="258"/>
        <v>-16.584648074528822</v>
      </c>
      <c r="AG656">
        <f t="shared" si="269"/>
        <v>0</v>
      </c>
    </row>
    <row r="657" spans="1:33" x14ac:dyDescent="0.2">
      <c r="A657">
        <f t="shared" si="259"/>
        <v>6.2499999999999112</v>
      </c>
      <c r="B657" s="5">
        <f t="shared" si="260"/>
        <v>0</v>
      </c>
      <c r="C657" s="5">
        <f t="shared" si="261"/>
        <v>913.644302009905</v>
      </c>
      <c r="D657" s="5">
        <f t="shared" si="262"/>
        <v>-73.384964361597739</v>
      </c>
      <c r="E657" s="2">
        <f t="shared" si="244"/>
        <v>304.54810066996833</v>
      </c>
      <c r="F657" s="2">
        <f t="shared" si="263"/>
        <v>0</v>
      </c>
      <c r="G657" s="3">
        <f t="shared" si="264"/>
        <v>0</v>
      </c>
      <c r="H657" s="3">
        <f t="shared" si="265"/>
        <v>103.40326542754994</v>
      </c>
      <c r="I657" s="3">
        <f t="shared" si="266"/>
        <v>-69.238940971367299</v>
      </c>
      <c r="J657" s="2">
        <f t="shared" si="245"/>
        <v>124.44382768107397</v>
      </c>
      <c r="K657" s="2">
        <f t="shared" si="267"/>
        <v>84.828785058673461</v>
      </c>
      <c r="L657" s="5">
        <f t="shared" si="246"/>
        <v>28.120473119819167</v>
      </c>
      <c r="M657" s="3">
        <f t="shared" si="247"/>
        <v>17.605583818491276</v>
      </c>
      <c r="N657" s="2">
        <v>0</v>
      </c>
      <c r="O657" s="2">
        <f t="shared" si="248"/>
        <v>124.44382768107397</v>
      </c>
      <c r="P657" s="2">
        <f t="shared" si="249"/>
        <v>84.828785058673461</v>
      </c>
      <c r="Q657" s="5">
        <f t="shared" si="250"/>
        <v>1.0488090538161807</v>
      </c>
      <c r="R657" s="5">
        <f t="shared" si="251"/>
        <v>0.16200872558897086</v>
      </c>
      <c r="S657" s="4">
        <f t="shared" si="268"/>
        <v>0.1414741425634308</v>
      </c>
      <c r="T657" s="5">
        <f t="shared" si="252"/>
        <v>0.10492581042183922</v>
      </c>
      <c r="U657" s="4">
        <f t="shared" si="253"/>
        <v>0</v>
      </c>
      <c r="V657" s="4">
        <f t="shared" si="254"/>
        <v>0</v>
      </c>
      <c r="W657" s="5">
        <f t="shared" si="255"/>
        <v>0</v>
      </c>
      <c r="X657" s="5">
        <f t="shared" si="256"/>
        <v>-11.846358157191055</v>
      </c>
      <c r="Y657" s="5">
        <f t="shared" si="257"/>
        <v>7.9323345329565536</v>
      </c>
      <c r="Z657" s="5">
        <f>1</f>
        <v>1</v>
      </c>
      <c r="AA657" s="5">
        <f>IF(M657=0,0,const*($T657/omega)*O657*(wy*I657-wz*(H657-V657))/Z657)</f>
        <v>0</v>
      </c>
      <c r="AB657" s="5">
        <f>IF(M657=0,0,const*($T657/omega)*O657*(wz*(G657-U657)-wx*I657)/Z657)</f>
        <v>5.1374185333649054</v>
      </c>
      <c r="AC657" s="5">
        <f>IF(M657=0,0,const*($T657/omega)*O657*(wx*(H657-V657)-wy*(G657-U657))/Z657)</f>
        <v>7.672356693578342</v>
      </c>
      <c r="AD657" s="5">
        <f t="shared" si="270"/>
        <v>0</v>
      </c>
      <c r="AE657" s="5">
        <f t="shared" si="270"/>
        <v>-6.7089396238261498</v>
      </c>
      <c r="AF657" s="5">
        <f t="shared" si="258"/>
        <v>-16.569308773465103</v>
      </c>
      <c r="AG657">
        <f t="shared" si="269"/>
        <v>0</v>
      </c>
    </row>
    <row r="658" spans="1:33" x14ac:dyDescent="0.2">
      <c r="A658">
        <f t="shared" si="259"/>
        <v>6.259999999999911</v>
      </c>
      <c r="B658" s="5">
        <f t="shared" si="260"/>
        <v>0</v>
      </c>
      <c r="C658" s="5">
        <f t="shared" si="261"/>
        <v>914.67799921719927</v>
      </c>
      <c r="D658" s="5">
        <f t="shared" si="262"/>
        <v>-74.078182236750081</v>
      </c>
      <c r="E658" s="2">
        <f t="shared" si="244"/>
        <v>304.89266640573311</v>
      </c>
      <c r="F658" s="2">
        <f t="shared" si="263"/>
        <v>0</v>
      </c>
      <c r="G658" s="3">
        <f t="shared" si="264"/>
        <v>0</v>
      </c>
      <c r="H658" s="3">
        <f t="shared" si="265"/>
        <v>103.33617603131168</v>
      </c>
      <c r="I658" s="3">
        <f t="shared" si="266"/>
        <v>-69.404634059101951</v>
      </c>
      <c r="J658" s="2">
        <f t="shared" si="245"/>
        <v>124.48039406128215</v>
      </c>
      <c r="K658" s="2">
        <f t="shared" si="267"/>
        <v>84.853711016552253</v>
      </c>
      <c r="L658" s="5">
        <f t="shared" si="246"/>
        <v>28.112212671099609</v>
      </c>
      <c r="M658" s="3">
        <f t="shared" si="247"/>
        <v>17.598172983715916</v>
      </c>
      <c r="N658" s="2">
        <v>0</v>
      </c>
      <c r="O658" s="2">
        <f t="shared" si="248"/>
        <v>124.48039406128215</v>
      </c>
      <c r="P658" s="2">
        <f t="shared" si="249"/>
        <v>84.853711016552253</v>
      </c>
      <c r="Q658" s="5">
        <f t="shared" si="250"/>
        <v>1.0491172342325363</v>
      </c>
      <c r="R658" s="5">
        <f t="shared" si="251"/>
        <v>0.16198762539036982</v>
      </c>
      <c r="S658" s="4">
        <f t="shared" si="268"/>
        <v>0.14137305008090087</v>
      </c>
      <c r="T658" s="5">
        <f t="shared" si="252"/>
        <v>0.10489581346212784</v>
      </c>
      <c r="U658" s="4">
        <f t="shared" si="253"/>
        <v>0</v>
      </c>
      <c r="V658" s="4">
        <f t="shared" si="254"/>
        <v>0</v>
      </c>
      <c r="W658" s="5">
        <f t="shared" si="255"/>
        <v>0</v>
      </c>
      <c r="X658" s="5">
        <f t="shared" si="256"/>
        <v>-11.84060840639161</v>
      </c>
      <c r="Y658" s="5">
        <f t="shared" si="257"/>
        <v>7.9526176121876837</v>
      </c>
      <c r="Z658" s="5">
        <f>1</f>
        <v>1</v>
      </c>
      <c r="AA658" s="5">
        <f>IF(M658=0,0,const*($T658/omega)*O658*(wy*I658-wz*(H658-V658))/Z658)</f>
        <v>0</v>
      </c>
      <c r="AB658" s="5">
        <f>IF(M658=0,0,const*($T658/omega)*O658*(wz*(G658-U658)-wx*I658)/Z658)</f>
        <v>5.149753208452581</v>
      </c>
      <c r="AC658" s="5">
        <f>IF(M658=0,0,const*($T658/omega)*O658*(wx*(H658-V658)-wy*(G658-U658))/Z658)</f>
        <v>7.6674390879045244</v>
      </c>
      <c r="AD658" s="5">
        <f t="shared" si="270"/>
        <v>0</v>
      </c>
      <c r="AE658" s="5">
        <f t="shared" si="270"/>
        <v>-6.6908551979390287</v>
      </c>
      <c r="AF658" s="5">
        <f t="shared" si="258"/>
        <v>-16.553943299907793</v>
      </c>
      <c r="AG658">
        <f t="shared" si="269"/>
        <v>0</v>
      </c>
    </row>
    <row r="659" spans="1:33" x14ac:dyDescent="0.2">
      <c r="A659">
        <f t="shared" si="259"/>
        <v>6.2699999999999108</v>
      </c>
      <c r="B659" s="5">
        <f t="shared" si="260"/>
        <v>0</v>
      </c>
      <c r="C659" s="5">
        <f t="shared" si="261"/>
        <v>915.71102643475251</v>
      </c>
      <c r="D659" s="5">
        <f t="shared" si="262"/>
        <v>-74.773056274506089</v>
      </c>
      <c r="E659" s="2">
        <f t="shared" si="244"/>
        <v>305.23700881158419</v>
      </c>
      <c r="F659" s="2">
        <f t="shared" si="263"/>
        <v>0</v>
      </c>
      <c r="G659" s="3">
        <f t="shared" si="264"/>
        <v>0</v>
      </c>
      <c r="H659" s="3">
        <f t="shared" si="265"/>
        <v>103.26926747933229</v>
      </c>
      <c r="I659" s="3">
        <f t="shared" si="266"/>
        <v>-69.570173492101034</v>
      </c>
      <c r="J659" s="2">
        <f t="shared" si="245"/>
        <v>124.51727047056129</v>
      </c>
      <c r="K659" s="2">
        <f t="shared" si="267"/>
        <v>84.878848309857716</v>
      </c>
      <c r="L659" s="5">
        <f t="shared" si="246"/>
        <v>28.103887099423616</v>
      </c>
      <c r="M659" s="3">
        <f t="shared" si="247"/>
        <v>17.590751820780817</v>
      </c>
      <c r="N659" s="2">
        <v>0</v>
      </c>
      <c r="O659" s="2">
        <f t="shared" si="248"/>
        <v>124.51727047056129</v>
      </c>
      <c r="P659" s="2">
        <f t="shared" si="249"/>
        <v>84.878848309857716</v>
      </c>
      <c r="Q659" s="5">
        <f t="shared" si="250"/>
        <v>1.0494280275651173</v>
      </c>
      <c r="R659" s="5">
        <f t="shared" si="251"/>
        <v>0.16196644685503153</v>
      </c>
      <c r="S659" s="4">
        <f t="shared" si="268"/>
        <v>0.14127158228174999</v>
      </c>
      <c r="T659" s="5">
        <f t="shared" si="252"/>
        <v>0.104865692190883</v>
      </c>
      <c r="U659" s="4">
        <f t="shared" si="253"/>
        <v>0</v>
      </c>
      <c r="V659" s="4">
        <f t="shared" si="254"/>
        <v>0</v>
      </c>
      <c r="W659" s="5">
        <f t="shared" si="255"/>
        <v>0</v>
      </c>
      <c r="X659" s="5">
        <f t="shared" si="256"/>
        <v>-11.834899703976429</v>
      </c>
      <c r="Y659" s="5">
        <f t="shared" si="257"/>
        <v>7.9729046769121039</v>
      </c>
      <c r="Z659" s="5">
        <f>1</f>
        <v>1</v>
      </c>
      <c r="AA659" s="5">
        <f>IF(M659=0,0,const*($T659/omega)*O659*(wy*I659-wz*(H659-V659))/Z659)</f>
        <v>0</v>
      </c>
      <c r="AB659" s="5">
        <f>IF(M659=0,0,const*($T659/omega)*O659*(wz*(G659-U659)-wx*I659)/Z659)</f>
        <v>5.1620825420999408</v>
      </c>
      <c r="AC659" s="5">
        <f>IF(M659=0,0,const*($T659/omega)*O659*(wx*(H659-V659)-wy*(G659-U659))/Z659)</f>
        <v>7.6625435302534726</v>
      </c>
      <c r="AD659" s="5">
        <f t="shared" si="270"/>
        <v>0</v>
      </c>
      <c r="AE659" s="5">
        <f t="shared" si="270"/>
        <v>-6.6728171618764884</v>
      </c>
      <c r="AF659" s="5">
        <f t="shared" si="258"/>
        <v>-16.538551792834422</v>
      </c>
      <c r="AG659">
        <f t="shared" si="269"/>
        <v>0</v>
      </c>
    </row>
    <row r="660" spans="1:33" x14ac:dyDescent="0.2">
      <c r="A660">
        <f t="shared" si="259"/>
        <v>6.2799999999999105</v>
      </c>
      <c r="B660" s="5">
        <f t="shared" si="260"/>
        <v>0</v>
      </c>
      <c r="C660" s="5">
        <f t="shared" si="261"/>
        <v>916.74338546868773</v>
      </c>
      <c r="D660" s="5">
        <f t="shared" si="262"/>
        <v>-75.469584937016748</v>
      </c>
      <c r="E660" s="2">
        <f t="shared" si="244"/>
        <v>305.58112848956256</v>
      </c>
      <c r="F660" s="2">
        <f t="shared" si="263"/>
        <v>0</v>
      </c>
      <c r="G660" s="3">
        <f t="shared" si="264"/>
        <v>0</v>
      </c>
      <c r="H660" s="3">
        <f t="shared" si="265"/>
        <v>103.20253930771352</v>
      </c>
      <c r="I660" s="3">
        <f t="shared" si="266"/>
        <v>-69.735559010029377</v>
      </c>
      <c r="J660" s="2">
        <f t="shared" si="245"/>
        <v>124.55445519932816</v>
      </c>
      <c r="K660" s="2">
        <f t="shared" si="267"/>
        <v>84.90419577322983</v>
      </c>
      <c r="L660" s="5">
        <f t="shared" si="246"/>
        <v>28.09549691043026</v>
      </c>
      <c r="M660" s="3">
        <f t="shared" si="247"/>
        <v>17.58332035259744</v>
      </c>
      <c r="N660" s="2">
        <v>0</v>
      </c>
      <c r="O660" s="2">
        <f t="shared" si="248"/>
        <v>124.55445519932816</v>
      </c>
      <c r="P660" s="2">
        <f t="shared" si="249"/>
        <v>84.90419577322983</v>
      </c>
      <c r="Q660" s="5">
        <f t="shared" si="250"/>
        <v>1.0497414194056058</v>
      </c>
      <c r="R660" s="5">
        <f t="shared" si="251"/>
        <v>0.16194519065350238</v>
      </c>
      <c r="S660" s="4">
        <f t="shared" si="268"/>
        <v>0.1411697423786113</v>
      </c>
      <c r="T660" s="5">
        <f t="shared" si="252"/>
        <v>0.1048354474035135</v>
      </c>
      <c r="U660" s="4">
        <f t="shared" si="253"/>
        <v>0</v>
      </c>
      <c r="V660" s="4">
        <f t="shared" si="254"/>
        <v>0</v>
      </c>
      <c r="W660" s="5">
        <f t="shared" si="255"/>
        <v>0</v>
      </c>
      <c r="X660" s="5">
        <f t="shared" si="256"/>
        <v>-11.829231832651821</v>
      </c>
      <c r="Y660" s="5">
        <f t="shared" si="257"/>
        <v>7.9931957105202098</v>
      </c>
      <c r="Z660" s="5">
        <f>1</f>
        <v>1</v>
      </c>
      <c r="AA660" s="5">
        <f>IF(M660=0,0,const*($T660/omega)*O660*(wy*I660-wz*(H660-V660))/Z660)</f>
        <v>0</v>
      </c>
      <c r="AB660" s="5">
        <f>IF(M660=0,0,const*($T660/omega)*O660*(wz*(G660-U660)-wx*I660)/Z660)</f>
        <v>5.1744065082435862</v>
      </c>
      <c r="AC660" s="5">
        <f>IF(M660=0,0,const*($T660/omega)*O660*(wx*(H660-V660)-wy*(G660-U660))/Z660)</f>
        <v>7.6576698981404272</v>
      </c>
      <c r="AD660" s="5">
        <f t="shared" si="270"/>
        <v>0</v>
      </c>
      <c r="AE660" s="5">
        <f t="shared" si="270"/>
        <v>-6.6548253244082352</v>
      </c>
      <c r="AF660" s="5">
        <f t="shared" si="258"/>
        <v>-16.523134391339362</v>
      </c>
      <c r="AG660">
        <f t="shared" si="269"/>
        <v>0</v>
      </c>
    </row>
    <row r="661" spans="1:33" x14ac:dyDescent="0.2">
      <c r="A661">
        <f t="shared" si="259"/>
        <v>6.2899999999999103</v>
      </c>
      <c r="B661" s="5">
        <f t="shared" si="260"/>
        <v>0</v>
      </c>
      <c r="C661" s="5">
        <f t="shared" si="261"/>
        <v>917.77507812049862</v>
      </c>
      <c r="D661" s="5">
        <f t="shared" si="262"/>
        <v>-76.167766683836604</v>
      </c>
      <c r="E661" s="2">
        <f t="shared" si="244"/>
        <v>305.92502604016619</v>
      </c>
      <c r="F661" s="2">
        <f t="shared" si="263"/>
        <v>0</v>
      </c>
      <c r="G661" s="3">
        <f t="shared" si="264"/>
        <v>0</v>
      </c>
      <c r="H661" s="3">
        <f t="shared" si="265"/>
        <v>103.13599105446944</v>
      </c>
      <c r="I661" s="3">
        <f t="shared" si="266"/>
        <v>-69.900790353942767</v>
      </c>
      <c r="J661" s="2">
        <f t="shared" si="245"/>
        <v>124.59194654107247</v>
      </c>
      <c r="K661" s="2">
        <f t="shared" si="267"/>
        <v>84.929752243403186</v>
      </c>
      <c r="L661" s="5">
        <f t="shared" si="246"/>
        <v>28.087042608965454</v>
      </c>
      <c r="M661" s="3">
        <f t="shared" si="247"/>
        <v>17.575878602328437</v>
      </c>
      <c r="N661" s="2">
        <v>0</v>
      </c>
      <c r="O661" s="2">
        <f t="shared" si="248"/>
        <v>124.59194654107247</v>
      </c>
      <c r="P661" s="2">
        <f t="shared" si="249"/>
        <v>84.929752243403186</v>
      </c>
      <c r="Q661" s="5">
        <f t="shared" si="250"/>
        <v>1.050057395371581</v>
      </c>
      <c r="R661" s="5">
        <f t="shared" si="251"/>
        <v>0.16192385745521481</v>
      </c>
      <c r="S661" s="4">
        <f t="shared" si="268"/>
        <v>0.14106753357878107</v>
      </c>
      <c r="T661" s="5">
        <f t="shared" si="252"/>
        <v>0.10480507989460802</v>
      </c>
      <c r="U661" s="4">
        <f t="shared" si="253"/>
        <v>0</v>
      </c>
      <c r="V661" s="4">
        <f t="shared" si="254"/>
        <v>0</v>
      </c>
      <c r="W661" s="5">
        <f t="shared" si="255"/>
        <v>0</v>
      </c>
      <c r="X661" s="5">
        <f t="shared" si="256"/>
        <v>-11.823604576151942</v>
      </c>
      <c r="Y661" s="5">
        <f t="shared" si="257"/>
        <v>8.0134906956876453</v>
      </c>
      <c r="Z661" s="5">
        <f>1</f>
        <v>1</v>
      </c>
      <c r="AA661" s="5">
        <f>IF(M661=0,0,const*($T661/omega)*O661*(wy*I661-wz*(H661-V661))/Z661)</f>
        <v>0</v>
      </c>
      <c r="AB661" s="5">
        <f>IF(M661=0,0,const*($T661/omega)*O661*(wz*(G661-U661)-wx*I661)/Z661)</f>
        <v>5.1867250805121792</v>
      </c>
      <c r="AC661" s="5">
        <f>IF(M661=0,0,const*($T661/omega)*O661*(wx*(H661-V661)-wy*(G661-U661))/Z661)</f>
        <v>7.6528180696818575</v>
      </c>
      <c r="AD661" s="5">
        <f t="shared" si="270"/>
        <v>0</v>
      </c>
      <c r="AE661" s="5">
        <f t="shared" si="270"/>
        <v>-6.6368794956397625</v>
      </c>
      <c r="AF661" s="5">
        <f t="shared" si="258"/>
        <v>-16.507691234630496</v>
      </c>
      <c r="AG661">
        <f t="shared" si="269"/>
        <v>0</v>
      </c>
    </row>
    <row r="662" spans="1:33" x14ac:dyDescent="0.2">
      <c r="A662">
        <f t="shared" si="259"/>
        <v>6.2999999999999101</v>
      </c>
      <c r="B662" s="5">
        <f t="shared" si="260"/>
        <v>0</v>
      </c>
      <c r="C662" s="5">
        <f t="shared" si="261"/>
        <v>918.80610618706851</v>
      </c>
      <c r="D662" s="5">
        <f t="shared" si="262"/>
        <v>-76.867599971937764</v>
      </c>
      <c r="E662" s="2">
        <f t="shared" si="244"/>
        <v>306.26870206235617</v>
      </c>
      <c r="F662" s="2">
        <f t="shared" si="263"/>
        <v>0</v>
      </c>
      <c r="G662" s="3">
        <f t="shared" si="264"/>
        <v>0</v>
      </c>
      <c r="H662" s="3">
        <f t="shared" si="265"/>
        <v>103.06962225951304</v>
      </c>
      <c r="I662" s="3">
        <f t="shared" si="266"/>
        <v>-70.065867266289075</v>
      </c>
      <c r="J662" s="2">
        <f t="shared" si="245"/>
        <v>124.62974279238462</v>
      </c>
      <c r="K662" s="2">
        <f t="shared" si="267"/>
        <v>84.955516559226041</v>
      </c>
      <c r="L662" s="5">
        <f t="shared" si="246"/>
        <v>28.078524699056651</v>
      </c>
      <c r="M662" s="3">
        <f t="shared" si="247"/>
        <v>17.568426593385379</v>
      </c>
      <c r="N662" s="2">
        <v>0</v>
      </c>
      <c r="O662" s="2">
        <f t="shared" si="248"/>
        <v>124.62974279238462</v>
      </c>
      <c r="P662" s="2">
        <f t="shared" si="249"/>
        <v>84.955516559226041</v>
      </c>
      <c r="Q662" s="5">
        <f t="shared" si="250"/>
        <v>1.0503759411067544</v>
      </c>
      <c r="R662" s="5">
        <f t="shared" si="251"/>
        <v>0.16190244792845418</v>
      </c>
      <c r="S662" s="4">
        <f t="shared" si="268"/>
        <v>0.14096495908405968</v>
      </c>
      <c r="T662" s="5">
        <f t="shared" si="252"/>
        <v>0.10477459045790019</v>
      </c>
      <c r="U662" s="4">
        <f t="shared" si="253"/>
        <v>0</v>
      </c>
      <c r="V662" s="4">
        <f t="shared" si="254"/>
        <v>0</v>
      </c>
      <c r="W662" s="5">
        <f t="shared" si="255"/>
        <v>0</v>
      </c>
      <c r="X662" s="5">
        <f t="shared" si="256"/>
        <v>-11.818017719235186</v>
      </c>
      <c r="Y662" s="5">
        <f t="shared" si="257"/>
        <v>8.0337896143803817</v>
      </c>
      <c r="Z662" s="5">
        <f>1</f>
        <v>1</v>
      </c>
      <c r="AA662" s="5">
        <f>IF(M662=0,0,const*($T662/omega)*O662*(wy*I662-wz*(H662-V662))/Z662)</f>
        <v>0</v>
      </c>
      <c r="AB662" s="5">
        <f>IF(M662=0,0,const*($T662/omega)*O662*(wz*(G662-U662)-wx*I662)/Z662)</f>
        <v>5.1990382322298538</v>
      </c>
      <c r="AC662" s="5">
        <f>IF(M662=0,0,const*($T662/omega)*O662*(wx*(H662-V662)-wy*(G662-U662))/Z662)</f>
        <v>7.6479879235936927</v>
      </c>
      <c r="AD662" s="5">
        <f t="shared" si="270"/>
        <v>0</v>
      </c>
      <c r="AE662" s="5">
        <f t="shared" si="270"/>
        <v>-6.6189794870053325</v>
      </c>
      <c r="AF662" s="5">
        <f t="shared" si="258"/>
        <v>-16.492222462025925</v>
      </c>
      <c r="AG662">
        <f t="shared" si="269"/>
        <v>0</v>
      </c>
    </row>
    <row r="663" spans="1:33" x14ac:dyDescent="0.2">
      <c r="A663">
        <f t="shared" si="259"/>
        <v>6.3099999999999099</v>
      </c>
      <c r="B663" s="5">
        <f t="shared" si="260"/>
        <v>0</v>
      </c>
      <c r="C663" s="5">
        <f t="shared" si="261"/>
        <v>919.83647146068927</v>
      </c>
      <c r="D663" s="5">
        <f t="shared" si="262"/>
        <v>-77.569083255723768</v>
      </c>
      <c r="E663" s="2">
        <f t="shared" si="244"/>
        <v>306.61215715356309</v>
      </c>
      <c r="F663" s="2">
        <f t="shared" si="263"/>
        <v>0</v>
      </c>
      <c r="G663" s="3">
        <f t="shared" si="264"/>
        <v>0</v>
      </c>
      <c r="H663" s="3">
        <f t="shared" si="265"/>
        <v>103.00343246464298</v>
      </c>
      <c r="I663" s="3">
        <f t="shared" si="266"/>
        <v>-70.230789490909331</v>
      </c>
      <c r="J663" s="2">
        <f t="shared" si="245"/>
        <v>124.66784225298314</v>
      </c>
      <c r="K663" s="2">
        <f t="shared" si="267"/>
        <v>84.981487561679018</v>
      </c>
      <c r="L663" s="5">
        <f t="shared" si="246"/>
        <v>28.069943683887832</v>
      </c>
      <c r="M663" s="3">
        <f t="shared" si="247"/>
        <v>17.560964349426488</v>
      </c>
      <c r="N663" s="2">
        <v>0</v>
      </c>
      <c r="O663" s="2">
        <f t="shared" si="248"/>
        <v>124.66784225298314</v>
      </c>
      <c r="P663" s="2">
        <f t="shared" si="249"/>
        <v>84.981487561679018</v>
      </c>
      <c r="Q663" s="5">
        <f t="shared" si="250"/>
        <v>1.0506970422812028</v>
      </c>
      <c r="R663" s="5">
        <f t="shared" si="251"/>
        <v>0.16188096274032596</v>
      </c>
      <c r="S663" s="4">
        <f t="shared" si="268"/>
        <v>0.14086202209059473</v>
      </c>
      <c r="T663" s="5">
        <f t="shared" si="252"/>
        <v>0.10474397988623381</v>
      </c>
      <c r="U663" s="4">
        <f t="shared" si="253"/>
        <v>0</v>
      </c>
      <c r="V663" s="4">
        <f t="shared" si="254"/>
        <v>0</v>
      </c>
      <c r="W663" s="5">
        <f t="shared" si="255"/>
        <v>0</v>
      </c>
      <c r="X663" s="5">
        <f t="shared" si="256"/>
        <v>-11.812471047680575</v>
      </c>
      <c r="Y663" s="5">
        <f t="shared" si="257"/>
        <v>8.0540924478597766</v>
      </c>
      <c r="Z663" s="5">
        <f>1</f>
        <v>1</v>
      </c>
      <c r="AA663" s="5">
        <f>IF(M663=0,0,const*($T663/omega)*O663*(wy*I663-wz*(H663-V663))/Z663)</f>
        <v>0</v>
      </c>
      <c r="AB663" s="5">
        <f>IF(M663=0,0,const*($T663/omega)*O663*(wz*(G663-U663)-wx*I663)/Z663)</f>
        <v>5.2113459364196109</v>
      </c>
      <c r="AC663" s="5">
        <f>IF(M663=0,0,const*($T663/omega)*O663*(wx*(H663-V663)-wy*(G663-U663))/Z663)</f>
        <v>7.6431793391895537</v>
      </c>
      <c r="AD663" s="5">
        <f t="shared" si="270"/>
        <v>0</v>
      </c>
      <c r="AE663" s="5">
        <f t="shared" si="270"/>
        <v>-6.6011251112609637</v>
      </c>
      <c r="AF663" s="5">
        <f t="shared" si="258"/>
        <v>-16.476728212950668</v>
      </c>
      <c r="AG663">
        <f t="shared" si="269"/>
        <v>0</v>
      </c>
    </row>
    <row r="664" spans="1:33" x14ac:dyDescent="0.2">
      <c r="A664">
        <f t="shared" si="259"/>
        <v>6.3199999999999097</v>
      </c>
      <c r="B664" s="5">
        <f t="shared" si="260"/>
        <v>0</v>
      </c>
      <c r="C664" s="5">
        <f t="shared" si="261"/>
        <v>920.86617572908017</v>
      </c>
      <c r="D664" s="5">
        <f t="shared" si="262"/>
        <v>-78.272214987043512</v>
      </c>
      <c r="E664" s="2">
        <f t="shared" si="244"/>
        <v>306.95539190969339</v>
      </c>
      <c r="F664" s="2">
        <f t="shared" si="263"/>
        <v>0</v>
      </c>
      <c r="G664" s="3">
        <f t="shared" si="264"/>
        <v>0</v>
      </c>
      <c r="H664" s="3">
        <f t="shared" si="265"/>
        <v>102.93742121353037</v>
      </c>
      <c r="I664" s="3">
        <f t="shared" si="266"/>
        <v>-70.395556773038834</v>
      </c>
      <c r="J664" s="2">
        <f t="shared" si="245"/>
        <v>124.70624322574193</v>
      </c>
      <c r="K664" s="2">
        <f t="shared" si="267"/>
        <v>85.007664093893609</v>
      </c>
      <c r="L664" s="5">
        <f t="shared" si="246"/>
        <v>28.061300065774869</v>
      </c>
      <c r="M664" s="3">
        <f t="shared" si="247"/>
        <v>17.553491894354377</v>
      </c>
      <c r="N664" s="2">
        <v>0</v>
      </c>
      <c r="O664" s="2">
        <f t="shared" si="248"/>
        <v>124.70624322574193</v>
      </c>
      <c r="P664" s="2">
        <f t="shared" si="249"/>
        <v>85.007664093893609</v>
      </c>
      <c r="Q664" s="5">
        <f t="shared" si="250"/>
        <v>1.051020684591595</v>
      </c>
      <c r="R664" s="5">
        <f t="shared" si="251"/>
        <v>0.16185940255672338</v>
      </c>
      <c r="S664" s="4">
        <f t="shared" si="268"/>
        <v>0.140758725788726</v>
      </c>
      <c r="T664" s="5">
        <f t="shared" si="252"/>
        <v>0.10471324897152863</v>
      </c>
      <c r="U664" s="4">
        <f t="shared" si="253"/>
        <v>0</v>
      </c>
      <c r="V664" s="4">
        <f t="shared" si="254"/>
        <v>0</v>
      </c>
      <c r="W664" s="5">
        <f t="shared" si="255"/>
        <v>0</v>
      </c>
      <c r="X664" s="5">
        <f t="shared" si="256"/>
        <v>-11.806964348284117</v>
      </c>
      <c r="Y664" s="5">
        <f t="shared" si="257"/>
        <v>8.0743991766876562</v>
      </c>
      <c r="Z664" s="5">
        <f>1</f>
        <v>1</v>
      </c>
      <c r="AA664" s="5">
        <f>IF(M664=0,0,const*($T664/omega)*O664*(wy*I664-wz*(H664-V664))/Z664)</f>
        <v>0</v>
      </c>
      <c r="AB664" s="5">
        <f>IF(M664=0,0,const*($T664/omega)*O664*(wz*(G664-U664)-wx*I664)/Z664)</f>
        <v>5.2236481658067246</v>
      </c>
      <c r="AC664" s="5">
        <f>IF(M664=0,0,const*($T664/omega)*O664*(wx*(H664-V664)-wy*(G664-U664))/Z664)</f>
        <v>7.6383921963789625</v>
      </c>
      <c r="AD664" s="5">
        <f t="shared" si="270"/>
        <v>0</v>
      </c>
      <c r="AE664" s="5">
        <f t="shared" si="270"/>
        <v>-6.5833161824773923</v>
      </c>
      <c r="AF664" s="5">
        <f t="shared" si="258"/>
        <v>-16.461208626933381</v>
      </c>
      <c r="AG664">
        <f t="shared" si="269"/>
        <v>0</v>
      </c>
    </row>
    <row r="665" spans="1:33" x14ac:dyDescent="0.2">
      <c r="A665">
        <f t="shared" si="259"/>
        <v>6.3299999999999095</v>
      </c>
      <c r="B665" s="5">
        <f t="shared" si="260"/>
        <v>0</v>
      </c>
      <c r="C665" s="5">
        <f t="shared" si="261"/>
        <v>921.8952207754063</v>
      </c>
      <c r="D665" s="5">
        <f t="shared" si="262"/>
        <v>-78.976993615205245</v>
      </c>
      <c r="E665" s="2">
        <f t="shared" si="244"/>
        <v>307.29840692513545</v>
      </c>
      <c r="F665" s="2">
        <f t="shared" si="263"/>
        <v>0</v>
      </c>
      <c r="G665" s="3">
        <f t="shared" si="264"/>
        <v>0</v>
      </c>
      <c r="H665" s="3">
        <f t="shared" si="265"/>
        <v>102.8715880517056</v>
      </c>
      <c r="I665" s="3">
        <f t="shared" si="266"/>
        <v>-70.560168859308163</v>
      </c>
      <c r="J665" s="2">
        <f t="shared" si="245"/>
        <v>124.74494401671717</v>
      </c>
      <c r="K665" s="2">
        <f t="shared" si="267"/>
        <v>85.034045001170526</v>
      </c>
      <c r="L665" s="5">
        <f t="shared" si="246"/>
        <v>28.052594346141102</v>
      </c>
      <c r="M665" s="3">
        <f t="shared" si="247"/>
        <v>17.546009252313784</v>
      </c>
      <c r="N665" s="2">
        <v>0</v>
      </c>
      <c r="O665" s="2">
        <f t="shared" si="248"/>
        <v>124.74494401671717</v>
      </c>
      <c r="P665" s="2">
        <f t="shared" si="249"/>
        <v>85.034045001170526</v>
      </c>
      <c r="Q665" s="5">
        <f t="shared" si="250"/>
        <v>1.0513468537614208</v>
      </c>
      <c r="R665" s="5">
        <f t="shared" si="251"/>
        <v>0.1618377680422956</v>
      </c>
      <c r="S665" s="4">
        <f t="shared" si="268"/>
        <v>0.14065507336283248</v>
      </c>
      <c r="T665" s="5">
        <f t="shared" si="252"/>
        <v>0.10468239850474645</v>
      </c>
      <c r="U665" s="4">
        <f t="shared" si="253"/>
        <v>0</v>
      </c>
      <c r="V665" s="4">
        <f t="shared" si="254"/>
        <v>0</v>
      </c>
      <c r="W665" s="5">
        <f t="shared" si="255"/>
        <v>0</v>
      </c>
      <c r="X665" s="5">
        <f t="shared" si="256"/>
        <v>-11.801497408855228</v>
      </c>
      <c r="Y665" s="5">
        <f t="shared" si="257"/>
        <v>8.0947097807313995</v>
      </c>
      <c r="Z665" s="5">
        <f>1</f>
        <v>1</v>
      </c>
      <c r="AA665" s="5">
        <f>IF(M665=0,0,const*($T665/omega)*O665*(wy*I665-wz*(H665-V665))/Z665)</f>
        <v>0</v>
      </c>
      <c r="AB665" s="5">
        <f>IF(M665=0,0,const*($T665/omega)*O665*(wz*(G665-U665)-wx*I665)/Z665)</f>
        <v>5.2359448928221477</v>
      </c>
      <c r="AC665" s="5">
        <f>IF(M665=0,0,const*($T665/omega)*O665*(wx*(H665-V665)-wy*(G665-U665))/Z665)</f>
        <v>7.6336263756655791</v>
      </c>
      <c r="AD665" s="5">
        <f t="shared" si="270"/>
        <v>0</v>
      </c>
      <c r="AE665" s="5">
        <f t="shared" si="270"/>
        <v>-6.5655525160330805</v>
      </c>
      <c r="AF665" s="5">
        <f t="shared" si="258"/>
        <v>-16.445663843603022</v>
      </c>
      <c r="AG665">
        <f t="shared" si="269"/>
        <v>0</v>
      </c>
    </row>
    <row r="666" spans="1:33" x14ac:dyDescent="0.2">
      <c r="A666">
        <f t="shared" si="259"/>
        <v>6.3399999999999093</v>
      </c>
      <c r="B666" s="5">
        <f t="shared" si="260"/>
        <v>0</v>
      </c>
      <c r="C666" s="5">
        <f t="shared" si="261"/>
        <v>922.92360837829756</v>
      </c>
      <c r="D666" s="5">
        <f t="shared" si="262"/>
        <v>-79.683417586990501</v>
      </c>
      <c r="E666" s="2">
        <f t="shared" si="244"/>
        <v>307.64120279276585</v>
      </c>
      <c r="F666" s="2">
        <f t="shared" si="263"/>
        <v>0</v>
      </c>
      <c r="G666" s="3">
        <f t="shared" si="264"/>
        <v>0</v>
      </c>
      <c r="H666" s="3">
        <f t="shared" si="265"/>
        <v>102.80593252654526</v>
      </c>
      <c r="I666" s="3">
        <f t="shared" si="266"/>
        <v>-70.724625497744199</v>
      </c>
      <c r="J666" s="2">
        <f t="shared" si="245"/>
        <v>124.78394293517394</v>
      </c>
      <c r="K666" s="2">
        <f t="shared" si="267"/>
        <v>85.06062913099791</v>
      </c>
      <c r="L666" s="5">
        <f t="shared" si="246"/>
        <v>28.043827025493336</v>
      </c>
      <c r="M666" s="3">
        <f t="shared" si="247"/>
        <v>17.538516447689325</v>
      </c>
      <c r="N666" s="2">
        <v>0</v>
      </c>
      <c r="O666" s="2">
        <f t="shared" si="248"/>
        <v>124.78394293517394</v>
      </c>
      <c r="P666" s="2">
        <f t="shared" si="249"/>
        <v>85.06062913099791</v>
      </c>
      <c r="Q666" s="5">
        <f t="shared" si="250"/>
        <v>1.0516755355412142</v>
      </c>
      <c r="R666" s="5">
        <f t="shared" si="251"/>
        <v>0.16181605986041606</v>
      </c>
      <c r="S666" s="4">
        <f t="shared" si="268"/>
        <v>0.14055106799118133</v>
      </c>
      <c r="T666" s="5">
        <f t="shared" si="252"/>
        <v>0.10465142927585756</v>
      </c>
      <c r="U666" s="4">
        <f t="shared" si="253"/>
        <v>0</v>
      </c>
      <c r="V666" s="4">
        <f t="shared" si="254"/>
        <v>0</v>
      </c>
      <c r="W666" s="5">
        <f t="shared" si="255"/>
        <v>0</v>
      </c>
      <c r="X666" s="5">
        <f t="shared" si="256"/>
        <v>-11.796070018213094</v>
      </c>
      <c r="Y666" s="5">
        <f t="shared" si="257"/>
        <v>8.1150242391690206</v>
      </c>
      <c r="Z666" s="5">
        <f>1</f>
        <v>1</v>
      </c>
      <c r="AA666" s="5">
        <f>IF(M666=0,0,const*($T666/omega)*O666*(wy*I666-wz*(H666-V666))/Z666)</f>
        <v>0</v>
      </c>
      <c r="AB666" s="5">
        <f>IF(M666=0,0,const*($T666/omega)*O666*(wz*(G666-U666)-wx*I666)/Z666)</f>
        <v>5.248236089605915</v>
      </c>
      <c r="AC666" s="5">
        <f>IF(M666=0,0,const*($T666/omega)*O666*(wx*(H666-V666)-wy*(G666-U666))/Z666)</f>
        <v>7.6288817581453952</v>
      </c>
      <c r="AD666" s="5">
        <f t="shared" si="270"/>
        <v>0</v>
      </c>
      <c r="AE666" s="5">
        <f t="shared" si="270"/>
        <v>-6.5478339286071785</v>
      </c>
      <c r="AF666" s="5">
        <f t="shared" si="258"/>
        <v>-16.430094002685586</v>
      </c>
      <c r="AG666">
        <f t="shared" si="269"/>
        <v>0</v>
      </c>
    </row>
    <row r="667" spans="1:33" x14ac:dyDescent="0.2">
      <c r="A667">
        <f t="shared" si="259"/>
        <v>6.3499999999999091</v>
      </c>
      <c r="B667" s="5">
        <f t="shared" si="260"/>
        <v>0</v>
      </c>
      <c r="C667" s="5">
        <f t="shared" si="261"/>
        <v>923.95134031186649</v>
      </c>
      <c r="D667" s="5">
        <f t="shared" si="262"/>
        <v>-80.391485346668077</v>
      </c>
      <c r="E667" s="2">
        <f t="shared" si="244"/>
        <v>307.9837801039555</v>
      </c>
      <c r="F667" s="2">
        <f t="shared" si="263"/>
        <v>0</v>
      </c>
      <c r="G667" s="3">
        <f t="shared" si="264"/>
        <v>0</v>
      </c>
      <c r="H667" s="3">
        <f t="shared" si="265"/>
        <v>102.74045418725919</v>
      </c>
      <c r="I667" s="3">
        <f t="shared" si="266"/>
        <v>-70.888926437771062</v>
      </c>
      <c r="J667" s="2">
        <f t="shared" si="245"/>
        <v>124.8232382936127</v>
      </c>
      <c r="K667" s="2">
        <f t="shared" si="267"/>
        <v>85.087415333069316</v>
      </c>
      <c r="L667" s="5">
        <f t="shared" si="246"/>
        <v>28.034998603398005</v>
      </c>
      <c r="M667" s="3">
        <f t="shared" si="247"/>
        <v>17.531013505103214</v>
      </c>
      <c r="N667" s="2">
        <v>0</v>
      </c>
      <c r="O667" s="2">
        <f t="shared" si="248"/>
        <v>124.8232382936127</v>
      </c>
      <c r="P667" s="2">
        <f t="shared" si="249"/>
        <v>85.087415333069316</v>
      </c>
      <c r="Q667" s="5">
        <f t="shared" si="250"/>
        <v>1.0520067157087765</v>
      </c>
      <c r="R667" s="5">
        <f t="shared" si="251"/>
        <v>0.16179427867315133</v>
      </c>
      <c r="S667" s="4">
        <f t="shared" si="268"/>
        <v>0.14044671284577856</v>
      </c>
      <c r="T667" s="5">
        <f t="shared" si="252"/>
        <v>0.10462034207380752</v>
      </c>
      <c r="U667" s="4">
        <f t="shared" si="253"/>
        <v>0</v>
      </c>
      <c r="V667" s="4">
        <f t="shared" si="254"/>
        <v>0</v>
      </c>
      <c r="W667" s="5">
        <f t="shared" si="255"/>
        <v>0</v>
      </c>
      <c r="X667" s="5">
        <f t="shared" si="256"/>
        <v>-11.79068196618308</v>
      </c>
      <c r="Y667" s="5">
        <f t="shared" si="257"/>
        <v>8.1353425304942544</v>
      </c>
      <c r="Z667" s="5">
        <f>1</f>
        <v>1</v>
      </c>
      <c r="AA667" s="5">
        <f>IF(M667=0,0,const*($T667/omega)*O667*(wy*I667-wz*(H667-V667))/Z667)</f>
        <v>0</v>
      </c>
      <c r="AB667" s="5">
        <f>IF(M667=0,0,const*($T667/omega)*O667*(wz*(G667-U667)-wx*I667)/Z667)</f>
        <v>5.2605217280105343</v>
      </c>
      <c r="AC667" s="5">
        <f>IF(M667=0,0,const*($T667/omega)*O667*(wx*(H667-V667)-wy*(G667-U667))/Z667)</f>
        <v>7.6241582255049538</v>
      </c>
      <c r="AD667" s="5">
        <f t="shared" si="270"/>
        <v>0</v>
      </c>
      <c r="AE667" s="5">
        <f t="shared" si="270"/>
        <v>-6.5301602381725452</v>
      </c>
      <c r="AF667" s="5">
        <f t="shared" si="258"/>
        <v>-16.41449924400079</v>
      </c>
      <c r="AG667">
        <f t="shared" si="269"/>
        <v>0</v>
      </c>
    </row>
    <row r="668" spans="1:33" x14ac:dyDescent="0.2">
      <c r="A668">
        <f t="shared" si="259"/>
        <v>6.3599999999999088</v>
      </c>
      <c r="B668" s="5">
        <f t="shared" si="260"/>
        <v>0</v>
      </c>
      <c r="C668" s="5">
        <f t="shared" si="261"/>
        <v>924.97841834572716</v>
      </c>
      <c r="D668" s="5">
        <f t="shared" si="262"/>
        <v>-81.10119533600799</v>
      </c>
      <c r="E668" s="2">
        <f t="shared" si="244"/>
        <v>308.3261394485757</v>
      </c>
      <c r="F668" s="2">
        <f t="shared" si="263"/>
        <v>0</v>
      </c>
      <c r="G668" s="3">
        <f t="shared" si="264"/>
        <v>0</v>
      </c>
      <c r="H668" s="3">
        <f t="shared" si="265"/>
        <v>102.67515258487747</v>
      </c>
      <c r="I668" s="3">
        <f t="shared" si="266"/>
        <v>-71.053071430211077</v>
      </c>
      <c r="J668" s="2">
        <f t="shared" si="245"/>
        <v>124.86282840779536</v>
      </c>
      <c r="K668" s="2">
        <f t="shared" si="267"/>
        <v>85.114402459301544</v>
      </c>
      <c r="L668" s="5">
        <f t="shared" si="246"/>
        <v>28.02610957845782</v>
      </c>
      <c r="M668" s="3">
        <f t="shared" si="247"/>
        <v>17.523500449413053</v>
      </c>
      <c r="N668" s="2">
        <v>0</v>
      </c>
      <c r="O668" s="2">
        <f t="shared" si="248"/>
        <v>124.86282840779536</v>
      </c>
      <c r="P668" s="2">
        <f t="shared" si="249"/>
        <v>85.114402459301544</v>
      </c>
      <c r="Q668" s="5">
        <f t="shared" si="250"/>
        <v>1.0523403800693973</v>
      </c>
      <c r="R668" s="5">
        <f t="shared" si="251"/>
        <v>0.16177242514123055</v>
      </c>
      <c r="S668" s="4">
        <f t="shared" si="268"/>
        <v>0.14034201109222219</v>
      </c>
      <c r="T668" s="5">
        <f t="shared" si="252"/>
        <v>0.10458913768648441</v>
      </c>
      <c r="U668" s="4">
        <f t="shared" si="253"/>
        <v>0</v>
      </c>
      <c r="V668" s="4">
        <f t="shared" si="254"/>
        <v>0</v>
      </c>
      <c r="W668" s="5">
        <f t="shared" si="255"/>
        <v>0</v>
      </c>
      <c r="X668" s="5">
        <f t="shared" si="256"/>
        <v>-11.785333043593139</v>
      </c>
      <c r="Y668" s="5">
        <f t="shared" si="257"/>
        <v>8.1556646325216615</v>
      </c>
      <c r="Z668" s="5">
        <f>1</f>
        <v>1</v>
      </c>
      <c r="AA668" s="5">
        <f>IF(M668=0,0,const*($T668/omega)*O668*(wy*I668-wz*(H668-V668))/Z668)</f>
        <v>0</v>
      </c>
      <c r="AB668" s="5">
        <f>IF(M668=0,0,const*($T668/omega)*O668*(wz*(G668-U668)-wx*I668)/Z668)</f>
        <v>5.2728017796043964</v>
      </c>
      <c r="AC668" s="5">
        <f>IF(M668=0,0,const*($T668/omega)*O668*(wx*(H668-V668)-wy*(G668-U668))/Z668)</f>
        <v>7.6194556600195451</v>
      </c>
      <c r="AD668" s="5">
        <f t="shared" si="270"/>
        <v>0</v>
      </c>
      <c r="AE668" s="5">
        <f t="shared" si="270"/>
        <v>-6.5125312639887429</v>
      </c>
      <c r="AF668" s="5">
        <f t="shared" si="258"/>
        <v>-16.398879707458793</v>
      </c>
      <c r="AG668">
        <f t="shared" si="269"/>
        <v>0</v>
      </c>
    </row>
    <row r="669" spans="1:33" x14ac:dyDescent="0.2">
      <c r="A669">
        <f t="shared" si="259"/>
        <v>6.3699999999999086</v>
      </c>
      <c r="B669" s="5">
        <f t="shared" si="260"/>
        <v>0</v>
      </c>
      <c r="C669" s="5">
        <f t="shared" si="261"/>
        <v>926.00484424501281</v>
      </c>
      <c r="D669" s="5">
        <f t="shared" si="262"/>
        <v>-81.812545994295476</v>
      </c>
      <c r="E669" s="2">
        <f t="shared" si="244"/>
        <v>308.66828141500429</v>
      </c>
      <c r="F669" s="2">
        <f t="shared" si="263"/>
        <v>0</v>
      </c>
      <c r="G669" s="3">
        <f t="shared" si="264"/>
        <v>0</v>
      </c>
      <c r="H669" s="3">
        <f t="shared" si="265"/>
        <v>102.61002727223757</v>
      </c>
      <c r="I669" s="3">
        <f t="shared" si="266"/>
        <v>-71.217060227285671</v>
      </c>
      <c r="J669" s="2">
        <f t="shared" si="245"/>
        <v>124.90271159677108</v>
      </c>
      <c r="K669" s="2">
        <f t="shared" si="267"/>
        <v>85.141589363852134</v>
      </c>
      <c r="L669" s="5">
        <f t="shared" si="246"/>
        <v>28.017160448288571</v>
      </c>
      <c r="M669" s="3">
        <f t="shared" si="247"/>
        <v>17.515977305709526</v>
      </c>
      <c r="N669" s="2">
        <v>0</v>
      </c>
      <c r="O669" s="2">
        <f t="shared" si="248"/>
        <v>124.90271159677108</v>
      </c>
      <c r="P669" s="2">
        <f t="shared" si="249"/>
        <v>85.141589363852134</v>
      </c>
      <c r="Q669" s="5">
        <f t="shared" si="250"/>
        <v>1.0526765144560701</v>
      </c>
      <c r="R669" s="5">
        <f t="shared" si="251"/>
        <v>0.161750499924015</v>
      </c>
      <c r="S669" s="4">
        <f t="shared" si="268"/>
        <v>0.14023696588955673</v>
      </c>
      <c r="T669" s="5">
        <f t="shared" si="252"/>
        <v>0.10455781690068634</v>
      </c>
      <c r="U669" s="4">
        <f t="shared" si="253"/>
        <v>0</v>
      </c>
      <c r="V669" s="4">
        <f t="shared" si="254"/>
        <v>0</v>
      </c>
      <c r="W669" s="5">
        <f t="shared" si="255"/>
        <v>0</v>
      </c>
      <c r="X669" s="5">
        <f t="shared" si="256"/>
        <v>-11.780023042270187</v>
      </c>
      <c r="Y669" s="5">
        <f t="shared" si="257"/>
        <v>8.1759905223917055</v>
      </c>
      <c r="Z669" s="5">
        <f>1</f>
        <v>1</v>
      </c>
      <c r="AA669" s="5">
        <f>IF(M669=0,0,const*($T669/omega)*O669*(wy*I669-wz*(H669-V669))/Z669)</f>
        <v>0</v>
      </c>
      <c r="AB669" s="5">
        <f>IF(M669=0,0,const*($T669/omega)*O669*(wz*(G669-U669)-wx*I669)/Z669)</f>
        <v>5.2850762156751632</v>
      </c>
      <c r="AC669" s="5">
        <f>IF(M669=0,0,const*($T669/omega)*O669*(wx*(H669-V669)-wy*(G669-U669))/Z669)</f>
        <v>7.6147739445513976</v>
      </c>
      <c r="AD669" s="5">
        <f t="shared" si="270"/>
        <v>0</v>
      </c>
      <c r="AE669" s="5">
        <f t="shared" si="270"/>
        <v>-6.4949468265950241</v>
      </c>
      <c r="AF669" s="5">
        <f t="shared" si="258"/>
        <v>-16.383235533056897</v>
      </c>
      <c r="AG669">
        <f t="shared" si="269"/>
        <v>0</v>
      </c>
    </row>
    <row r="670" spans="1:33" x14ac:dyDescent="0.2">
      <c r="A670">
        <f t="shared" si="259"/>
        <v>6.3799999999999084</v>
      </c>
      <c r="B670" s="5">
        <f t="shared" si="260"/>
        <v>0</v>
      </c>
      <c r="C670" s="5">
        <f t="shared" si="261"/>
        <v>927.03061977039386</v>
      </c>
      <c r="D670" s="5">
        <f t="shared" si="262"/>
        <v>-82.525535758344986</v>
      </c>
      <c r="E670" s="2">
        <f t="shared" si="244"/>
        <v>309.0102065901313</v>
      </c>
      <c r="F670" s="2">
        <f t="shared" si="263"/>
        <v>0</v>
      </c>
      <c r="G670" s="3">
        <f t="shared" si="264"/>
        <v>0</v>
      </c>
      <c r="H670" s="3">
        <f t="shared" si="265"/>
        <v>102.54507780397162</v>
      </c>
      <c r="I670" s="3">
        <f t="shared" si="266"/>
        <v>-71.380892582616241</v>
      </c>
      <c r="J670" s="2">
        <f t="shared" si="245"/>
        <v>124.94288618290196</v>
      </c>
      <c r="K670" s="2">
        <f t="shared" si="267"/>
        <v>85.168974903136984</v>
      </c>
      <c r="L670" s="5">
        <f t="shared" si="246"/>
        <v>28.00815170949631</v>
      </c>
      <c r="M670" s="3">
        <f t="shared" si="247"/>
        <v>17.508444099314215</v>
      </c>
      <c r="N670" s="2">
        <v>0</v>
      </c>
      <c r="O670" s="2">
        <f t="shared" si="248"/>
        <v>124.94288618290196</v>
      </c>
      <c r="P670" s="2">
        <f t="shared" si="249"/>
        <v>85.168974903136984</v>
      </c>
      <c r="Q670" s="5">
        <f t="shared" si="250"/>
        <v>1.0530151047297103</v>
      </c>
      <c r="R670" s="5">
        <f t="shared" si="251"/>
        <v>0.16172850367946823</v>
      </c>
      <c r="S670" s="4">
        <f t="shared" si="268"/>
        <v>0.14013158039013021</v>
      </c>
      <c r="T670" s="5">
        <f t="shared" si="252"/>
        <v>0.10452638050208948</v>
      </c>
      <c r="U670" s="4">
        <f t="shared" si="253"/>
        <v>0</v>
      </c>
      <c r="V670" s="4">
        <f t="shared" si="254"/>
        <v>0</v>
      </c>
      <c r="W670" s="5">
        <f t="shared" si="255"/>
        <v>0</v>
      </c>
      <c r="X670" s="5">
        <f t="shared" si="256"/>
        <v>-11.774751755036535</v>
      </c>
      <c r="Y670" s="5">
        <f t="shared" si="257"/>
        <v>8.1963201765758686</v>
      </c>
      <c r="Z670" s="5">
        <f>1</f>
        <v>1</v>
      </c>
      <c r="AA670" s="5">
        <f>IF(M670=0,0,const*($T670/omega)*O670*(wy*I670-wz*(H670-V670))/Z670)</f>
        <v>0</v>
      </c>
      <c r="AB670" s="5">
        <f>IF(M670=0,0,const*($T670/omega)*O670*(wz*(G670-U670)-wx*I670)/Z670)</f>
        <v>5.2973450072331714</v>
      </c>
      <c r="AC670" s="5">
        <f>IF(M670=0,0,const*($T670/omega)*O670*(wx*(H670-V670)-wy*(G670-U670))/Z670)</f>
        <v>7.6101129625478867</v>
      </c>
      <c r="AD670" s="5">
        <f t="shared" si="270"/>
        <v>0</v>
      </c>
      <c r="AE670" s="5">
        <f t="shared" si="270"/>
        <v>-6.4774067478033635</v>
      </c>
      <c r="AF670" s="5">
        <f t="shared" si="258"/>
        <v>-16.367566860876245</v>
      </c>
      <c r="AG670">
        <f t="shared" si="269"/>
        <v>0</v>
      </c>
    </row>
    <row r="671" spans="1:33" x14ac:dyDescent="0.2">
      <c r="A671">
        <f t="shared" si="259"/>
        <v>6.3899999999999082</v>
      </c>
      <c r="B671" s="5">
        <f t="shared" si="260"/>
        <v>0</v>
      </c>
      <c r="C671" s="5">
        <f t="shared" si="261"/>
        <v>928.05574667809617</v>
      </c>
      <c r="D671" s="5">
        <f t="shared" si="262"/>
        <v>-83.240163062514185</v>
      </c>
      <c r="E671" s="2">
        <f t="shared" si="244"/>
        <v>309.35191555936541</v>
      </c>
      <c r="F671" s="2">
        <f t="shared" si="263"/>
        <v>0</v>
      </c>
      <c r="G671" s="3">
        <f t="shared" si="264"/>
        <v>0</v>
      </c>
      <c r="H671" s="3">
        <f t="shared" si="265"/>
        <v>102.4803037364936</v>
      </c>
      <c r="I671" s="3">
        <f t="shared" si="266"/>
        <v>-71.544568251225002</v>
      </c>
      <c r="J671" s="2">
        <f t="shared" si="245"/>
        <v>124.98335049188822</v>
      </c>
      <c r="K671" s="2">
        <f t="shared" si="267"/>
        <v>85.196557935847451</v>
      </c>
      <c r="L671" s="5">
        <f t="shared" si="246"/>
        <v>27.999083857654878</v>
      </c>
      <c r="M671" s="3">
        <f t="shared" si="247"/>
        <v>17.500900855777303</v>
      </c>
      <c r="N671" s="2">
        <v>0</v>
      </c>
      <c r="O671" s="2">
        <f t="shared" si="248"/>
        <v>124.98335049188822</v>
      </c>
      <c r="P671" s="2">
        <f t="shared" si="249"/>
        <v>85.196557935847451</v>
      </c>
      <c r="Q671" s="5">
        <f t="shared" si="250"/>
        <v>1.0533561367793671</v>
      </c>
      <c r="R671" s="5">
        <f t="shared" si="251"/>
        <v>0.16170643706412652</v>
      </c>
      <c r="S671" s="4">
        <f t="shared" si="268"/>
        <v>0.14002585773945275</v>
      </c>
      <c r="T671" s="5">
        <f t="shared" si="252"/>
        <v>0.10449482927521626</v>
      </c>
      <c r="U671" s="4">
        <f t="shared" si="253"/>
        <v>0</v>
      </c>
      <c r="V671" s="4">
        <f t="shared" si="254"/>
        <v>0</v>
      </c>
      <c r="W671" s="5">
        <f t="shared" si="255"/>
        <v>0</v>
      </c>
      <c r="X671" s="5">
        <f t="shared" si="256"/>
        <v>-11.76951897570628</v>
      </c>
      <c r="Y671" s="5">
        <f t="shared" si="257"/>
        <v>8.2166535708817428</v>
      </c>
      <c r="Z671" s="5">
        <f>1</f>
        <v>1</v>
      </c>
      <c r="AA671" s="5">
        <f>IF(M671=0,0,const*($T671/omega)*O671*(wy*I671-wz*(H671-V671))/Z671)</f>
        <v>0</v>
      </c>
      <c r="AB671" s="5">
        <f>IF(M671=0,0,const*($T671/omega)*O671*(wz*(G671-U671)-wx*I671)/Z671)</f>
        <v>5.3096081250148188</v>
      </c>
      <c r="AC671" s="5">
        <f>IF(M671=0,0,const*($T671/omega)*O671*(wx*(H671-V671)-wy*(G671-U671))/Z671)</f>
        <v>7.6054725980397011</v>
      </c>
      <c r="AD671" s="5">
        <f t="shared" si="270"/>
        <v>0</v>
      </c>
      <c r="AE671" s="5">
        <f t="shared" si="270"/>
        <v>-6.4599108506914611</v>
      </c>
      <c r="AF671" s="5">
        <f t="shared" si="258"/>
        <v>-16.351873831078557</v>
      </c>
      <c r="AG671">
        <f t="shared" si="269"/>
        <v>0</v>
      </c>
    </row>
    <row r="672" spans="1:33" x14ac:dyDescent="0.2">
      <c r="A672">
        <f t="shared" si="259"/>
        <v>6.399999999999908</v>
      </c>
      <c r="B672" s="5">
        <f t="shared" si="260"/>
        <v>0</v>
      </c>
      <c r="C672" s="5">
        <f t="shared" si="261"/>
        <v>929.08022671991853</v>
      </c>
      <c r="D672" s="5">
        <f t="shared" si="262"/>
        <v>-83.956426338717989</v>
      </c>
      <c r="E672" s="2">
        <f t="shared" ref="E672:E735" si="271">SQRT(B672^2+C672^2)/3</f>
        <v>309.69340890663949</v>
      </c>
      <c r="F672" s="2">
        <f t="shared" si="263"/>
        <v>0</v>
      </c>
      <c r="G672" s="3">
        <f t="shared" si="264"/>
        <v>0</v>
      </c>
      <c r="H672" s="3">
        <f t="shared" si="265"/>
        <v>102.41570462798668</v>
      </c>
      <c r="I672" s="3">
        <f t="shared" si="266"/>
        <v>-71.708086989535786</v>
      </c>
      <c r="J672" s="2">
        <f t="shared" ref="J672:J735" si="272">SQRT(G672^2+H672^2+I672^2)</f>
        <v>125.02410285279333</v>
      </c>
      <c r="K672" s="2">
        <f t="shared" si="267"/>
        <v>85.2243373229675</v>
      </c>
      <c r="L672" s="5">
        <f t="shared" ref="L672:L735" si="273">1/(0.00002*J672/(circ/(2*PI()*12)))</f>
        <v>27.98995738728361</v>
      </c>
      <c r="M672" s="3">
        <f t="shared" ref="M672:M735" si="274">romega*EXP(-A672/L672)</f>
        <v>17.493347600875371</v>
      </c>
      <c r="N672" s="2">
        <v>0</v>
      </c>
      <c r="O672" s="2">
        <f t="shared" ref="O672:O735" si="275">IF(D672&gt;=hwind,SQRT((G672-vxw)^2+(H672-vyw)^2+I672^2),J672)</f>
        <v>125.02410285279333</v>
      </c>
      <c r="P672" s="2">
        <f t="shared" ref="P672:P735" si="276">J672/1.467</f>
        <v>85.2243373229675</v>
      </c>
      <c r="Q672" s="5">
        <f t="shared" ref="Q672:Q735" si="277">(P672/100)*Re_100*0.00001</f>
        <v>1.0536995965224345</v>
      </c>
      <c r="R672" s="5">
        <f t="shared" ref="R672:R735" si="278">IF(Q672&lt;=ReLow,CdL,IF(Q672&lt;ReHigh,CdL+(CdH-CdL)*(Q672-ReLow)/(ReHigh-ReLow),CdH))+CdS*S672</f>
        <v>0.16168430073307</v>
      </c>
      <c r="S672" s="4">
        <f t="shared" si="268"/>
        <v>0.13991980107605731</v>
      </c>
      <c r="T672" s="5">
        <f t="shared" ref="T672:T735" si="279">ClAmp*S672^0.4</f>
        <v>0.10446316400340415</v>
      </c>
      <c r="U672" s="4">
        <f t="shared" ref="U672:U735" si="280">IF(D672&gt;=hwind,vxw,0)</f>
        <v>0</v>
      </c>
      <c r="V672" s="4">
        <f t="shared" ref="V672:V735" si="281">IF(D672&gt;=hwind,vyw,0)</f>
        <v>0</v>
      </c>
      <c r="W672" s="5">
        <f t="shared" ref="W672:W735" si="282">-const*$R672*$O672*(G672-U672)</f>
        <v>0</v>
      </c>
      <c r="X672" s="5">
        <f t="shared" ref="X672:X735" si="283">-const*$R672*$O672*(H672-V672)</f>
        <v>-11.764324499081727</v>
      </c>
      <c r="Y672" s="5">
        <f t="shared" ref="Y672:Y735" si="284">-const*$R672*$O672*I672</f>
        <v>8.2369906804581365</v>
      </c>
      <c r="Z672" s="5">
        <f>1</f>
        <v>1</v>
      </c>
      <c r="AA672" s="5">
        <f>IF(M672=0,0,const*($T672/omega)*O672*(wy*I672-wz*(H672-V672))/Z672)</f>
        <v>0</v>
      </c>
      <c r="AB672" s="5">
        <f>IF(M672=0,0,const*($T672/omega)*O672*(wz*(G672-U672)-wx*I672)/Z672)</f>
        <v>5.3218655394859606</v>
      </c>
      <c r="AC672" s="5">
        <f>IF(M672=0,0,const*($T672/omega)*O672*(wx*(H672-V672)-wy*(G672-U672))/Z672)</f>
        <v>7.6008527356390374</v>
      </c>
      <c r="AD672" s="5">
        <f t="shared" si="270"/>
        <v>0</v>
      </c>
      <c r="AE672" s="5">
        <f t="shared" si="270"/>
        <v>-6.4424589595957666</v>
      </c>
      <c r="AF672" s="5">
        <f t="shared" ref="AF672:AF735" si="285">Y672+AC672-32.174</f>
        <v>-16.336156583902827</v>
      </c>
      <c r="AG672">
        <f t="shared" si="269"/>
        <v>0</v>
      </c>
    </row>
    <row r="673" spans="1:33" x14ac:dyDescent="0.2">
      <c r="A673">
        <f t="shared" ref="A673:A736" si="286">A672+dt</f>
        <v>6.4099999999999078</v>
      </c>
      <c r="B673" s="5">
        <f t="shared" ref="B673:B736" si="287">B672+G672*dt+0.5*AD672*dt*dt</f>
        <v>0</v>
      </c>
      <c r="C673" s="5">
        <f t="shared" ref="C673:C736" si="288">C672+H672*dt+0.5*AE672*dt*dt</f>
        <v>930.10406164325036</v>
      </c>
      <c r="D673" s="5">
        <f t="shared" ref="D673:D736" si="289">D672+I672*dt+0.5*AF672*dt*dt</f>
        <v>-84.67432401644254</v>
      </c>
      <c r="E673" s="2">
        <f t="shared" si="271"/>
        <v>310.03468721441681</v>
      </c>
      <c r="F673" s="2">
        <f t="shared" ref="F673:F736" si="290">ATAN2(C673,B673)*180/PI()</f>
        <v>0</v>
      </c>
      <c r="G673" s="3">
        <f t="shared" ref="G673:G736" si="291">G672+AD672*dt</f>
        <v>0</v>
      </c>
      <c r="H673" s="3">
        <f t="shared" ref="H673:H736" si="292">H672+AE672*dt</f>
        <v>102.35128003839073</v>
      </c>
      <c r="I673" s="3">
        <f t="shared" ref="I673:I736" si="293">I672+AF672*dt</f>
        <v>-71.871448555374812</v>
      </c>
      <c r="J673" s="2">
        <f t="shared" si="272"/>
        <v>125.06514159806868</v>
      </c>
      <c r="K673" s="2">
        <f t="shared" ref="K673:K736" si="294">J673/1.467</f>
        <v>85.252311927790501</v>
      </c>
      <c r="L673" s="5">
        <f t="shared" si="273"/>
        <v>27.98077279182554</v>
      </c>
      <c r="M673" s="3">
        <f t="shared" si="274"/>
        <v>17.485784360609149</v>
      </c>
      <c r="N673" s="2">
        <v>0</v>
      </c>
      <c r="O673" s="2">
        <f t="shared" si="275"/>
        <v>125.06514159806868</v>
      </c>
      <c r="P673" s="2">
        <f t="shared" si="276"/>
        <v>85.252311927790501</v>
      </c>
      <c r="Q673" s="5">
        <f t="shared" si="277"/>
        <v>1.0540454699048603</v>
      </c>
      <c r="R673" s="5">
        <f t="shared" si="278"/>
        <v>0.16166209533989373</v>
      </c>
      <c r="S673" s="4">
        <f t="shared" ref="S673:S736" si="295">(M673/O673)</f>
        <v>0.13981341353136223</v>
      </c>
      <c r="T673" s="5">
        <f t="shared" si="279"/>
        <v>0.10443138546877462</v>
      </c>
      <c r="U673" s="4">
        <f t="shared" si="280"/>
        <v>0</v>
      </c>
      <c r="V673" s="4">
        <f t="shared" si="281"/>
        <v>0</v>
      </c>
      <c r="W673" s="5">
        <f t="shared" si="282"/>
        <v>0</v>
      </c>
      <c r="X673" s="5">
        <f t="shared" si="283"/>
        <v>-11.7591681209498</v>
      </c>
      <c r="Y673" s="5">
        <f t="shared" si="284"/>
        <v>8.2573314798001753</v>
      </c>
      <c r="Z673" s="5">
        <f>1</f>
        <v>1</v>
      </c>
      <c r="AA673" s="5">
        <f>IF(M673=0,0,const*($T673/omega)*O673*(wy*I673-wz*(H673-V673))/Z673)</f>
        <v>0</v>
      </c>
      <c r="AB673" s="5">
        <f>IF(M673=0,0,const*($T673/omega)*O673*(wz*(G673-U673)-wx*I673)/Z673)</f>
        <v>5.3341172208452843</v>
      </c>
      <c r="AC673" s="5">
        <f>IF(M673=0,0,const*($T673/omega)*O673*(wx*(H673-V673)-wy*(G673-U673))/Z673)</f>
        <v>7.5962532605377655</v>
      </c>
      <c r="AD673" s="5">
        <f t="shared" si="270"/>
        <v>0</v>
      </c>
      <c r="AE673" s="5">
        <f t="shared" si="270"/>
        <v>-6.425050900104516</v>
      </c>
      <c r="AF673" s="5">
        <f t="shared" si="285"/>
        <v>-16.32041525966206</v>
      </c>
      <c r="AG673">
        <f t="shared" si="269"/>
        <v>0</v>
      </c>
    </row>
    <row r="674" spans="1:33" x14ac:dyDescent="0.2">
      <c r="A674">
        <f t="shared" si="286"/>
        <v>6.4199999999999076</v>
      </c>
      <c r="B674" s="5">
        <f t="shared" si="287"/>
        <v>0</v>
      </c>
      <c r="C674" s="5">
        <f t="shared" si="288"/>
        <v>931.12725319108927</v>
      </c>
      <c r="D674" s="5">
        <f t="shared" si="289"/>
        <v>-85.39385452275927</v>
      </c>
      <c r="E674" s="2">
        <f t="shared" si="271"/>
        <v>310.37575106369644</v>
      </c>
      <c r="F674" s="2">
        <f t="shared" si="290"/>
        <v>0</v>
      </c>
      <c r="G674" s="3">
        <f t="shared" si="291"/>
        <v>0</v>
      </c>
      <c r="H674" s="3">
        <f t="shared" si="292"/>
        <v>102.28702952938968</v>
      </c>
      <c r="I674" s="3">
        <f t="shared" si="293"/>
        <v>-72.034652707971432</v>
      </c>
      <c r="J674" s="2">
        <f t="shared" si="272"/>
        <v>125.10646506357813</v>
      </c>
      <c r="K674" s="2">
        <f t="shared" si="294"/>
        <v>85.280480615936</v>
      </c>
      <c r="L674" s="5">
        <f t="shared" si="273"/>
        <v>27.97153056362572</v>
      </c>
      <c r="M674" s="3">
        <f t="shared" si="274"/>
        <v>17.478211161201287</v>
      </c>
      <c r="N674" s="2">
        <v>0</v>
      </c>
      <c r="O674" s="2">
        <f t="shared" si="275"/>
        <v>125.10646506357813</v>
      </c>
      <c r="P674" s="2">
        <f t="shared" si="276"/>
        <v>85.280480615936</v>
      </c>
      <c r="Q674" s="5">
        <f t="shared" si="277"/>
        <v>1.0543937429013517</v>
      </c>
      <c r="R674" s="5">
        <f t="shared" si="278"/>
        <v>0.16163982153667952</v>
      </c>
      <c r="S674" s="4">
        <f t="shared" si="295"/>
        <v>0.13970669822953591</v>
      </c>
      <c r="T674" s="5">
        <f t="shared" si="279"/>
        <v>0.10439949445220262</v>
      </c>
      <c r="U674" s="4">
        <f t="shared" si="280"/>
        <v>0</v>
      </c>
      <c r="V674" s="4">
        <f t="shared" si="281"/>
        <v>0</v>
      </c>
      <c r="W674" s="5">
        <f t="shared" si="282"/>
        <v>0</v>
      </c>
      <c r="X674" s="5">
        <f t="shared" si="283"/>
        <v>-11.754049638078456</v>
      </c>
      <c r="Y674" s="5">
        <f t="shared" si="284"/>
        <v>8.27767594275441</v>
      </c>
      <c r="Z674" s="5">
        <f>1</f>
        <v>1</v>
      </c>
      <c r="AA674" s="5">
        <f>IF(M674=0,0,const*($T674/omega)*O674*(wy*I674-wz*(H674-V674))/Z674)</f>
        <v>0</v>
      </c>
      <c r="AB674" s="5">
        <f>IF(M674=0,0,const*($T674/omega)*O674*(wz*(G674-U674)-wx*I674)/Z674)</f>
        <v>5.3463631390277051</v>
      </c>
      <c r="AC674" s="5">
        <f>IF(M674=0,0,const*($T674/omega)*O674*(wx*(H674-V674)-wy*(G674-U674))/Z674)</f>
        <v>7.5916740585056077</v>
      </c>
      <c r="AD674" s="5">
        <f t="shared" si="270"/>
        <v>0</v>
      </c>
      <c r="AE674" s="5">
        <f t="shared" si="270"/>
        <v>-6.4076864990507509</v>
      </c>
      <c r="AF674" s="5">
        <f t="shared" si="285"/>
        <v>-16.304649998739983</v>
      </c>
      <c r="AG674">
        <f t="shared" ref="AG674:AG737" si="296">IF($D674*$D675&lt;0,1,0)</f>
        <v>0</v>
      </c>
    </row>
    <row r="675" spans="1:33" x14ac:dyDescent="0.2">
      <c r="A675">
        <f t="shared" si="286"/>
        <v>6.4299999999999073</v>
      </c>
      <c r="B675" s="5">
        <f t="shared" si="287"/>
        <v>0</v>
      </c>
      <c r="C675" s="5">
        <f t="shared" si="288"/>
        <v>932.14980310205817</v>
      </c>
      <c r="D675" s="5">
        <f t="shared" si="289"/>
        <v>-86.115016282338914</v>
      </c>
      <c r="E675" s="2">
        <f t="shared" si="271"/>
        <v>310.71660103401939</v>
      </c>
      <c r="F675" s="2">
        <f t="shared" si="290"/>
        <v>0</v>
      </c>
      <c r="G675" s="3">
        <f t="shared" si="291"/>
        <v>0</v>
      </c>
      <c r="H675" s="3">
        <f t="shared" si="292"/>
        <v>102.22295266439917</v>
      </c>
      <c r="I675" s="3">
        <f t="shared" si="293"/>
        <v>-72.197699207958834</v>
      </c>
      <c r="J675" s="2">
        <f t="shared" si="272"/>
        <v>125.14807158862214</v>
      </c>
      <c r="K675" s="2">
        <f t="shared" si="294"/>
        <v>85.308842255366145</v>
      </c>
      <c r="L675" s="5">
        <f t="shared" si="273"/>
        <v>27.962231193909979</v>
      </c>
      <c r="M675" s="3">
        <f t="shared" si="274"/>
        <v>17.470628029094133</v>
      </c>
      <c r="N675" s="2">
        <v>0</v>
      </c>
      <c r="O675" s="2">
        <f t="shared" si="275"/>
        <v>125.14807158862214</v>
      </c>
      <c r="P675" s="2">
        <f t="shared" si="276"/>
        <v>85.308842255366145</v>
      </c>
      <c r="Q675" s="5">
        <f t="shared" si="277"/>
        <v>1.0547444015155807</v>
      </c>
      <c r="R675" s="5">
        <f t="shared" si="278"/>
        <v>0.16161747997396819</v>
      </c>
      <c r="S675" s="4">
        <f t="shared" si="295"/>
        <v>0.13959965828736332</v>
      </c>
      <c r="T675" s="5">
        <f t="shared" si="279"/>
        <v>0.10436749173328641</v>
      </c>
      <c r="U675" s="4">
        <f t="shared" si="280"/>
        <v>0</v>
      </c>
      <c r="V675" s="4">
        <f t="shared" si="281"/>
        <v>0</v>
      </c>
      <c r="W675" s="5">
        <f t="shared" si="282"/>
        <v>0</v>
      </c>
      <c r="X675" s="5">
        <f t="shared" si="283"/>
        <v>-11.74896884821311</v>
      </c>
      <c r="Y675" s="5">
        <f t="shared" si="284"/>
        <v>8.2980240425239185</v>
      </c>
      <c r="Z675" s="5">
        <f>1</f>
        <v>1</v>
      </c>
      <c r="AA675" s="5">
        <f>IF(M675=0,0,const*($T675/omega)*O675*(wy*I675-wz*(H675-V675))/Z675)</f>
        <v>0</v>
      </c>
      <c r="AB675" s="5">
        <f>IF(M675=0,0,const*($T675/omega)*O675*(wz*(G675-U675)-wx*I675)/Z675)</f>
        <v>5.3586032637077441</v>
      </c>
      <c r="AC675" s="5">
        <f>IF(M675=0,0,const*($T675/omega)*O675*(wx*(H675-V675)-wy*(G675-U675))/Z675)</f>
        <v>7.5871150158883047</v>
      </c>
      <c r="AD675" s="5">
        <f t="shared" si="270"/>
        <v>0</v>
      </c>
      <c r="AE675" s="5">
        <f t="shared" si="270"/>
        <v>-6.390365584505366</v>
      </c>
      <c r="AF675" s="5">
        <f t="shared" si="285"/>
        <v>-16.288860941587778</v>
      </c>
      <c r="AG675">
        <f t="shared" si="296"/>
        <v>0</v>
      </c>
    </row>
    <row r="676" spans="1:33" x14ac:dyDescent="0.2">
      <c r="A676">
        <f t="shared" si="286"/>
        <v>6.4399999999999071</v>
      </c>
      <c r="B676" s="5">
        <f t="shared" si="287"/>
        <v>0</v>
      </c>
      <c r="C676" s="5">
        <f t="shared" si="288"/>
        <v>933.17171311042296</v>
      </c>
      <c r="D676" s="5">
        <f t="shared" si="289"/>
        <v>-86.83780771746558</v>
      </c>
      <c r="E676" s="2">
        <f t="shared" si="271"/>
        <v>311.0572377034743</v>
      </c>
      <c r="F676" s="2">
        <f t="shared" si="290"/>
        <v>0</v>
      </c>
      <c r="G676" s="3">
        <f t="shared" si="291"/>
        <v>0</v>
      </c>
      <c r="H676" s="3">
        <f t="shared" si="292"/>
        <v>102.15904900855412</v>
      </c>
      <c r="I676" s="3">
        <f t="shared" si="293"/>
        <v>-72.360587817374707</v>
      </c>
      <c r="J676" s="2">
        <f t="shared" si="272"/>
        <v>125.18995951596183</v>
      </c>
      <c r="K676" s="2">
        <f t="shared" si="294"/>
        <v>85.337395716402057</v>
      </c>
      <c r="L676" s="5">
        <f t="shared" si="273"/>
        <v>27.952875172763914</v>
      </c>
      <c r="M676" s="3">
        <f t="shared" si="274"/>
        <v>17.463034990947492</v>
      </c>
      <c r="N676" s="2">
        <v>0</v>
      </c>
      <c r="O676" s="2">
        <f t="shared" si="275"/>
        <v>125.18995951596183</v>
      </c>
      <c r="P676" s="2">
        <f t="shared" si="276"/>
        <v>85.337395716402057</v>
      </c>
      <c r="Q676" s="5">
        <f t="shared" si="277"/>
        <v>1.0550974317803845</v>
      </c>
      <c r="R676" s="5">
        <f t="shared" si="278"/>
        <v>0.16159507130073192</v>
      </c>
      <c r="S676" s="4">
        <f t="shared" si="295"/>
        <v>0.13949229681411424</v>
      </c>
      <c r="T676" s="5">
        <f t="shared" si="279"/>
        <v>0.10433537809031762</v>
      </c>
      <c r="U676" s="4">
        <f t="shared" si="280"/>
        <v>0</v>
      </c>
      <c r="V676" s="4">
        <f t="shared" si="281"/>
        <v>0</v>
      </c>
      <c r="W676" s="5">
        <f t="shared" si="282"/>
        <v>0</v>
      </c>
      <c r="X676" s="5">
        <f t="shared" si="283"/>
        <v>-11.743925550073069</v>
      </c>
      <c r="Y676" s="5">
        <f t="shared" si="284"/>
        <v>8.3183757516734165</v>
      </c>
      <c r="Z676" s="5">
        <f>1</f>
        <v>1</v>
      </c>
      <c r="AA676" s="5">
        <f>IF(M676=0,0,const*($T676/omega)*O676*(wy*I676-wz*(H676-V676))/Z676)</f>
        <v>0</v>
      </c>
      <c r="AB676" s="5">
        <f>IF(M676=0,0,const*($T676/omega)*O676*(wz*(G676-U676)-wx*I676)/Z676)</f>
        <v>5.3708375643028976</v>
      </c>
      <c r="AC676" s="5">
        <f>IF(M676=0,0,const*($T676/omega)*O676*(wx*(H676-V676)-wy*(G676-U676))/Z676)</f>
        <v>7.5825760196057734</v>
      </c>
      <c r="AD676" s="5">
        <f t="shared" si="270"/>
        <v>0</v>
      </c>
      <c r="AE676" s="5">
        <f t="shared" si="270"/>
        <v>-6.3730879857701712</v>
      </c>
      <c r="AF676" s="5">
        <f t="shared" si="285"/>
        <v>-16.27304822872081</v>
      </c>
      <c r="AG676">
        <f t="shared" si="296"/>
        <v>0</v>
      </c>
    </row>
    <row r="677" spans="1:33" x14ac:dyDescent="0.2">
      <c r="A677">
        <f t="shared" si="286"/>
        <v>6.4499999999999069</v>
      </c>
      <c r="B677" s="5">
        <f t="shared" si="287"/>
        <v>0</v>
      </c>
      <c r="C677" s="5">
        <f t="shared" si="288"/>
        <v>934.19298494610916</v>
      </c>
      <c r="D677" s="5">
        <f t="shared" si="289"/>
        <v>-87.56222724805076</v>
      </c>
      <c r="E677" s="2">
        <f t="shared" si="271"/>
        <v>311.39766164870304</v>
      </c>
      <c r="F677" s="2">
        <f t="shared" si="290"/>
        <v>0</v>
      </c>
      <c r="G677" s="3">
        <f t="shared" si="291"/>
        <v>0</v>
      </c>
      <c r="H677" s="3">
        <f t="shared" si="292"/>
        <v>102.09531812869642</v>
      </c>
      <c r="I677" s="3">
        <f t="shared" si="293"/>
        <v>-72.523318299661909</v>
      </c>
      <c r="J677" s="2">
        <f t="shared" si="272"/>
        <v>125.23212719184244</v>
      </c>
      <c r="K677" s="2">
        <f t="shared" si="294"/>
        <v>85.366139871739904</v>
      </c>
      <c r="L677" s="5">
        <f t="shared" si="273"/>
        <v>27.943462989112263</v>
      </c>
      <c r="M677" s="3">
        <f t="shared" si="274"/>
        <v>17.45543207363643</v>
      </c>
      <c r="N677" s="2">
        <v>0</v>
      </c>
      <c r="O677" s="2">
        <f t="shared" si="275"/>
        <v>125.23212719184244</v>
      </c>
      <c r="P677" s="2">
        <f t="shared" si="276"/>
        <v>85.366139871739904</v>
      </c>
      <c r="Q677" s="5">
        <f t="shared" si="277"/>
        <v>1.0554528197579651</v>
      </c>
      <c r="R677" s="5">
        <f t="shared" si="278"/>
        <v>0.16157259616434733</v>
      </c>
      <c r="S677" s="4">
        <f t="shared" si="295"/>
        <v>0.13938461691141399</v>
      </c>
      <c r="T677" s="5">
        <f t="shared" si="279"/>
        <v>0.10430315430025187</v>
      </c>
      <c r="U677" s="4">
        <f t="shared" si="280"/>
        <v>0</v>
      </c>
      <c r="V677" s="4">
        <f t="shared" si="281"/>
        <v>0</v>
      </c>
      <c r="W677" s="5">
        <f t="shared" si="282"/>
        <v>0</v>
      </c>
      <c r="X677" s="5">
        <f t="shared" si="283"/>
        <v>-11.738919543347933</v>
      </c>
      <c r="Y677" s="5">
        <f t="shared" si="284"/>
        <v>8.3387310421343628</v>
      </c>
      <c r="Z677" s="5">
        <f>1</f>
        <v>1</v>
      </c>
      <c r="AA677" s="5">
        <f>IF(M677=0,0,const*($T677/omega)*O677*(wy*I677-wz*(H677-V677))/Z677)</f>
        <v>0</v>
      </c>
      <c r="AB677" s="5">
        <f>IF(M677=0,0,const*($T677/omega)*O677*(wz*(G677-U677)-wx*I677)/Z677)</f>
        <v>5.3830660099770133</v>
      </c>
      <c r="AC677" s="5">
        <f>IF(M677=0,0,const*($T677/omega)*O677*(wx*(H677-V677)-wy*(G677-U677))/Z677)</f>
        <v>7.5780569571502596</v>
      </c>
      <c r="AD677" s="5">
        <f t="shared" si="270"/>
        <v>0</v>
      </c>
      <c r="AE677" s="5">
        <f t="shared" si="270"/>
        <v>-6.3558535333709196</v>
      </c>
      <c r="AF677" s="5">
        <f t="shared" si="285"/>
        <v>-16.257212000715377</v>
      </c>
      <c r="AG677">
        <f t="shared" si="296"/>
        <v>0</v>
      </c>
    </row>
    <row r="678" spans="1:33" x14ac:dyDescent="0.2">
      <c r="A678">
        <f t="shared" si="286"/>
        <v>6.4599999999999067</v>
      </c>
      <c r="B678" s="5">
        <f t="shared" si="287"/>
        <v>0</v>
      </c>
      <c r="C678" s="5">
        <f t="shared" si="288"/>
        <v>935.21362033471939</v>
      </c>
      <c r="D678" s="5">
        <f t="shared" si="289"/>
        <v>-88.288273291647414</v>
      </c>
      <c r="E678" s="2">
        <f t="shared" si="271"/>
        <v>311.73787344490648</v>
      </c>
      <c r="F678" s="2">
        <f t="shared" si="290"/>
        <v>0</v>
      </c>
      <c r="G678" s="3">
        <f t="shared" si="291"/>
        <v>0</v>
      </c>
      <c r="H678" s="3">
        <f t="shared" si="292"/>
        <v>102.03175959336271</v>
      </c>
      <c r="I678" s="3">
        <f t="shared" si="293"/>
        <v>-72.685890419669064</v>
      </c>
      <c r="J678" s="2">
        <f t="shared" si="272"/>
        <v>125.27457296601693</v>
      </c>
      <c r="K678" s="2">
        <f t="shared" si="294"/>
        <v>85.395073596466887</v>
      </c>
      <c r="L678" s="5">
        <f t="shared" si="273"/>
        <v>27.933995130698484</v>
      </c>
      <c r="M678" s="3">
        <f t="shared" si="274"/>
        <v>17.447819304249048</v>
      </c>
      <c r="N678" s="2">
        <v>0</v>
      </c>
      <c r="O678" s="2">
        <f t="shared" si="275"/>
        <v>125.27457296601693</v>
      </c>
      <c r="P678" s="2">
        <f t="shared" si="276"/>
        <v>85.395073596466887</v>
      </c>
      <c r="Q678" s="5">
        <f t="shared" si="277"/>
        <v>1.0558105515400873</v>
      </c>
      <c r="R678" s="5">
        <f t="shared" si="278"/>
        <v>0.16155005521056878</v>
      </c>
      <c r="S678" s="4">
        <f t="shared" si="295"/>
        <v>0.13927662167311555</v>
      </c>
      <c r="T678" s="5">
        <f t="shared" si="279"/>
        <v>0.10427082113867966</v>
      </c>
      <c r="U678" s="4">
        <f t="shared" si="280"/>
        <v>0</v>
      </c>
      <c r="V678" s="4">
        <f t="shared" si="281"/>
        <v>0</v>
      </c>
      <c r="W678" s="5">
        <f t="shared" si="282"/>
        <v>0</v>
      </c>
      <c r="X678" s="5">
        <f t="shared" si="283"/>
        <v>-11.733950628694055</v>
      </c>
      <c r="Y678" s="5">
        <f t="shared" si="284"/>
        <v>8.3590898852100626</v>
      </c>
      <c r="Z678" s="5">
        <f>1</f>
        <v>1</v>
      </c>
      <c r="AA678" s="5">
        <f>IF(M678=0,0,const*($T678/omega)*O678*(wy*I678-wz*(H678-V678))/Z678)</f>
        <v>0</v>
      </c>
      <c r="AB678" s="5">
        <f>IF(M678=0,0,const*($T678/omega)*O678*(wz*(G678-U678)-wx*I678)/Z678)</f>
        <v>5.3952885696436645</v>
      </c>
      <c r="AC678" s="5">
        <f>IF(M678=0,0,const*($T678/omega)*O678*(wx*(H678-V678)-wy*(G678-U678))/Z678)</f>
        <v>7.5735577165845021</v>
      </c>
      <c r="AD678" s="5">
        <f t="shared" si="270"/>
        <v>0</v>
      </c>
      <c r="AE678" s="5">
        <f t="shared" si="270"/>
        <v>-6.3386620590503906</v>
      </c>
      <c r="AF678" s="5">
        <f t="shared" si="285"/>
        <v>-16.241352398205436</v>
      </c>
      <c r="AG678">
        <f t="shared" si="296"/>
        <v>0</v>
      </c>
    </row>
    <row r="679" spans="1:33" x14ac:dyDescent="0.2">
      <c r="A679">
        <f t="shared" si="286"/>
        <v>6.4699999999999065</v>
      </c>
      <c r="B679" s="5">
        <f t="shared" si="287"/>
        <v>0</v>
      </c>
      <c r="C679" s="5">
        <f t="shared" si="288"/>
        <v>936.23362099755013</v>
      </c>
      <c r="D679" s="5">
        <f t="shared" si="289"/>
        <v>-89.015944263464007</v>
      </c>
      <c r="E679" s="2">
        <f t="shared" si="271"/>
        <v>312.07787366585006</v>
      </c>
      <c r="F679" s="2">
        <f t="shared" si="290"/>
        <v>0</v>
      </c>
      <c r="G679" s="3">
        <f t="shared" si="291"/>
        <v>0</v>
      </c>
      <c r="H679" s="3">
        <f t="shared" si="292"/>
        <v>101.9683729727722</v>
      </c>
      <c r="I679" s="3">
        <f t="shared" si="293"/>
        <v>-72.848303943651118</v>
      </c>
      <c r="J679" s="2">
        <f t="shared" si="272"/>
        <v>125.31729519176895</v>
      </c>
      <c r="K679" s="2">
        <f t="shared" si="294"/>
        <v>85.424195768076984</v>
      </c>
      <c r="L679" s="5">
        <f t="shared" si="273"/>
        <v>27.924472084064714</v>
      </c>
      <c r="M679" s="3">
        <f t="shared" si="274"/>
        <v>17.440196710084276</v>
      </c>
      <c r="N679" s="2">
        <v>0</v>
      </c>
      <c r="O679" s="2">
        <f t="shared" si="275"/>
        <v>125.31729519176895</v>
      </c>
      <c r="P679" s="2">
        <f t="shared" si="276"/>
        <v>85.424195768076984</v>
      </c>
      <c r="Q679" s="5">
        <f t="shared" si="277"/>
        <v>1.056170613248272</v>
      </c>
      <c r="R679" s="5">
        <f t="shared" si="278"/>
        <v>0.16152744908350217</v>
      </c>
      <c r="S679" s="4">
        <f t="shared" si="295"/>
        <v>0.13916831418517384</v>
      </c>
      <c r="T679" s="5">
        <f t="shared" si="279"/>
        <v>0.10423837937979763</v>
      </c>
      <c r="U679" s="4">
        <f t="shared" si="280"/>
        <v>0</v>
      </c>
      <c r="V679" s="4">
        <f t="shared" si="281"/>
        <v>0</v>
      </c>
      <c r="W679" s="5">
        <f t="shared" si="282"/>
        <v>0</v>
      </c>
      <c r="X679" s="5">
        <f t="shared" si="283"/>
        <v>-11.729018607730959</v>
      </c>
      <c r="Y679" s="5">
        <f t="shared" si="284"/>
        <v>8.3794522515807781</v>
      </c>
      <c r="Z679" s="5">
        <f>1</f>
        <v>1</v>
      </c>
      <c r="AA679" s="5">
        <f>IF(M679=0,0,const*($T679/omega)*O679*(wy*I679-wz*(H679-V679))/Z679)</f>
        <v>0</v>
      </c>
      <c r="AB679" s="5">
        <f>IF(M679=0,0,const*($T679/omega)*O679*(wz*(G679-U679)-wx*I679)/Z679)</f>
        <v>5.4075052119695037</v>
      </c>
      <c r="AC679" s="5">
        <f>IF(M679=0,0,const*($T679/omega)*O679*(wx*(H679-V679)-wy*(G679-U679))/Z679)</f>
        <v>7.5690781865398691</v>
      </c>
      <c r="AD679" s="5">
        <f t="shared" si="270"/>
        <v>0</v>
      </c>
      <c r="AE679" s="5">
        <f t="shared" si="270"/>
        <v>-6.3215133957614551</v>
      </c>
      <c r="AF679" s="5">
        <f t="shared" si="285"/>
        <v>-16.225469561879351</v>
      </c>
      <c r="AG679">
        <f t="shared" si="296"/>
        <v>0</v>
      </c>
    </row>
    <row r="680" spans="1:33" x14ac:dyDescent="0.2">
      <c r="A680">
        <f t="shared" si="286"/>
        <v>6.4799999999999063</v>
      </c>
      <c r="B680" s="5">
        <f t="shared" si="287"/>
        <v>0</v>
      </c>
      <c r="C680" s="5">
        <f t="shared" si="288"/>
        <v>937.25298865160801</v>
      </c>
      <c r="D680" s="5">
        <f t="shared" si="289"/>
        <v>-89.745238576378611</v>
      </c>
      <c r="E680" s="2">
        <f t="shared" si="271"/>
        <v>312.41766288386935</v>
      </c>
      <c r="F680" s="2">
        <f t="shared" si="290"/>
        <v>0</v>
      </c>
      <c r="G680" s="3">
        <f t="shared" si="291"/>
        <v>0</v>
      </c>
      <c r="H680" s="3">
        <f t="shared" si="292"/>
        <v>101.90515783881459</v>
      </c>
      <c r="I680" s="3">
        <f t="shared" si="293"/>
        <v>-73.010558639269917</v>
      </c>
      <c r="J680" s="2">
        <f t="shared" si="272"/>
        <v>125.36029222593565</v>
      </c>
      <c r="K680" s="2">
        <f t="shared" si="294"/>
        <v>85.453505266486459</v>
      </c>
      <c r="L680" s="5">
        <f t="shared" si="273"/>
        <v>27.914894334532015</v>
      </c>
      <c r="M680" s="3">
        <f t="shared" si="274"/>
        <v>17.432564318649661</v>
      </c>
      <c r="N680" s="2">
        <v>0</v>
      </c>
      <c r="O680" s="2">
        <f t="shared" si="275"/>
        <v>125.36029222593565</v>
      </c>
      <c r="P680" s="2">
        <f t="shared" si="276"/>
        <v>85.453505266486459</v>
      </c>
      <c r="Q680" s="5">
        <f t="shared" si="277"/>
        <v>1.0565329910339896</v>
      </c>
      <c r="R680" s="5">
        <f t="shared" si="278"/>
        <v>0.16150477842557903</v>
      </c>
      <c r="S680" s="4">
        <f t="shared" si="295"/>
        <v>0.13905969752552202</v>
      </c>
      <c r="T680" s="5">
        <f t="shared" si="279"/>
        <v>0.1042058297963802</v>
      </c>
      <c r="U680" s="4">
        <f t="shared" si="280"/>
        <v>0</v>
      </c>
      <c r="V680" s="4">
        <f t="shared" si="281"/>
        <v>0</v>
      </c>
      <c r="W680" s="5">
        <f t="shared" si="282"/>
        <v>0</v>
      </c>
      <c r="X680" s="5">
        <f t="shared" si="283"/>
        <v>-11.724123283037773</v>
      </c>
      <c r="Y680" s="5">
        <f t="shared" si="284"/>
        <v>8.3998181113088233</v>
      </c>
      <c r="Z680" s="5">
        <f>1</f>
        <v>1</v>
      </c>
      <c r="AA680" s="5">
        <f>IF(M680=0,0,const*($T680/omega)*O680*(wy*I680-wz*(H680-V680))/Z680)</f>
        <v>0</v>
      </c>
      <c r="AB680" s="5">
        <f>IF(M680=0,0,const*($T680/omega)*O680*(wz*(G680-U680)-wx*I680)/Z680)</f>
        <v>5.41971590537762</v>
      </c>
      <c r="AC680" s="5">
        <f>IF(M680=0,0,const*($T680/omega)*O680*(wx*(H680-V680)-wy*(G680-U680))/Z680)</f>
        <v>7.564618256214497</v>
      </c>
      <c r="AD680" s="5">
        <f t="shared" si="270"/>
        <v>0</v>
      </c>
      <c r="AE680" s="5">
        <f t="shared" si="270"/>
        <v>-6.3044073776601532</v>
      </c>
      <c r="AF680" s="5">
        <f t="shared" si="285"/>
        <v>-16.20956363247668</v>
      </c>
      <c r="AG680">
        <f t="shared" si="296"/>
        <v>0</v>
      </c>
    </row>
    <row r="681" spans="1:33" x14ac:dyDescent="0.2">
      <c r="A681">
        <f t="shared" si="286"/>
        <v>6.4899999999999061</v>
      </c>
      <c r="B681" s="5">
        <f t="shared" si="287"/>
        <v>0</v>
      </c>
      <c r="C681" s="5">
        <f t="shared" si="288"/>
        <v>938.27172500962729</v>
      </c>
      <c r="D681" s="5">
        <f t="shared" si="289"/>
        <v>-90.476154640952927</v>
      </c>
      <c r="E681" s="2">
        <f t="shared" si="271"/>
        <v>312.75724166987578</v>
      </c>
      <c r="F681" s="2">
        <f t="shared" si="290"/>
        <v>0</v>
      </c>
      <c r="G681" s="3">
        <f t="shared" si="291"/>
        <v>0</v>
      </c>
      <c r="H681" s="3">
        <f t="shared" si="292"/>
        <v>101.84211376503799</v>
      </c>
      <c r="I681" s="3">
        <f t="shared" si="293"/>
        <v>-73.172654275594681</v>
      </c>
      <c r="J681" s="2">
        <f t="shared" si="272"/>
        <v>125.4035624289304</v>
      </c>
      <c r="K681" s="2">
        <f t="shared" si="294"/>
        <v>85.483000974049347</v>
      </c>
      <c r="L681" s="5">
        <f t="shared" si="273"/>
        <v>27.905262366180899</v>
      </c>
      <c r="M681" s="3">
        <f t="shared" si="274"/>
        <v>17.424922157659164</v>
      </c>
      <c r="N681" s="2">
        <v>0</v>
      </c>
      <c r="O681" s="2">
        <f t="shared" si="275"/>
        <v>125.4035624289304</v>
      </c>
      <c r="P681" s="2">
        <f t="shared" si="276"/>
        <v>85.483000974049347</v>
      </c>
      <c r="Q681" s="5">
        <f t="shared" si="277"/>
        <v>1.0568976710788502</v>
      </c>
      <c r="R681" s="5">
        <f t="shared" si="278"/>
        <v>0.16148204387753112</v>
      </c>
      <c r="S681" s="4">
        <f t="shared" si="295"/>
        <v>0.13895077476394932</v>
      </c>
      <c r="T681" s="5">
        <f t="shared" si="279"/>
        <v>0.10417317315975155</v>
      </c>
      <c r="U681" s="4">
        <f t="shared" si="280"/>
        <v>0</v>
      </c>
      <c r="V681" s="4">
        <f t="shared" si="281"/>
        <v>0</v>
      </c>
      <c r="W681" s="5">
        <f t="shared" si="282"/>
        <v>0</v>
      </c>
      <c r="X681" s="5">
        <f t="shared" si="283"/>
        <v>-11.719264458149684</v>
      </c>
      <c r="Y681" s="5">
        <f t="shared" si="284"/>
        <v>8.4201874338436795</v>
      </c>
      <c r="Z681" s="5">
        <f>1</f>
        <v>1</v>
      </c>
      <c r="AA681" s="5">
        <f>IF(M681=0,0,const*($T681/omega)*O681*(wy*I681-wz*(H681-V681))/Z681)</f>
        <v>0</v>
      </c>
      <c r="AB681" s="5">
        <f>IF(M681=0,0,const*($T681/omega)*O681*(wz*(G681-U681)-wx*I681)/Z681)</f>
        <v>5.4319206180509019</v>
      </c>
      <c r="AC681" s="5">
        <f>IF(M681=0,0,const*($T681/omega)*O681*(wx*(H681-V681)-wy*(G681-U681))/Z681)</f>
        <v>7.5601778153714454</v>
      </c>
      <c r="AD681" s="5">
        <f t="shared" si="270"/>
        <v>0</v>
      </c>
      <c r="AE681" s="5">
        <f t="shared" si="270"/>
        <v>-6.2873438400987824</v>
      </c>
      <c r="AF681" s="5">
        <f t="shared" si="285"/>
        <v>-16.193634750784874</v>
      </c>
      <c r="AG681">
        <f t="shared" si="296"/>
        <v>0</v>
      </c>
    </row>
    <row r="682" spans="1:33" x14ac:dyDescent="0.2">
      <c r="A682">
        <f t="shared" si="286"/>
        <v>6.4999999999999059</v>
      </c>
      <c r="B682" s="5">
        <f t="shared" si="287"/>
        <v>0</v>
      </c>
      <c r="C682" s="5">
        <f t="shared" si="288"/>
        <v>939.28983178008571</v>
      </c>
      <c r="D682" s="5">
        <f t="shared" si="289"/>
        <v>-91.208690865446414</v>
      </c>
      <c r="E682" s="2">
        <f t="shared" si="271"/>
        <v>313.0966105933619</v>
      </c>
      <c r="F682" s="2">
        <f t="shared" si="290"/>
        <v>0</v>
      </c>
      <c r="G682" s="3">
        <f t="shared" si="291"/>
        <v>0</v>
      </c>
      <c r="H682" s="3">
        <f t="shared" si="292"/>
        <v>101.77924032663701</v>
      </c>
      <c r="I682" s="3">
        <f t="shared" si="293"/>
        <v>-73.334590623102528</v>
      </c>
      <c r="J682" s="2">
        <f t="shared" si="272"/>
        <v>125.44710416476488</v>
      </c>
      <c r="K682" s="2">
        <f t="shared" si="294"/>
        <v>85.512681775572517</v>
      </c>
      <c r="L682" s="5">
        <f t="shared" si="273"/>
        <v>27.895576661832205</v>
      </c>
      <c r="M682" s="3">
        <f t="shared" si="274"/>
        <v>17.417270255030996</v>
      </c>
      <c r="N682" s="2">
        <v>0</v>
      </c>
      <c r="O682" s="2">
        <f t="shared" si="275"/>
        <v>125.44710416476488</v>
      </c>
      <c r="P682" s="2">
        <f t="shared" si="276"/>
        <v>85.512681775572517</v>
      </c>
      <c r="Q682" s="5">
        <f t="shared" si="277"/>
        <v>1.0572646395947907</v>
      </c>
      <c r="R682" s="5">
        <f t="shared" si="278"/>
        <v>0.16145924607836543</v>
      </c>
      <c r="S682" s="4">
        <f t="shared" si="295"/>
        <v>0.1388415489619815</v>
      </c>
      <c r="T682" s="5">
        <f t="shared" si="279"/>
        <v>0.10414041023975813</v>
      </c>
      <c r="U682" s="4">
        <f t="shared" si="280"/>
        <v>0</v>
      </c>
      <c r="V682" s="4">
        <f t="shared" si="281"/>
        <v>0</v>
      </c>
      <c r="W682" s="5">
        <f t="shared" si="282"/>
        <v>0</v>
      </c>
      <c r="X682" s="5">
        <f t="shared" si="283"/>
        <v>-11.714441937554364</v>
      </c>
      <c r="Y682" s="5">
        <f t="shared" si="284"/>
        <v>8.4405601880270851</v>
      </c>
      <c r="Z682" s="5">
        <f>1</f>
        <v>1</v>
      </c>
      <c r="AA682" s="5">
        <f>IF(M682=0,0,const*($T682/omega)*O682*(wy*I682-wz*(H682-V682))/Z682)</f>
        <v>0</v>
      </c>
      <c r="AB682" s="5">
        <f>IF(M682=0,0,const*($T682/omega)*O682*(wz*(G682-U682)-wx*I682)/Z682)</f>
        <v>5.4441193179353764</v>
      </c>
      <c r="AC682" s="5">
        <f>IF(M682=0,0,const*($T682/omega)*O682*(wx*(H682-V682)-wy*(G682-U682))/Z682)</f>
        <v>7.5557567543368096</v>
      </c>
      <c r="AD682" s="5">
        <f t="shared" si="270"/>
        <v>0</v>
      </c>
      <c r="AE682" s="5">
        <f t="shared" si="270"/>
        <v>-6.2703226196189874</v>
      </c>
      <c r="AF682" s="5">
        <f t="shared" si="285"/>
        <v>-16.177683057636106</v>
      </c>
      <c r="AG682">
        <f t="shared" si="296"/>
        <v>0</v>
      </c>
    </row>
    <row r="683" spans="1:33" x14ac:dyDescent="0.2">
      <c r="A683">
        <f t="shared" si="286"/>
        <v>6.5099999999999056</v>
      </c>
      <c r="B683" s="5">
        <f t="shared" si="287"/>
        <v>0</v>
      </c>
      <c r="C683" s="5">
        <f t="shared" si="288"/>
        <v>940.30731066722115</v>
      </c>
      <c r="D683" s="5">
        <f t="shared" si="289"/>
        <v>-91.942845655830325</v>
      </c>
      <c r="E683" s="2">
        <f t="shared" si="271"/>
        <v>313.43577022240703</v>
      </c>
      <c r="F683" s="2">
        <f t="shared" si="290"/>
        <v>0</v>
      </c>
      <c r="G683" s="3">
        <f t="shared" si="291"/>
        <v>0</v>
      </c>
      <c r="H683" s="3">
        <f t="shared" si="292"/>
        <v>101.71653710044082</v>
      </c>
      <c r="I683" s="3">
        <f t="shared" si="293"/>
        <v>-73.496367453678886</v>
      </c>
      <c r="J683" s="2">
        <f t="shared" si="272"/>
        <v>125.49091580107121</v>
      </c>
      <c r="K683" s="2">
        <f t="shared" si="294"/>
        <v>85.542546558330741</v>
      </c>
      <c r="L683" s="5">
        <f t="shared" si="273"/>
        <v>27.885837703028205</v>
      </c>
      <c r="M683" s="3">
        <f t="shared" si="274"/>
        <v>17.409608638885377</v>
      </c>
      <c r="N683" s="2">
        <v>0</v>
      </c>
      <c r="O683" s="2">
        <f t="shared" si="275"/>
        <v>125.49091580107121</v>
      </c>
      <c r="P683" s="2">
        <f t="shared" si="276"/>
        <v>85.542546558330741</v>
      </c>
      <c r="Q683" s="5">
        <f t="shared" si="277"/>
        <v>1.0576338828242609</v>
      </c>
      <c r="R683" s="5">
        <f t="shared" si="278"/>
        <v>0.16143638566533941</v>
      </c>
      <c r="S683" s="4">
        <f t="shared" si="295"/>
        <v>0.13873202317276231</v>
      </c>
      <c r="T683" s="5">
        <f t="shared" si="279"/>
        <v>0.10410754180474126</v>
      </c>
      <c r="U683" s="4">
        <f t="shared" si="280"/>
        <v>0</v>
      </c>
      <c r="V683" s="4">
        <f t="shared" si="281"/>
        <v>0</v>
      </c>
      <c r="W683" s="5">
        <f t="shared" si="282"/>
        <v>0</v>
      </c>
      <c r="X683" s="5">
        <f t="shared" si="283"/>
        <v>-11.709655526688421</v>
      </c>
      <c r="Y683" s="5">
        <f t="shared" si="284"/>
        <v>8.4609363420981438</v>
      </c>
      <c r="Z683" s="5">
        <f>1</f>
        <v>1</v>
      </c>
      <c r="AA683" s="5">
        <f>IF(M683=0,0,const*($T683/omega)*O683*(wy*I683-wz*(H683-V683))/Z683)</f>
        <v>0</v>
      </c>
      <c r="AB683" s="5">
        <f>IF(M683=0,0,const*($T683/omega)*O683*(wz*(G683-U683)-wx*I683)/Z683)</f>
        <v>5.4563119727435536</v>
      </c>
      <c r="AC683" s="5">
        <f>IF(M683=0,0,const*($T683/omega)*O683*(wx*(H683-V683)-wy*(G683-U683))/Z683)</f>
        <v>7.5513549639978637</v>
      </c>
      <c r="AD683" s="5">
        <f t="shared" si="270"/>
        <v>0</v>
      </c>
      <c r="AE683" s="5">
        <f t="shared" si="270"/>
        <v>-6.253343553944867</v>
      </c>
      <c r="AF683" s="5">
        <f t="shared" si="285"/>
        <v>-16.161708693903993</v>
      </c>
      <c r="AG683">
        <f t="shared" si="296"/>
        <v>0</v>
      </c>
    </row>
    <row r="684" spans="1:33" x14ac:dyDescent="0.2">
      <c r="A684">
        <f t="shared" si="286"/>
        <v>6.5199999999999054</v>
      </c>
      <c r="B684" s="5">
        <f t="shared" si="287"/>
        <v>0</v>
      </c>
      <c r="C684" s="5">
        <f t="shared" si="288"/>
        <v>941.3241633710478</v>
      </c>
      <c r="D684" s="5">
        <f t="shared" si="289"/>
        <v>-92.67861741580181</v>
      </c>
      <c r="E684" s="2">
        <f t="shared" si="271"/>
        <v>313.77472112368258</v>
      </c>
      <c r="F684" s="2">
        <f t="shared" si="290"/>
        <v>0</v>
      </c>
      <c r="G684" s="3">
        <f t="shared" si="291"/>
        <v>0</v>
      </c>
      <c r="H684" s="3">
        <f t="shared" si="292"/>
        <v>101.65400366490137</v>
      </c>
      <c r="I684" s="3">
        <f t="shared" si="293"/>
        <v>-73.657984540617932</v>
      </c>
      <c r="J684" s="2">
        <f t="shared" si="272"/>
        <v>125.53499570912363</v>
      </c>
      <c r="K684" s="2">
        <f t="shared" si="294"/>
        <v>85.57259421208154</v>
      </c>
      <c r="L684" s="5">
        <f t="shared" si="273"/>
        <v>27.876045970014065</v>
      </c>
      <c r="M684" s="3">
        <f t="shared" si="274"/>
        <v>17.401937337542389</v>
      </c>
      <c r="N684" s="2">
        <v>0</v>
      </c>
      <c r="O684" s="2">
        <f t="shared" si="275"/>
        <v>125.53499570912363</v>
      </c>
      <c r="P684" s="2">
        <f t="shared" si="276"/>
        <v>85.57259421208154</v>
      </c>
      <c r="Q684" s="5">
        <f t="shared" si="277"/>
        <v>1.0580053870404058</v>
      </c>
      <c r="R684" s="5">
        <f t="shared" si="278"/>
        <v>0.16141346327393682</v>
      </c>
      <c r="S684" s="4">
        <f t="shared" si="295"/>
        <v>0.13862220044093768</v>
      </c>
      <c r="T684" s="5">
        <f t="shared" si="279"/>
        <v>0.10407456862151028</v>
      </c>
      <c r="U684" s="4">
        <f t="shared" si="280"/>
        <v>0</v>
      </c>
      <c r="V684" s="4">
        <f t="shared" si="281"/>
        <v>0</v>
      </c>
      <c r="W684" s="5">
        <f t="shared" si="282"/>
        <v>0</v>
      </c>
      <c r="X684" s="5">
        <f t="shared" si="283"/>
        <v>-11.704905031933849</v>
      </c>
      <c r="Y684" s="5">
        <f t="shared" si="284"/>
        <v>8.4813158636984127</v>
      </c>
      <c r="Z684" s="5">
        <f>1</f>
        <v>1</v>
      </c>
      <c r="AA684" s="5">
        <f>IF(M684=0,0,const*($T684/omega)*O684*(wy*I684-wz*(H684-V684))/Z684)</f>
        <v>0</v>
      </c>
      <c r="AB684" s="5">
        <f>IF(M684=0,0,const*($T684/omega)*O684*(wz*(G684-U684)-wx*I684)/Z684)</f>
        <v>5.4684985499577632</v>
      </c>
      <c r="AC684" s="5">
        <f>IF(M684=0,0,const*($T684/omega)*O684*(wx*(H684-V684)-wy*(G684-U684))/Z684)</f>
        <v>7.5469723358011755</v>
      </c>
      <c r="AD684" s="5">
        <f t="shared" si="270"/>
        <v>0</v>
      </c>
      <c r="AE684" s="5">
        <f t="shared" si="270"/>
        <v>-6.2364064819760863</v>
      </c>
      <c r="AF684" s="5">
        <f t="shared" si="285"/>
        <v>-16.145711800500411</v>
      </c>
      <c r="AG684">
        <f t="shared" si="296"/>
        <v>0</v>
      </c>
    </row>
    <row r="685" spans="1:33" x14ac:dyDescent="0.2">
      <c r="A685">
        <f t="shared" si="286"/>
        <v>6.5299999999999052</v>
      </c>
      <c r="B685" s="5">
        <f t="shared" si="287"/>
        <v>0</v>
      </c>
      <c r="C685" s="5">
        <f t="shared" si="288"/>
        <v>942.34039158737266</v>
      </c>
      <c r="D685" s="5">
        <f t="shared" si="289"/>
        <v>-93.416004546798021</v>
      </c>
      <c r="E685" s="2">
        <f t="shared" si="271"/>
        <v>314.11346386245754</v>
      </c>
      <c r="F685" s="2">
        <f t="shared" si="290"/>
        <v>0</v>
      </c>
      <c r="G685" s="3">
        <f t="shared" si="291"/>
        <v>0</v>
      </c>
      <c r="H685" s="3">
        <f t="shared" si="292"/>
        <v>101.59163960008161</v>
      </c>
      <c r="I685" s="3">
        <f t="shared" si="293"/>
        <v>-73.819441658622935</v>
      </c>
      <c r="J685" s="2">
        <f t="shared" si="272"/>
        <v>125.57934226386004</v>
      </c>
      <c r="K685" s="2">
        <f t="shared" si="294"/>
        <v>85.602823629079779</v>
      </c>
      <c r="L685" s="5">
        <f t="shared" si="273"/>
        <v>27.866201941719613</v>
      </c>
      <c r="M685" s="3">
        <f t="shared" si="274"/>
        <v>17.394256379519781</v>
      </c>
      <c r="N685" s="2">
        <v>0</v>
      </c>
      <c r="O685" s="2">
        <f t="shared" si="275"/>
        <v>125.57934226386004</v>
      </c>
      <c r="P685" s="2">
        <f t="shared" si="276"/>
        <v>85.602823629079779</v>
      </c>
      <c r="Q685" s="5">
        <f t="shared" si="277"/>
        <v>1.0583791385472487</v>
      </c>
      <c r="R685" s="5">
        <f t="shared" si="278"/>
        <v>0.16139047953784388</v>
      </c>
      <c r="S685" s="4">
        <f t="shared" si="295"/>
        <v>0.13851208380254115</v>
      </c>
      <c r="T685" s="5">
        <f t="shared" si="279"/>
        <v>0.1040414914553161</v>
      </c>
      <c r="U685" s="4">
        <f t="shared" si="280"/>
        <v>0</v>
      </c>
      <c r="V685" s="4">
        <f t="shared" si="281"/>
        <v>0</v>
      </c>
      <c r="W685" s="5">
        <f t="shared" si="282"/>
        <v>0</v>
      </c>
      <c r="X685" s="5">
        <f t="shared" si="283"/>
        <v>-11.700190260614491</v>
      </c>
      <c r="Y685" s="5">
        <f t="shared" si="284"/>
        <v>8.5016987198770035</v>
      </c>
      <c r="Z685" s="5">
        <f>1</f>
        <v>1</v>
      </c>
      <c r="AA685" s="5">
        <f>IF(M685=0,0,const*($T685/omega)*O685*(wy*I685-wz*(H685-V685))/Z685)</f>
        <v>0</v>
      </c>
      <c r="AB685" s="5">
        <f>IF(M685=0,0,const*($T685/omega)*O685*(wz*(G685-U685)-wx*I685)/Z685)</f>
        <v>5.4806790168334869</v>
      </c>
      <c r="AC685" s="5">
        <f>IF(M685=0,0,const*($T685/omega)*O685*(wx*(H685-V685)-wy*(G685-U685))/Z685)</f>
        <v>7.5426087617507438</v>
      </c>
      <c r="AD685" s="5">
        <f t="shared" si="270"/>
        <v>0</v>
      </c>
      <c r="AE685" s="5">
        <f t="shared" si="270"/>
        <v>-6.2195112437810041</v>
      </c>
      <c r="AF685" s="5">
        <f t="shared" si="285"/>
        <v>-16.129692518372252</v>
      </c>
      <c r="AG685">
        <f t="shared" si="296"/>
        <v>0</v>
      </c>
    </row>
    <row r="686" spans="1:33" x14ac:dyDescent="0.2">
      <c r="A686">
        <f t="shared" si="286"/>
        <v>6.539999999999905</v>
      </c>
      <c r="B686" s="5">
        <f t="shared" si="287"/>
        <v>0</v>
      </c>
      <c r="C686" s="5">
        <f t="shared" si="288"/>
        <v>943.3559970078112</v>
      </c>
      <c r="D686" s="5">
        <f t="shared" si="289"/>
        <v>-94.155005448010158</v>
      </c>
      <c r="E686" s="2">
        <f t="shared" si="271"/>
        <v>314.45199900260371</v>
      </c>
      <c r="F686" s="2">
        <f t="shared" si="290"/>
        <v>0</v>
      </c>
      <c r="G686" s="3">
        <f t="shared" si="291"/>
        <v>0</v>
      </c>
      <c r="H686" s="3">
        <f t="shared" si="292"/>
        <v>101.5294444876438</v>
      </c>
      <c r="I686" s="3">
        <f t="shared" si="293"/>
        <v>-73.980738583806655</v>
      </c>
      <c r="J686" s="2">
        <f t="shared" si="272"/>
        <v>125.62395384390305</v>
      </c>
      <c r="K686" s="2">
        <f t="shared" si="294"/>
        <v>85.633233704092049</v>
      </c>
      <c r="L686" s="5">
        <f t="shared" si="273"/>
        <v>27.856306095741363</v>
      </c>
      <c r="M686" s="3">
        <f t="shared" si="274"/>
        <v>17.386565793530792</v>
      </c>
      <c r="N686" s="2">
        <v>0</v>
      </c>
      <c r="O686" s="2">
        <f t="shared" si="275"/>
        <v>125.62395384390305</v>
      </c>
      <c r="P686" s="2">
        <f t="shared" si="276"/>
        <v>85.633233704092049</v>
      </c>
      <c r="Q686" s="5">
        <f t="shared" si="277"/>
        <v>1.0587551236798667</v>
      </c>
      <c r="R686" s="5">
        <f t="shared" si="278"/>
        <v>0.16136743508892581</v>
      </c>
      <c r="S686" s="4">
        <f t="shared" si="295"/>
        <v>0.1384016762848817</v>
      </c>
      <c r="T686" s="5">
        <f t="shared" si="279"/>
        <v>0.10400831106982496</v>
      </c>
      <c r="U686" s="4">
        <f t="shared" si="280"/>
        <v>0</v>
      </c>
      <c r="V686" s="4">
        <f t="shared" si="281"/>
        <v>0</v>
      </c>
      <c r="W686" s="5">
        <f t="shared" si="282"/>
        <v>0</v>
      </c>
      <c r="X686" s="5">
        <f t="shared" si="283"/>
        <v>-11.695511020992477</v>
      </c>
      <c r="Y686" s="5">
        <f t="shared" si="284"/>
        <v>8.5220848770956739</v>
      </c>
      <c r="Z686" s="5">
        <f>1</f>
        <v>1</v>
      </c>
      <c r="AA686" s="5">
        <f>IF(M686=0,0,const*($T686/omega)*O686*(wy*I686-wz*(H686-V686))/Z686)</f>
        <v>0</v>
      </c>
      <c r="AB686" s="5">
        <f>IF(M686=0,0,const*($T686/omega)*O686*(wz*(G686-U686)-wx*I686)/Z686)</f>
        <v>5.4928533404026751</v>
      </c>
      <c r="AC686" s="5">
        <f>IF(M686=0,0,const*($T686/omega)*O686*(wx*(H686-V686)-wy*(G686-U686))/Z686)</f>
        <v>7.5382641344060861</v>
      </c>
      <c r="AD686" s="5">
        <f t="shared" si="270"/>
        <v>0</v>
      </c>
      <c r="AE686" s="5">
        <f t="shared" si="270"/>
        <v>-6.2026576805898017</v>
      </c>
      <c r="AF686" s="5">
        <f t="shared" si="285"/>
        <v>-16.11365098849824</v>
      </c>
      <c r="AG686">
        <f t="shared" si="296"/>
        <v>0</v>
      </c>
    </row>
    <row r="687" spans="1:33" x14ac:dyDescent="0.2">
      <c r="A687">
        <f t="shared" si="286"/>
        <v>6.5499999999999048</v>
      </c>
      <c r="B687" s="5">
        <f t="shared" si="287"/>
        <v>0</v>
      </c>
      <c r="C687" s="5">
        <f t="shared" si="288"/>
        <v>944.3709813198036</v>
      </c>
      <c r="D687" s="5">
        <f t="shared" si="289"/>
        <v>-94.895618516397647</v>
      </c>
      <c r="E687" s="2">
        <f t="shared" si="271"/>
        <v>314.79032710660118</v>
      </c>
      <c r="F687" s="2">
        <f t="shared" si="290"/>
        <v>0</v>
      </c>
      <c r="G687" s="3">
        <f t="shared" si="291"/>
        <v>0</v>
      </c>
      <c r="H687" s="3">
        <f t="shared" si="292"/>
        <v>101.46741791083791</v>
      </c>
      <c r="I687" s="3">
        <f t="shared" si="293"/>
        <v>-74.141875093691638</v>
      </c>
      <c r="J687" s="2">
        <f t="shared" si="272"/>
        <v>125.668828831581</v>
      </c>
      <c r="K687" s="2">
        <f t="shared" si="294"/>
        <v>85.663823334411035</v>
      </c>
      <c r="L687" s="5">
        <f t="shared" si="273"/>
        <v>27.846358908324873</v>
      </c>
      <c r="M687" s="3">
        <f t="shared" si="274"/>
        <v>17.378865608481988</v>
      </c>
      <c r="N687" s="2">
        <v>0</v>
      </c>
      <c r="O687" s="2">
        <f t="shared" si="275"/>
        <v>125.668828831581</v>
      </c>
      <c r="P687" s="2">
        <f t="shared" si="276"/>
        <v>85.663823334411035</v>
      </c>
      <c r="Q687" s="5">
        <f t="shared" si="277"/>
        <v>1.0591333288045688</v>
      </c>
      <c r="R687" s="5">
        <f t="shared" si="278"/>
        <v>0.16134433055720368</v>
      </c>
      <c r="S687" s="4">
        <f t="shared" si="295"/>
        <v>0.13829098090643319</v>
      </c>
      <c r="T687" s="5">
        <f t="shared" si="279"/>
        <v>0.10397502822709263</v>
      </c>
      <c r="U687" s="4">
        <f t="shared" si="280"/>
        <v>0</v>
      </c>
      <c r="V687" s="4">
        <f t="shared" si="281"/>
        <v>0</v>
      </c>
      <c r="W687" s="5">
        <f t="shared" si="282"/>
        <v>0</v>
      </c>
      <c r="X687" s="5">
        <f t="shared" si="283"/>
        <v>-11.690867122264676</v>
      </c>
      <c r="Y687" s="5">
        <f t="shared" si="284"/>
        <v>8.5424743012339057</v>
      </c>
      <c r="Z687" s="5">
        <f>1</f>
        <v>1</v>
      </c>
      <c r="AA687" s="5">
        <f>IF(M687=0,0,const*($T687/omega)*O687*(wy*I687-wz*(H687-V687))/Z687)</f>
        <v>0</v>
      </c>
      <c r="AB687" s="5">
        <f>IF(M687=0,0,const*($T687/omega)*O687*(wz*(G687-U687)-wx*I687)/Z687)</f>
        <v>5.505021487477066</v>
      </c>
      <c r="AC687" s="5">
        <f>IF(M687=0,0,const*($T687/omega)*O687*(wx*(H687-V687)-wy*(G687-U687))/Z687)</f>
        <v>7.5339383468803689</v>
      </c>
      <c r="AD687" s="5">
        <f t="shared" si="270"/>
        <v>0</v>
      </c>
      <c r="AE687" s="5">
        <f t="shared" si="270"/>
        <v>-6.1858456347876096</v>
      </c>
      <c r="AF687" s="5">
        <f t="shared" si="285"/>
        <v>-16.097587351885725</v>
      </c>
      <c r="AG687">
        <f t="shared" si="296"/>
        <v>0</v>
      </c>
    </row>
    <row r="688" spans="1:33" x14ac:dyDescent="0.2">
      <c r="A688">
        <f t="shared" si="286"/>
        <v>6.5599999999999046</v>
      </c>
      <c r="B688" s="5">
        <f t="shared" si="287"/>
        <v>0</v>
      </c>
      <c r="C688" s="5">
        <f t="shared" si="288"/>
        <v>945.38534620663029</v>
      </c>
      <c r="D688" s="5">
        <f t="shared" si="289"/>
        <v>-95.637842146702155</v>
      </c>
      <c r="E688" s="2">
        <f t="shared" si="271"/>
        <v>315.12844873554343</v>
      </c>
      <c r="F688" s="2">
        <f t="shared" si="290"/>
        <v>0</v>
      </c>
      <c r="G688" s="3">
        <f t="shared" si="291"/>
        <v>0</v>
      </c>
      <c r="H688" s="3">
        <f t="shared" si="292"/>
        <v>101.40555945449003</v>
      </c>
      <c r="I688" s="3">
        <f t="shared" si="293"/>
        <v>-74.302850967210489</v>
      </c>
      <c r="J688" s="2">
        <f t="shared" si="272"/>
        <v>125.71396561294853</v>
      </c>
      <c r="K688" s="2">
        <f t="shared" si="294"/>
        <v>85.694591419869482</v>
      </c>
      <c r="L688" s="5">
        <f t="shared" si="273"/>
        <v>27.836360854347348</v>
      </c>
      <c r="M688" s="3">
        <f t="shared" si="274"/>
        <v>17.371155853471095</v>
      </c>
      <c r="N688" s="2">
        <v>0</v>
      </c>
      <c r="O688" s="2">
        <f t="shared" si="275"/>
        <v>125.71396561294853</v>
      </c>
      <c r="P688" s="2">
        <f t="shared" si="276"/>
        <v>85.694591419869482</v>
      </c>
      <c r="Q688" s="5">
        <f t="shared" si="277"/>
        <v>1.0595137403190693</v>
      </c>
      <c r="R688" s="5">
        <f t="shared" si="278"/>
        <v>0.16132116657083184</v>
      </c>
      <c r="S688" s="4">
        <f t="shared" si="295"/>
        <v>0.13818000067672567</v>
      </c>
      <c r="T688" s="5">
        <f t="shared" si="279"/>
        <v>0.10394164368753907</v>
      </c>
      <c r="U688" s="4">
        <f t="shared" si="280"/>
        <v>0</v>
      </c>
      <c r="V688" s="4">
        <f t="shared" si="281"/>
        <v>0</v>
      </c>
      <c r="W688" s="5">
        <f t="shared" si="282"/>
        <v>0</v>
      </c>
      <c r="X688" s="5">
        <f t="shared" si="283"/>
        <v>-11.686258374559186</v>
      </c>
      <c r="Y688" s="5">
        <f t="shared" si="284"/>
        <v>8.5628669575940002</v>
      </c>
      <c r="Z688" s="5">
        <f>1</f>
        <v>1</v>
      </c>
      <c r="AA688" s="5">
        <f>IF(M688=0,0,const*($T688/omega)*O688*(wy*I688-wz*(H688-V688))/Z688)</f>
        <v>0</v>
      </c>
      <c r="AB688" s="5">
        <f>IF(M688=0,0,const*($T688/omega)*O688*(wz*(G688-U688)-wx*I688)/Z688)</f>
        <v>5.5171834246515017</v>
      </c>
      <c r="AC688" s="5">
        <f>IF(M688=0,0,const*($T688/omega)*O688*(wx*(H688-V688)-wy*(G688-U688))/Z688)</f>
        <v>7.5296312928385163</v>
      </c>
      <c r="AD688" s="5">
        <f t="shared" ref="AD688:AE751" si="297">W688+AA688</f>
        <v>0</v>
      </c>
      <c r="AE688" s="5">
        <f t="shared" si="297"/>
        <v>-6.1690749499076842</v>
      </c>
      <c r="AF688" s="5">
        <f t="shared" si="285"/>
        <v>-16.081501749567483</v>
      </c>
      <c r="AG688">
        <f t="shared" si="296"/>
        <v>0</v>
      </c>
    </row>
    <row r="689" spans="1:33" x14ac:dyDescent="0.2">
      <c r="A689">
        <f t="shared" si="286"/>
        <v>6.5699999999999044</v>
      </c>
      <c r="B689" s="5">
        <f t="shared" si="287"/>
        <v>0</v>
      </c>
      <c r="C689" s="5">
        <f t="shared" si="288"/>
        <v>946.39909334742765</v>
      </c>
      <c r="D689" s="5">
        <f t="shared" si="289"/>
        <v>-96.381674731461729</v>
      </c>
      <c r="E689" s="2">
        <f t="shared" si="271"/>
        <v>315.46636444914253</v>
      </c>
      <c r="F689" s="2">
        <f t="shared" si="290"/>
        <v>0</v>
      </c>
      <c r="G689" s="3">
        <f t="shared" si="291"/>
        <v>0</v>
      </c>
      <c r="H689" s="3">
        <f t="shared" si="292"/>
        <v>101.34386870499095</v>
      </c>
      <c r="I689" s="3">
        <f t="shared" si="293"/>
        <v>-74.463665984706168</v>
      </c>
      <c r="J689" s="2">
        <f t="shared" si="272"/>
        <v>125.75936257780702</v>
      </c>
      <c r="K689" s="2">
        <f t="shared" si="294"/>
        <v>85.725536862854142</v>
      </c>
      <c r="L689" s="5">
        <f t="shared" si="273"/>
        <v>27.826312407300616</v>
      </c>
      <c r="M689" s="3">
        <f t="shared" si="274"/>
        <v>17.363436557784844</v>
      </c>
      <c r="N689" s="2">
        <v>0</v>
      </c>
      <c r="O689" s="2">
        <f t="shared" si="275"/>
        <v>125.75936257780702</v>
      </c>
      <c r="P689" s="2">
        <f t="shared" si="276"/>
        <v>85.725536862854142</v>
      </c>
      <c r="Q689" s="5">
        <f t="shared" si="277"/>
        <v>1.0598963446526599</v>
      </c>
      <c r="R689" s="5">
        <f t="shared" si="278"/>
        <v>0.16129794375607559</v>
      </c>
      <c r="S689" s="4">
        <f t="shared" si="295"/>
        <v>0.13806873859623872</v>
      </c>
      <c r="T689" s="5">
        <f t="shared" si="279"/>
        <v>0.10390815820992327</v>
      </c>
      <c r="U689" s="4">
        <f t="shared" si="280"/>
        <v>0</v>
      </c>
      <c r="V689" s="4">
        <f t="shared" si="281"/>
        <v>0</v>
      </c>
      <c r="W689" s="5">
        <f t="shared" si="282"/>
        <v>0</v>
      </c>
      <c r="X689" s="5">
        <f t="shared" si="283"/>
        <v>-11.681684588931768</v>
      </c>
      <c r="Y689" s="5">
        <f t="shared" si="284"/>
        <v>8.5832628109061524</v>
      </c>
      <c r="Z689" s="5">
        <f>1</f>
        <v>1</v>
      </c>
      <c r="AA689" s="5">
        <f>IF(M689=0,0,const*($T689/omega)*O689*(wy*I689-wz*(H689-V689))/Z689)</f>
        <v>0</v>
      </c>
      <c r="AB689" s="5">
        <f>IF(M689=0,0,const*($T689/omega)*O689*(wz*(G689-U689)-wx*I689)/Z689)</f>
        <v>5.5293391183072247</v>
      </c>
      <c r="AC689" s="5">
        <f>IF(M689=0,0,const*($T689/omega)*O689*(wx*(H689-V689)-wy*(G689-U689))/Z689)</f>
        <v>7.5253428664953077</v>
      </c>
      <c r="AD689" s="5">
        <f t="shared" si="297"/>
        <v>0</v>
      </c>
      <c r="AE689" s="5">
        <f t="shared" si="297"/>
        <v>-6.1523454706245433</v>
      </c>
      <c r="AF689" s="5">
        <f t="shared" si="285"/>
        <v>-16.065394322598539</v>
      </c>
      <c r="AG689">
        <f t="shared" si="296"/>
        <v>0</v>
      </c>
    </row>
    <row r="690" spans="1:33" x14ac:dyDescent="0.2">
      <c r="A690">
        <f t="shared" si="286"/>
        <v>6.5799999999999041</v>
      </c>
      <c r="B690" s="5">
        <f t="shared" si="287"/>
        <v>0</v>
      </c>
      <c r="C690" s="5">
        <f t="shared" si="288"/>
        <v>947.41222441720402</v>
      </c>
      <c r="D690" s="5">
        <f t="shared" si="289"/>
        <v>-97.127114661024919</v>
      </c>
      <c r="E690" s="2">
        <f t="shared" si="271"/>
        <v>315.80407480573467</v>
      </c>
      <c r="F690" s="2">
        <f t="shared" si="290"/>
        <v>0</v>
      </c>
      <c r="G690" s="3">
        <f t="shared" si="291"/>
        <v>0</v>
      </c>
      <c r="H690" s="3">
        <f t="shared" si="292"/>
        <v>101.28234525028471</v>
      </c>
      <c r="I690" s="3">
        <f t="shared" si="293"/>
        <v>-74.624319927932149</v>
      </c>
      <c r="J690" s="2">
        <f t="shared" si="272"/>
        <v>125.80501811972462</v>
      </c>
      <c r="K690" s="2">
        <f t="shared" si="294"/>
        <v>85.756658568319438</v>
      </c>
      <c r="L690" s="5">
        <f t="shared" si="273"/>
        <v>27.816214039274353</v>
      </c>
      <c r="M690" s="3">
        <f t="shared" si="274"/>
        <v>17.355707750896812</v>
      </c>
      <c r="N690" s="2">
        <v>0</v>
      </c>
      <c r="O690" s="2">
        <f t="shared" si="275"/>
        <v>125.80501811972462</v>
      </c>
      <c r="P690" s="2">
        <f t="shared" si="276"/>
        <v>85.756658568319438</v>
      </c>
      <c r="Q690" s="5">
        <f t="shared" si="277"/>
        <v>1.0602811282663778</v>
      </c>
      <c r="R690" s="5">
        <f t="shared" si="278"/>
        <v>0.16127466273728933</v>
      </c>
      <c r="S690" s="4">
        <f t="shared" si="295"/>
        <v>0.13795719765629649</v>
      </c>
      <c r="T690" s="5">
        <f t="shared" si="279"/>
        <v>0.10387457255131857</v>
      </c>
      <c r="U690" s="4">
        <f t="shared" si="280"/>
        <v>0</v>
      </c>
      <c r="V690" s="4">
        <f t="shared" si="281"/>
        <v>0</v>
      </c>
      <c r="W690" s="5">
        <f t="shared" si="282"/>
        <v>0</v>
      </c>
      <c r="X690" s="5">
        <f t="shared" si="283"/>
        <v>-11.677145577362339</v>
      </c>
      <c r="Y690" s="5">
        <f t="shared" si="284"/>
        <v>8.6036618253335284</v>
      </c>
      <c r="Z690" s="5">
        <f>1</f>
        <v>1</v>
      </c>
      <c r="AA690" s="5">
        <f>IF(M690=0,0,const*($T690/omega)*O690*(wy*I690-wz*(H690-V690))/Z690)</f>
        <v>0</v>
      </c>
      <c r="AB690" s="5">
        <f>IF(M690=0,0,const*($T690/omega)*O690*(wz*(G690-U690)-wx*I690)/Z690)</f>
        <v>5.5414885346151719</v>
      </c>
      <c r="AC690" s="5">
        <f>IF(M690=0,0,const*($T690/omega)*O690*(wx*(H690-V690)-wy*(G690-U690))/Z690)</f>
        <v>7.52107296261347</v>
      </c>
      <c r="AD690" s="5">
        <f t="shared" si="297"/>
        <v>0</v>
      </c>
      <c r="AE690" s="5">
        <f t="shared" si="297"/>
        <v>-6.1356570427471668</v>
      </c>
      <c r="AF690" s="5">
        <f t="shared" si="285"/>
        <v>-16.049265212053001</v>
      </c>
      <c r="AG690">
        <f t="shared" si="296"/>
        <v>0</v>
      </c>
    </row>
    <row r="691" spans="1:33" x14ac:dyDescent="0.2">
      <c r="A691">
        <f t="shared" si="286"/>
        <v>6.5899999999999039</v>
      </c>
      <c r="B691" s="5">
        <f t="shared" si="287"/>
        <v>0</v>
      </c>
      <c r="C691" s="5">
        <f t="shared" si="288"/>
        <v>948.42474108685474</v>
      </c>
      <c r="D691" s="5">
        <f t="shared" si="289"/>
        <v>-97.874160323564837</v>
      </c>
      <c r="E691" s="2">
        <f t="shared" si="271"/>
        <v>316.14158036228491</v>
      </c>
      <c r="F691" s="2">
        <f t="shared" si="290"/>
        <v>0</v>
      </c>
      <c r="G691" s="3">
        <f t="shared" si="291"/>
        <v>0</v>
      </c>
      <c r="H691" s="3">
        <f t="shared" si="292"/>
        <v>101.22098867985723</v>
      </c>
      <c r="I691" s="3">
        <f t="shared" si="293"/>
        <v>-74.784812580052673</v>
      </c>
      <c r="J691" s="2">
        <f t="shared" si="272"/>
        <v>125.85093063605605</v>
      </c>
      <c r="K691" s="2">
        <f t="shared" si="294"/>
        <v>85.787955443800982</v>
      </c>
      <c r="L691" s="5">
        <f t="shared" si="273"/>
        <v>27.806066220939584</v>
      </c>
      <c r="M691" s="3">
        <f t="shared" si="274"/>
        <v>17.347969462465279</v>
      </c>
      <c r="N691" s="2">
        <v>0</v>
      </c>
      <c r="O691" s="2">
        <f t="shared" si="275"/>
        <v>125.85093063605605</v>
      </c>
      <c r="P691" s="2">
        <f t="shared" si="276"/>
        <v>85.787955443800982</v>
      </c>
      <c r="Q691" s="5">
        <f t="shared" si="277"/>
        <v>1.0606680776531752</v>
      </c>
      <c r="R691" s="5">
        <f t="shared" si="278"/>
        <v>0.161251324136895</v>
      </c>
      <c r="S691" s="4">
        <f t="shared" si="295"/>
        <v>0.13784538083896472</v>
      </c>
      <c r="T691" s="5">
        <f t="shared" si="279"/>
        <v>0.10384088746708837</v>
      </c>
      <c r="U691" s="4">
        <f t="shared" si="280"/>
        <v>0</v>
      </c>
      <c r="V691" s="4">
        <f t="shared" si="281"/>
        <v>0</v>
      </c>
      <c r="W691" s="5">
        <f t="shared" si="282"/>
        <v>0</v>
      </c>
      <c r="X691" s="5">
        <f t="shared" si="283"/>
        <v>-11.672641152751414</v>
      </c>
      <c r="Y691" s="5">
        <f t="shared" si="284"/>
        <v>8.6240639644773296</v>
      </c>
      <c r="Z691" s="5">
        <f>1</f>
        <v>1</v>
      </c>
      <c r="AA691" s="5">
        <f>IF(M691=0,0,const*($T691/omega)*O691*(wy*I691-wz*(H691-V691))/Z691)</f>
        <v>0</v>
      </c>
      <c r="AB691" s="5">
        <f>IF(M691=0,0,const*($T691/omega)*O691*(wz*(G691-U691)-wx*I691)/Z691)</f>
        <v>5.5536316395392697</v>
      </c>
      <c r="AC691" s="5">
        <f>IF(M691=0,0,const*($T691/omega)*O691*(wx*(H691-V691)-wy*(G691-U691))/Z691)</f>
        <v>7.5168214765017929</v>
      </c>
      <c r="AD691" s="5">
        <f t="shared" si="297"/>
        <v>0</v>
      </c>
      <c r="AE691" s="5">
        <f t="shared" si="297"/>
        <v>-6.119009513212144</v>
      </c>
      <c r="AF691" s="5">
        <f t="shared" si="285"/>
        <v>-16.033114559020877</v>
      </c>
      <c r="AG691">
        <f t="shared" si="296"/>
        <v>0</v>
      </c>
    </row>
    <row r="692" spans="1:33" x14ac:dyDescent="0.2">
      <c r="A692">
        <f t="shared" si="286"/>
        <v>6.5999999999999037</v>
      </c>
      <c r="B692" s="5">
        <f t="shared" si="287"/>
        <v>0</v>
      </c>
      <c r="C692" s="5">
        <f t="shared" si="288"/>
        <v>949.43664502317768</v>
      </c>
      <c r="D692" s="5">
        <f t="shared" si="289"/>
        <v>-98.622810105093322</v>
      </c>
      <c r="E692" s="2">
        <f t="shared" si="271"/>
        <v>316.47888167439254</v>
      </c>
      <c r="F692" s="2">
        <f t="shared" si="290"/>
        <v>0</v>
      </c>
      <c r="G692" s="3">
        <f t="shared" si="291"/>
        <v>0</v>
      </c>
      <c r="H692" s="3">
        <f t="shared" si="292"/>
        <v>101.15979858472511</v>
      </c>
      <c r="I692" s="3">
        <f t="shared" si="293"/>
        <v>-74.945143725642879</v>
      </c>
      <c r="J692" s="2">
        <f t="shared" si="272"/>
        <v>125.89709852796219</v>
      </c>
      <c r="K692" s="2">
        <f t="shared" si="294"/>
        <v>85.819426399428892</v>
      </c>
      <c r="L692" s="5">
        <f t="shared" si="273"/>
        <v>27.795869421532505</v>
      </c>
      <c r="M692" s="3">
        <f t="shared" si="274"/>
        <v>17.340221722331083</v>
      </c>
      <c r="N692" s="2">
        <v>0</v>
      </c>
      <c r="O692" s="2">
        <f t="shared" si="275"/>
        <v>125.89709852796219</v>
      </c>
      <c r="P692" s="2">
        <f t="shared" si="276"/>
        <v>85.819426399428892</v>
      </c>
      <c r="Q692" s="5">
        <f t="shared" si="277"/>
        <v>1.0610571793380803</v>
      </c>
      <c r="R692" s="5">
        <f t="shared" si="278"/>
        <v>0.16122792857536095</v>
      </c>
      <c r="S692" s="4">
        <f t="shared" si="295"/>
        <v>0.13773329111694946</v>
      </c>
      <c r="T692" s="5">
        <f t="shared" si="279"/>
        <v>0.10380710371086202</v>
      </c>
      <c r="U692" s="4">
        <f t="shared" si="280"/>
        <v>0</v>
      </c>
      <c r="V692" s="4">
        <f t="shared" si="281"/>
        <v>0</v>
      </c>
      <c r="W692" s="5">
        <f t="shared" si="282"/>
        <v>0</v>
      </c>
      <c r="X692" s="5">
        <f t="shared" si="283"/>
        <v>-11.668171128916601</v>
      </c>
      <c r="Y692" s="5">
        <f t="shared" si="284"/>
        <v>8.6444691913818694</v>
      </c>
      <c r="Z692" s="5">
        <f>1</f>
        <v>1</v>
      </c>
      <c r="AA692" s="5">
        <f>IF(M692=0,0,const*($T692/omega)*O692*(wy*I692-wz*(H692-V692))/Z692)</f>
        <v>0</v>
      </c>
      <c r="AB692" s="5">
        <f>IF(M692=0,0,const*($T692/omega)*O692*(wz*(G692-U692)-wx*I692)/Z692)</f>
        <v>5.5657683988397073</v>
      </c>
      <c r="AC692" s="5">
        <f>IF(M692=0,0,const*($T692/omega)*O692*(wx*(H692-V692)-wy*(G692-U692))/Z692)</f>
        <v>7.512588304013196</v>
      </c>
      <c r="AD692" s="5">
        <f t="shared" si="297"/>
        <v>0</v>
      </c>
      <c r="AE692" s="5">
        <f t="shared" si="297"/>
        <v>-6.1024027300768937</v>
      </c>
      <c r="AF692" s="5">
        <f t="shared" si="285"/>
        <v>-16.016942504604934</v>
      </c>
      <c r="AG692">
        <f t="shared" si="296"/>
        <v>0</v>
      </c>
    </row>
    <row r="693" spans="1:33" x14ac:dyDescent="0.2">
      <c r="A693">
        <f t="shared" si="286"/>
        <v>6.6099999999999035</v>
      </c>
      <c r="B693" s="5">
        <f t="shared" si="287"/>
        <v>0</v>
      </c>
      <c r="C693" s="5">
        <f t="shared" si="288"/>
        <v>950.44793788888842</v>
      </c>
      <c r="D693" s="5">
        <f t="shared" si="289"/>
        <v>-99.373062389474981</v>
      </c>
      <c r="E693" s="2">
        <f t="shared" si="271"/>
        <v>316.81597929629612</v>
      </c>
      <c r="F693" s="2">
        <f t="shared" si="290"/>
        <v>0</v>
      </c>
      <c r="G693" s="3">
        <f t="shared" si="291"/>
        <v>0</v>
      </c>
      <c r="H693" s="3">
        <f t="shared" si="292"/>
        <v>101.09877455742433</v>
      </c>
      <c r="I693" s="3">
        <f t="shared" si="293"/>
        <v>-75.105313150688929</v>
      </c>
      <c r="J693" s="2">
        <f t="shared" si="272"/>
        <v>125.94352020042936</v>
      </c>
      <c r="K693" s="2">
        <f t="shared" si="294"/>
        <v>85.851070347940933</v>
      </c>
      <c r="L693" s="5">
        <f t="shared" si="273"/>
        <v>27.785624108838583</v>
      </c>
      <c r="M693" s="3">
        <f t="shared" si="274"/>
        <v>17.332464560515501</v>
      </c>
      <c r="N693" s="2">
        <v>0</v>
      </c>
      <c r="O693" s="2">
        <f t="shared" si="275"/>
        <v>125.94352020042936</v>
      </c>
      <c r="P693" s="2">
        <f t="shared" si="276"/>
        <v>85.851070347940933</v>
      </c>
      <c r="Q693" s="5">
        <f t="shared" si="277"/>
        <v>1.0614484198783636</v>
      </c>
      <c r="R693" s="5">
        <f t="shared" si="278"/>
        <v>0.16120447667118126</v>
      </c>
      <c r="S693" s="4">
        <f t="shared" si="295"/>
        <v>0.13762093145349777</v>
      </c>
      <c r="T693" s="5">
        <f t="shared" si="279"/>
        <v>0.10377322203451129</v>
      </c>
      <c r="U693" s="4">
        <f t="shared" si="280"/>
        <v>0</v>
      </c>
      <c r="V693" s="4">
        <f t="shared" si="281"/>
        <v>0</v>
      </c>
      <c r="W693" s="5">
        <f t="shared" si="282"/>
        <v>0</v>
      </c>
      <c r="X693" s="5">
        <f t="shared" si="283"/>
        <v>-11.663735320589074</v>
      </c>
      <c r="Y693" s="5">
        <f t="shared" si="284"/>
        <v>8.6648774685396273</v>
      </c>
      <c r="Z693" s="5">
        <f>1</f>
        <v>1</v>
      </c>
      <c r="AA693" s="5">
        <f>IF(M693=0,0,const*($T693/omega)*O693*(wy*I693-wz*(H693-V693))/Z693)</f>
        <v>0</v>
      </c>
      <c r="AB693" s="5">
        <f>IF(M693=0,0,const*($T693/omega)*O693*(wz*(G693-U693)-wx*I693)/Z693)</f>
        <v>5.5778987780762108</v>
      </c>
      <c r="AC693" s="5">
        <f>IF(M693=0,0,const*($T693/omega)*O693*(wx*(H693-V693)-wy*(G693-U693))/Z693)</f>
        <v>7.5083733415428382</v>
      </c>
      <c r="AD693" s="5">
        <f t="shared" si="297"/>
        <v>0</v>
      </c>
      <c r="AE693" s="5">
        <f t="shared" si="297"/>
        <v>-6.0858365425128635</v>
      </c>
      <c r="AF693" s="5">
        <f t="shared" si="285"/>
        <v>-16.000749189917535</v>
      </c>
      <c r="AG693">
        <f t="shared" si="296"/>
        <v>0</v>
      </c>
    </row>
    <row r="694" spans="1:33" x14ac:dyDescent="0.2">
      <c r="A694">
        <f t="shared" si="286"/>
        <v>6.6199999999999033</v>
      </c>
      <c r="B694" s="5">
        <f t="shared" si="287"/>
        <v>0</v>
      </c>
      <c r="C694" s="5">
        <f t="shared" si="288"/>
        <v>951.45862134263552</v>
      </c>
      <c r="D694" s="5">
        <f t="shared" si="289"/>
        <v>-100.12491555844137</v>
      </c>
      <c r="E694" s="2">
        <f t="shared" si="271"/>
        <v>317.15287378087851</v>
      </c>
      <c r="F694" s="2">
        <f t="shared" si="290"/>
        <v>0</v>
      </c>
      <c r="G694" s="3">
        <f t="shared" si="291"/>
        <v>0</v>
      </c>
      <c r="H694" s="3">
        <f t="shared" si="292"/>
        <v>101.0379161919992</v>
      </c>
      <c r="I694" s="3">
        <f t="shared" si="293"/>
        <v>-75.265320642588108</v>
      </c>
      <c r="J694" s="2">
        <f t="shared" si="272"/>
        <v>125.99019406228825</v>
      </c>
      <c r="K694" s="2">
        <f t="shared" si="294"/>
        <v>85.882886204695467</v>
      </c>
      <c r="L694" s="5">
        <f t="shared" si="273"/>
        <v>27.775330749176973</v>
      </c>
      <c r="M694" s="3">
        <f t="shared" si="274"/>
        <v>17.324698007218089</v>
      </c>
      <c r="N694" s="2">
        <v>0</v>
      </c>
      <c r="O694" s="2">
        <f t="shared" si="275"/>
        <v>125.99019406228825</v>
      </c>
      <c r="P694" s="2">
        <f t="shared" si="276"/>
        <v>85.882886204695467</v>
      </c>
      <c r="Q694" s="5">
        <f t="shared" si="277"/>
        <v>1.061841785863695</v>
      </c>
      <c r="R694" s="5">
        <f t="shared" si="278"/>
        <v>0.16118096904085538</v>
      </c>
      <c r="S694" s="4">
        <f t="shared" si="295"/>
        <v>0.13750830480230022</v>
      </c>
      <c r="T694" s="5">
        <f t="shared" si="279"/>
        <v>0.10373924318812704</v>
      </c>
      <c r="U694" s="4">
        <f t="shared" si="280"/>
        <v>0</v>
      </c>
      <c r="V694" s="4">
        <f t="shared" si="281"/>
        <v>0</v>
      </c>
      <c r="W694" s="5">
        <f t="shared" si="282"/>
        <v>0</v>
      </c>
      <c r="X694" s="5">
        <f t="shared" si="283"/>
        <v>-11.659333543410044</v>
      </c>
      <c r="Y694" s="5">
        <f t="shared" si="284"/>
        <v>8.6852887578963074</v>
      </c>
      <c r="Z694" s="5">
        <f>1</f>
        <v>1</v>
      </c>
      <c r="AA694" s="5">
        <f>IF(M694=0,0,const*($T694/omega)*O694*(wy*I694-wz*(H694-V694))/Z694)</f>
        <v>0</v>
      </c>
      <c r="AB694" s="5">
        <f>IF(M694=0,0,const*($T694/omega)*O694*(wz*(G694-U694)-wx*I694)/Z694)</f>
        <v>5.5900227426113087</v>
      </c>
      <c r="AC694" s="5">
        <f>IF(M694=0,0,const*($T694/omega)*O694*(wx*(H694-V694)-wy*(G694-U694))/Z694)</f>
        <v>7.5041764860261857</v>
      </c>
      <c r="AD694" s="5">
        <f t="shared" si="297"/>
        <v>0</v>
      </c>
      <c r="AE694" s="5">
        <f t="shared" si="297"/>
        <v>-6.0693108007987355</v>
      </c>
      <c r="AF694" s="5">
        <f t="shared" si="285"/>
        <v>-15.984534756077508</v>
      </c>
      <c r="AG694">
        <f t="shared" si="296"/>
        <v>0</v>
      </c>
    </row>
    <row r="695" spans="1:33" x14ac:dyDescent="0.2">
      <c r="A695">
        <f t="shared" si="286"/>
        <v>6.6299999999999031</v>
      </c>
      <c r="B695" s="5">
        <f t="shared" si="287"/>
        <v>0</v>
      </c>
      <c r="C695" s="5">
        <f t="shared" si="288"/>
        <v>952.46869703901552</v>
      </c>
      <c r="D695" s="5">
        <f t="shared" si="289"/>
        <v>-100.87836799160505</v>
      </c>
      <c r="E695" s="2">
        <f t="shared" si="271"/>
        <v>317.48956567967184</v>
      </c>
      <c r="F695" s="2">
        <f t="shared" si="290"/>
        <v>0</v>
      </c>
      <c r="G695" s="3">
        <f t="shared" si="291"/>
        <v>0</v>
      </c>
      <c r="H695" s="3">
        <f t="shared" si="292"/>
        <v>100.97722308399122</v>
      </c>
      <c r="I695" s="3">
        <f t="shared" si="293"/>
        <v>-75.425165990148884</v>
      </c>
      <c r="J695" s="2">
        <f t="shared" si="272"/>
        <v>126.03711852623275</v>
      </c>
      <c r="K695" s="2">
        <f t="shared" si="294"/>
        <v>85.914872887684211</v>
      </c>
      <c r="L695" s="5">
        <f t="shared" si="273"/>
        <v>27.76498980738517</v>
      </c>
      <c r="M695" s="3">
        <f t="shared" si="274"/>
        <v>17.316922092814604</v>
      </c>
      <c r="N695" s="2">
        <v>0</v>
      </c>
      <c r="O695" s="2">
        <f t="shared" si="275"/>
        <v>126.03711852623275</v>
      </c>
      <c r="P695" s="2">
        <f t="shared" si="276"/>
        <v>85.914872887684211</v>
      </c>
      <c r="Q695" s="5">
        <f t="shared" si="277"/>
        <v>1.0622372639163036</v>
      </c>
      <c r="R695" s="5">
        <f t="shared" si="278"/>
        <v>0.1611574062988681</v>
      </c>
      <c r="S695" s="4">
        <f t="shared" si="295"/>
        <v>0.13739541410739523</v>
      </c>
      <c r="T695" s="5">
        <f t="shared" si="279"/>
        <v>0.10370516791999632</v>
      </c>
      <c r="U695" s="4">
        <f t="shared" si="280"/>
        <v>0</v>
      </c>
      <c r="V695" s="4">
        <f t="shared" si="281"/>
        <v>0</v>
      </c>
      <c r="W695" s="5">
        <f t="shared" si="282"/>
        <v>0</v>
      </c>
      <c r="X695" s="5">
        <f t="shared" si="283"/>
        <v>-11.654965613927251</v>
      </c>
      <c r="Y695" s="5">
        <f t="shared" si="284"/>
        <v>8.7057030208558785</v>
      </c>
      <c r="Z695" s="5">
        <f>1</f>
        <v>1</v>
      </c>
      <c r="AA695" s="5">
        <f>IF(M695=0,0,const*($T695/omega)*O695*(wy*I695-wz*(H695-V695))/Z695)</f>
        <v>0</v>
      </c>
      <c r="AB695" s="5">
        <f>IF(M695=0,0,const*($T695/omega)*O695*(wz*(G695-U695)-wx*I695)/Z695)</f>
        <v>5.6021402576135859</v>
      </c>
      <c r="AC695" s="5">
        <f>IF(M695=0,0,const*($T695/omega)*O695*(wx*(H695-V695)-wy*(G695-U695))/Z695)</f>
        <v>7.4999976349371025</v>
      </c>
      <c r="AD695" s="5">
        <f t="shared" si="297"/>
        <v>0</v>
      </c>
      <c r="AE695" s="5">
        <f t="shared" si="297"/>
        <v>-6.0528253563136651</v>
      </c>
      <c r="AF695" s="5">
        <f t="shared" si="285"/>
        <v>-15.968299344207018</v>
      </c>
      <c r="AG695">
        <f t="shared" si="296"/>
        <v>0</v>
      </c>
    </row>
    <row r="696" spans="1:33" x14ac:dyDescent="0.2">
      <c r="A696">
        <f t="shared" si="286"/>
        <v>6.6399999999999029</v>
      </c>
      <c r="B696" s="5">
        <f t="shared" si="287"/>
        <v>0</v>
      </c>
      <c r="C696" s="5">
        <f t="shared" si="288"/>
        <v>953.47816662858759</v>
      </c>
      <c r="D696" s="5">
        <f t="shared" si="289"/>
        <v>-101.63341806647374</v>
      </c>
      <c r="E696" s="2">
        <f t="shared" si="271"/>
        <v>317.82605554286255</v>
      </c>
      <c r="F696" s="2">
        <f t="shared" si="290"/>
        <v>0</v>
      </c>
      <c r="G696" s="3">
        <f t="shared" si="291"/>
        <v>0</v>
      </c>
      <c r="H696" s="3">
        <f t="shared" si="292"/>
        <v>100.91669483042809</v>
      </c>
      <c r="I696" s="3">
        <f t="shared" si="293"/>
        <v>-75.584848983590959</v>
      </c>
      <c r="J696" s="2">
        <f t="shared" si="272"/>
        <v>126.08429200883829</v>
      </c>
      <c r="K696" s="2">
        <f t="shared" si="294"/>
        <v>85.947029317544846</v>
      </c>
      <c r="L696" s="5">
        <f t="shared" si="273"/>
        <v>27.754601746804003</v>
      </c>
      <c r="M696" s="3">
        <f t="shared" si="274"/>
        <v>17.309136847854845</v>
      </c>
      <c r="N696" s="2">
        <v>0</v>
      </c>
      <c r="O696" s="2">
        <f t="shared" si="275"/>
        <v>126.08429200883829</v>
      </c>
      <c r="P696" s="2">
        <f t="shared" si="276"/>
        <v>85.947029317544846</v>
      </c>
      <c r="Q696" s="5">
        <f t="shared" si="277"/>
        <v>1.0626348406911319</v>
      </c>
      <c r="R696" s="5">
        <f t="shared" si="278"/>
        <v>0.16113378905767001</v>
      </c>
      <c r="S696" s="4">
        <f t="shared" si="295"/>
        <v>0.13728226230307503</v>
      </c>
      <c r="T696" s="5">
        <f t="shared" si="279"/>
        <v>0.10367099697657982</v>
      </c>
      <c r="U696" s="4">
        <f t="shared" si="280"/>
        <v>0</v>
      </c>
      <c r="V696" s="4">
        <f t="shared" si="281"/>
        <v>0</v>
      </c>
      <c r="W696" s="5">
        <f t="shared" si="282"/>
        <v>0</v>
      </c>
      <c r="X696" s="5">
        <f t="shared" si="283"/>
        <v>-11.650631349591441</v>
      </c>
      <c r="Y696" s="5">
        <f t="shared" si="284"/>
        <v>8.7261202182856312</v>
      </c>
      <c r="Z696" s="5">
        <f>1</f>
        <v>1</v>
      </c>
      <c r="AA696" s="5">
        <f>IF(M696=0,0,const*($T696/omega)*O696*(wy*I696-wz*(H696-V696))/Z696)</f>
        <v>0</v>
      </c>
      <c r="AB696" s="5">
        <f>IF(M696=0,0,const*($T696/omega)*O696*(wz*(G696-U696)-wx*I696)/Z696)</f>
        <v>5.6142512880609283</v>
      </c>
      <c r="AC696" s="5">
        <f>IF(M696=0,0,const*($T696/omega)*O696*(wx*(H696-V696)-wy*(G696-U696))/Z696)</f>
        <v>7.4958366862859238</v>
      </c>
      <c r="AD696" s="5">
        <f t="shared" si="297"/>
        <v>0</v>
      </c>
      <c r="AE696" s="5">
        <f t="shared" si="297"/>
        <v>-6.0363800615305125</v>
      </c>
      <c r="AF696" s="5">
        <f t="shared" si="285"/>
        <v>-15.952043095428444</v>
      </c>
      <c r="AG696">
        <f t="shared" si="296"/>
        <v>0</v>
      </c>
    </row>
    <row r="697" spans="1:33" x14ac:dyDescent="0.2">
      <c r="A697">
        <f t="shared" si="286"/>
        <v>6.6499999999999027</v>
      </c>
      <c r="B697" s="5">
        <f t="shared" si="287"/>
        <v>0</v>
      </c>
      <c r="C697" s="5">
        <f t="shared" si="288"/>
        <v>954.48703175788876</v>
      </c>
      <c r="D697" s="5">
        <f t="shared" si="289"/>
        <v>-102.39006415846443</v>
      </c>
      <c r="E697" s="2">
        <f t="shared" si="271"/>
        <v>318.16234391929623</v>
      </c>
      <c r="F697" s="2">
        <f t="shared" si="290"/>
        <v>0</v>
      </c>
      <c r="G697" s="3">
        <f t="shared" si="291"/>
        <v>0</v>
      </c>
      <c r="H697" s="3">
        <f t="shared" si="292"/>
        <v>100.85633102981278</v>
      </c>
      <c r="I697" s="3">
        <f t="shared" si="293"/>
        <v>-75.744369414545247</v>
      </c>
      <c r="J697" s="2">
        <f t="shared" si="272"/>
        <v>126.13171293058012</v>
      </c>
      <c r="K697" s="2">
        <f t="shared" si="294"/>
        <v>85.979354417573362</v>
      </c>
      <c r="L697" s="5">
        <f t="shared" si="273"/>
        <v>27.744167029262858</v>
      </c>
      <c r="M697" s="3">
        <f t="shared" si="274"/>
        <v>17.301342303060569</v>
      </c>
      <c r="N697" s="2">
        <v>0</v>
      </c>
      <c r="O697" s="2">
        <f t="shared" si="275"/>
        <v>126.13171293058012</v>
      </c>
      <c r="P697" s="2">
        <f t="shared" si="276"/>
        <v>85.979354417573362</v>
      </c>
      <c r="Q697" s="5">
        <f t="shared" si="277"/>
        <v>1.06303450287599</v>
      </c>
      <c r="R697" s="5">
        <f t="shared" si="278"/>
        <v>0.16111011792765825</v>
      </c>
      <c r="S697" s="4">
        <f t="shared" si="295"/>
        <v>0.13716885231379369</v>
      </c>
      <c r="T697" s="5">
        <f t="shared" si="279"/>
        <v>0.10363673110248958</v>
      </c>
      <c r="U697" s="4">
        <f t="shared" si="280"/>
        <v>0</v>
      </c>
      <c r="V697" s="4">
        <f t="shared" si="281"/>
        <v>0</v>
      </c>
      <c r="W697" s="5">
        <f t="shared" si="282"/>
        <v>0</v>
      </c>
      <c r="X697" s="5">
        <f t="shared" si="283"/>
        <v>-11.646330568752866</v>
      </c>
      <c r="Y697" s="5">
        <f t="shared" si="284"/>
        <v>8.746540310521203</v>
      </c>
      <c r="Z697" s="5">
        <f>1</f>
        <v>1</v>
      </c>
      <c r="AA697" s="5">
        <f>IF(M697=0,0,const*($T697/omega)*O697*(wy*I697-wz*(H697-V697))/Z697)</f>
        <v>0</v>
      </c>
      <c r="AB697" s="5">
        <f>IF(M697=0,0,const*($T697/omega)*O697*(wz*(G697-U697)-wx*I697)/Z697)</f>
        <v>5.6263557987437629</v>
      </c>
      <c r="AC697" s="5">
        <f>IF(M697=0,0,const*($T697/omega)*O697*(wx*(H697-V697)-wy*(G697-U697))/Z697)</f>
        <v>7.4916935386175272</v>
      </c>
      <c r="AD697" s="5">
        <f t="shared" si="297"/>
        <v>0</v>
      </c>
      <c r="AE697" s="5">
        <f t="shared" si="297"/>
        <v>-6.0199747700091031</v>
      </c>
      <c r="AF697" s="5">
        <f t="shared" si="285"/>
        <v>-15.935766150861269</v>
      </c>
      <c r="AG697">
        <f t="shared" si="296"/>
        <v>0</v>
      </c>
    </row>
    <row r="698" spans="1:33" x14ac:dyDescent="0.2">
      <c r="A698">
        <f t="shared" si="286"/>
        <v>6.6599999999999024</v>
      </c>
      <c r="B698" s="5">
        <f t="shared" si="287"/>
        <v>0</v>
      </c>
      <c r="C698" s="5">
        <f t="shared" si="288"/>
        <v>955.49529406944839</v>
      </c>
      <c r="D698" s="5">
        <f t="shared" si="289"/>
        <v>-103.14830464091742</v>
      </c>
      <c r="E698" s="2">
        <f t="shared" si="271"/>
        <v>318.4984313564828</v>
      </c>
      <c r="F698" s="2">
        <f t="shared" si="290"/>
        <v>0</v>
      </c>
      <c r="G698" s="3">
        <f t="shared" si="291"/>
        <v>0</v>
      </c>
      <c r="H698" s="3">
        <f t="shared" si="292"/>
        <v>100.79613128211268</v>
      </c>
      <c r="I698" s="3">
        <f t="shared" si="293"/>
        <v>-75.903727076053855</v>
      </c>
      <c r="J698" s="2">
        <f t="shared" si="272"/>
        <v>126.17937971585123</v>
      </c>
      <c r="K698" s="2">
        <f t="shared" si="294"/>
        <v>86.011847113736351</v>
      </c>
      <c r="L698" s="5">
        <f t="shared" si="273"/>
        <v>27.73368611506525</v>
      </c>
      <c r="M698" s="3">
        <f t="shared" si="274"/>
        <v>17.293538489323382</v>
      </c>
      <c r="N698" s="2">
        <v>0</v>
      </c>
      <c r="O698" s="2">
        <f t="shared" si="275"/>
        <v>126.17937971585123</v>
      </c>
      <c r="P698" s="2">
        <f t="shared" si="276"/>
        <v>86.011847113736351</v>
      </c>
      <c r="Q698" s="5">
        <f t="shared" si="277"/>
        <v>1.063436237191707</v>
      </c>
      <c r="R698" s="5">
        <f t="shared" si="278"/>
        <v>0.16108639351715764</v>
      </c>
      <c r="S698" s="4">
        <f t="shared" si="295"/>
        <v>0.13705518705407685</v>
      </c>
      <c r="T698" s="5">
        <f t="shared" si="279"/>
        <v>0.10360237104046723</v>
      </c>
      <c r="U698" s="4">
        <f t="shared" si="280"/>
        <v>0</v>
      </c>
      <c r="V698" s="4">
        <f t="shared" si="281"/>
        <v>0</v>
      </c>
      <c r="W698" s="5">
        <f t="shared" si="282"/>
        <v>0</v>
      </c>
      <c r="X698" s="5">
        <f t="shared" si="283"/>
        <v>-11.642063090657764</v>
      </c>
      <c r="Y698" s="5">
        <f t="shared" si="284"/>
        <v>8.766963257371609</v>
      </c>
      <c r="Z698" s="5">
        <f>1</f>
        <v>1</v>
      </c>
      <c r="AA698" s="5">
        <f>IF(M698=0,0,const*($T698/omega)*O698*(wy*I698-wz*(H698-V698))/Z698)</f>
        <v>0</v>
      </c>
      <c r="AB698" s="5">
        <f>IF(M698=0,0,const*($T698/omega)*O698*(wz*(G698-U698)-wx*I698)/Z698)</f>
        <v>5.6384537542682907</v>
      </c>
      <c r="AC698" s="5">
        <f>IF(M698=0,0,const*($T698/omega)*O698*(wx*(H698-V698)-wy*(G698-U698))/Z698)</f>
        <v>7.4875680910094085</v>
      </c>
      <c r="AD698" s="5">
        <f t="shared" si="297"/>
        <v>0</v>
      </c>
      <c r="AE698" s="5">
        <f t="shared" si="297"/>
        <v>-6.0036093363894736</v>
      </c>
      <c r="AF698" s="5">
        <f t="shared" si="285"/>
        <v>-15.919468651618981</v>
      </c>
      <c r="AG698">
        <f t="shared" si="296"/>
        <v>0</v>
      </c>
    </row>
    <row r="699" spans="1:33" x14ac:dyDescent="0.2">
      <c r="A699">
        <f t="shared" si="286"/>
        <v>6.6699999999999022</v>
      </c>
      <c r="B699" s="5">
        <f t="shared" si="287"/>
        <v>0</v>
      </c>
      <c r="C699" s="5">
        <f t="shared" si="288"/>
        <v>956.50295520180271</v>
      </c>
      <c r="D699" s="5">
        <f t="shared" si="289"/>
        <v>-103.90813788511055</v>
      </c>
      <c r="E699" s="2">
        <f t="shared" si="271"/>
        <v>318.83431840060092</v>
      </c>
      <c r="F699" s="2">
        <f t="shared" si="290"/>
        <v>0</v>
      </c>
      <c r="G699" s="3">
        <f t="shared" si="291"/>
        <v>0</v>
      </c>
      <c r="H699" s="3">
        <f t="shared" si="292"/>
        <v>100.73609518874879</v>
      </c>
      <c r="I699" s="3">
        <f t="shared" si="293"/>
        <v>-76.062921762570042</v>
      </c>
      <c r="J699" s="2">
        <f t="shared" si="272"/>
        <v>126.2272907929799</v>
      </c>
      <c r="K699" s="2">
        <f t="shared" si="294"/>
        <v>86.04450633468295</v>
      </c>
      <c r="L699" s="5">
        <f t="shared" si="273"/>
        <v>27.723159462974614</v>
      </c>
      <c r="M699" s="3">
        <f t="shared" si="274"/>
        <v>17.285725437702641</v>
      </c>
      <c r="N699" s="2">
        <v>0</v>
      </c>
      <c r="O699" s="2">
        <f t="shared" si="275"/>
        <v>126.2272907929799</v>
      </c>
      <c r="P699" s="2">
        <f t="shared" si="276"/>
        <v>86.04450633468295</v>
      </c>
      <c r="Q699" s="5">
        <f t="shared" si="277"/>
        <v>1.0638400303922777</v>
      </c>
      <c r="R699" s="5">
        <f t="shared" si="278"/>
        <v>0.1610626164324023</v>
      </c>
      <c r="S699" s="4">
        <f t="shared" si="295"/>
        <v>0.13694126942843315</v>
      </c>
      <c r="T699" s="5">
        <f t="shared" si="279"/>
        <v>0.10356791753136238</v>
      </c>
      <c r="U699" s="4">
        <f t="shared" si="280"/>
        <v>0</v>
      </c>
      <c r="V699" s="4">
        <f t="shared" si="281"/>
        <v>0</v>
      </c>
      <c r="W699" s="5">
        <f t="shared" si="282"/>
        <v>0</v>
      </c>
      <c r="X699" s="5">
        <f t="shared" si="283"/>
        <v>-11.637828735444874</v>
      </c>
      <c r="Y699" s="5">
        <f t="shared" si="284"/>
        <v>8.7873890181242764</v>
      </c>
      <c r="Z699" s="5">
        <f>1</f>
        <v>1</v>
      </c>
      <c r="AA699" s="5">
        <f>IF(M699=0,0,const*($T699/omega)*O699*(wy*I699-wz*(H699-V699))/Z699)</f>
        <v>0</v>
      </c>
      <c r="AB699" s="5">
        <f>IF(M699=0,0,const*($T699/omega)*O699*(wz*(G699-U699)-wx*I699)/Z699)</f>
        <v>5.6505451190596938</v>
      </c>
      <c r="AC699" s="5">
        <f>IF(M699=0,0,const*($T699/omega)*O699*(wx*(H699-V699)-wy*(G699-U699))/Z699)</f>
        <v>7.4834602430697421</v>
      </c>
      <c r="AD699" s="5">
        <f t="shared" si="297"/>
        <v>0</v>
      </c>
      <c r="AE699" s="5">
        <f t="shared" si="297"/>
        <v>-5.9872836163851799</v>
      </c>
      <c r="AF699" s="5">
        <f t="shared" si="285"/>
        <v>-15.90315073880598</v>
      </c>
      <c r="AG699">
        <f t="shared" si="296"/>
        <v>0</v>
      </c>
    </row>
    <row r="700" spans="1:33" x14ac:dyDescent="0.2">
      <c r="A700">
        <f t="shared" si="286"/>
        <v>6.679999999999902</v>
      </c>
      <c r="B700" s="5">
        <f t="shared" si="287"/>
        <v>0</v>
      </c>
      <c r="C700" s="5">
        <f t="shared" si="288"/>
        <v>957.51001678950934</v>
      </c>
      <c r="D700" s="5">
        <f t="shared" si="289"/>
        <v>-104.6695622602732</v>
      </c>
      <c r="E700" s="2">
        <f t="shared" si="271"/>
        <v>319.17000559650313</v>
      </c>
      <c r="F700" s="2">
        <f t="shared" si="290"/>
        <v>0</v>
      </c>
      <c r="G700" s="3">
        <f t="shared" si="291"/>
        <v>0</v>
      </c>
      <c r="H700" s="3">
        <f t="shared" si="292"/>
        <v>100.67622235258494</v>
      </c>
      <c r="I700" s="3">
        <f t="shared" si="293"/>
        <v>-76.221953269958107</v>
      </c>
      <c r="J700" s="2">
        <f t="shared" si="272"/>
        <v>126.27544459424723</v>
      </c>
      <c r="K700" s="2">
        <f t="shared" si="294"/>
        <v>86.077331011756797</v>
      </c>
      <c r="L700" s="5">
        <f t="shared" si="273"/>
        <v>27.712587530200416</v>
      </c>
      <c r="M700" s="3">
        <f t="shared" si="274"/>
        <v>17.277903179423369</v>
      </c>
      <c r="N700" s="2">
        <v>0</v>
      </c>
      <c r="O700" s="2">
        <f t="shared" si="275"/>
        <v>126.27544459424723</v>
      </c>
      <c r="P700" s="2">
        <f t="shared" si="276"/>
        <v>86.077331011756797</v>
      </c>
      <c r="Q700" s="5">
        <f t="shared" si="277"/>
        <v>1.0642458692650123</v>
      </c>
      <c r="R700" s="5">
        <f t="shared" si="278"/>
        <v>0.16103878727751744</v>
      </c>
      <c r="S700" s="4">
        <f t="shared" si="295"/>
        <v>0.13682710233126752</v>
      </c>
      <c r="T700" s="5">
        <f t="shared" si="279"/>
        <v>0.1035333713141115</v>
      </c>
      <c r="U700" s="4">
        <f t="shared" si="280"/>
        <v>0</v>
      </c>
      <c r="V700" s="4">
        <f t="shared" si="281"/>
        <v>0</v>
      </c>
      <c r="W700" s="5">
        <f t="shared" si="282"/>
        <v>0</v>
      </c>
      <c r="X700" s="5">
        <f t="shared" si="283"/>
        <v>-11.633627324141914</v>
      </c>
      <c r="Y700" s="5">
        <f t="shared" si="284"/>
        <v>8.8078175515500448</v>
      </c>
      <c r="Z700" s="5">
        <f>1</f>
        <v>1</v>
      </c>
      <c r="AA700" s="5">
        <f>IF(M700=0,0,const*($T700/omega)*O700*(wy*I700-wz*(H700-V700))/Z700)</f>
        <v>0</v>
      </c>
      <c r="AB700" s="5">
        <f>IF(M700=0,0,const*($T700/omega)*O700*(wz*(G700-U700)-wx*I700)/Z700)</f>
        <v>5.66262985736536</v>
      </c>
      <c r="AC700" s="5">
        <f>IF(M700=0,0,const*($T700/omega)*O700*(wx*(H700-V700)-wy*(G700-U700))/Z700)</f>
        <v>7.4793698949354503</v>
      </c>
      <c r="AD700" s="5">
        <f t="shared" si="297"/>
        <v>0</v>
      </c>
      <c r="AE700" s="5">
        <f t="shared" si="297"/>
        <v>-5.970997466776554</v>
      </c>
      <c r="AF700" s="5">
        <f t="shared" si="285"/>
        <v>-15.886812553514503</v>
      </c>
      <c r="AG700">
        <f t="shared" si="296"/>
        <v>0</v>
      </c>
    </row>
    <row r="701" spans="1:33" x14ac:dyDescent="0.2">
      <c r="A701">
        <f t="shared" si="286"/>
        <v>6.6899999999999018</v>
      </c>
      <c r="B701" s="5">
        <f t="shared" si="287"/>
        <v>0</v>
      </c>
      <c r="C701" s="5">
        <f t="shared" si="288"/>
        <v>958.51648046316177</v>
      </c>
      <c r="D701" s="5">
        <f t="shared" si="289"/>
        <v>-105.43257613360045</v>
      </c>
      <c r="E701" s="2">
        <f t="shared" si="271"/>
        <v>319.50549348772057</v>
      </c>
      <c r="F701" s="2">
        <f t="shared" si="290"/>
        <v>0</v>
      </c>
      <c r="G701" s="3">
        <f t="shared" si="291"/>
        <v>0</v>
      </c>
      <c r="H701" s="3">
        <f t="shared" si="292"/>
        <v>100.61651237791718</v>
      </c>
      <c r="I701" s="3">
        <f t="shared" si="293"/>
        <v>-76.380821395493257</v>
      </c>
      <c r="J701" s="2">
        <f t="shared" si="272"/>
        <v>126.3238395559041</v>
      </c>
      <c r="K701" s="2">
        <f t="shared" si="294"/>
        <v>86.110320079007565</v>
      </c>
      <c r="L701" s="5">
        <f t="shared" si="273"/>
        <v>27.701970772384534</v>
      </c>
      <c r="M701" s="3">
        <f t="shared" si="274"/>
        <v>17.270071745874162</v>
      </c>
      <c r="N701" s="2">
        <v>0</v>
      </c>
      <c r="O701" s="2">
        <f t="shared" si="275"/>
        <v>126.3238395559041</v>
      </c>
      <c r="P701" s="2">
        <f t="shared" si="276"/>
        <v>86.110320079007565</v>
      </c>
      <c r="Q701" s="5">
        <f t="shared" si="277"/>
        <v>1.0646537406306771</v>
      </c>
      <c r="R701" s="5">
        <f t="shared" si="278"/>
        <v>0.16101490665450172</v>
      </c>
      <c r="S701" s="4">
        <f t="shared" si="295"/>
        <v>0.13671268864679625</v>
      </c>
      <c r="T701" s="5">
        <f t="shared" si="279"/>
        <v>0.10349873312571711</v>
      </c>
      <c r="U701" s="4">
        <f t="shared" si="280"/>
        <v>0</v>
      </c>
      <c r="V701" s="4">
        <f t="shared" si="281"/>
        <v>0</v>
      </c>
      <c r="W701" s="5">
        <f t="shared" si="282"/>
        <v>0</v>
      </c>
      <c r="X701" s="5">
        <f t="shared" si="283"/>
        <v>-11.62945867866209</v>
      </c>
      <c r="Y701" s="5">
        <f t="shared" si="284"/>
        <v>8.8282488159081804</v>
      </c>
      <c r="Z701" s="5">
        <f>1</f>
        <v>1</v>
      </c>
      <c r="AA701" s="5">
        <f>IF(M701=0,0,const*($T701/omega)*O701*(wy*I701-wz*(H701-V701))/Z701)</f>
        <v>0</v>
      </c>
      <c r="AB701" s="5">
        <f>IF(M701=0,0,const*($T701/omega)*O701*(wz*(G701-U701)-wx*I701)/Z701)</f>
        <v>5.6747079332580732</v>
      </c>
      <c r="AC701" s="5">
        <f>IF(M701=0,0,const*($T701/omega)*O701*(wx*(H701-V701)-wy*(G701-U701))/Z701)</f>
        <v>7.4752969472702597</v>
      </c>
      <c r="AD701" s="5">
        <f t="shared" si="297"/>
        <v>0</v>
      </c>
      <c r="AE701" s="5">
        <f t="shared" si="297"/>
        <v>-5.9547507454040165</v>
      </c>
      <c r="AF701" s="5">
        <f t="shared" si="285"/>
        <v>-15.870454236821558</v>
      </c>
      <c r="AG701">
        <f t="shared" si="296"/>
        <v>0</v>
      </c>
    </row>
    <row r="702" spans="1:33" x14ac:dyDescent="0.2">
      <c r="A702">
        <f t="shared" si="286"/>
        <v>6.6999999999999016</v>
      </c>
      <c r="B702" s="5">
        <f t="shared" si="287"/>
        <v>0</v>
      </c>
      <c r="C702" s="5">
        <f t="shared" si="288"/>
        <v>959.52234784940367</v>
      </c>
      <c r="D702" s="5">
        <f t="shared" si="289"/>
        <v>-106.19717787026723</v>
      </c>
      <c r="E702" s="2">
        <f t="shared" si="271"/>
        <v>319.84078261646789</v>
      </c>
      <c r="F702" s="2">
        <f t="shared" si="290"/>
        <v>0</v>
      </c>
      <c r="G702" s="3">
        <f t="shared" si="291"/>
        <v>0</v>
      </c>
      <c r="H702" s="3">
        <f t="shared" si="292"/>
        <v>100.55696487046313</v>
      </c>
      <c r="I702" s="3">
        <f t="shared" si="293"/>
        <v>-76.53952593786147</v>
      </c>
      <c r="J702" s="2">
        <f t="shared" si="272"/>
        <v>126.37247411818811</v>
      </c>
      <c r="K702" s="2">
        <f t="shared" si="294"/>
        <v>86.143472473202522</v>
      </c>
      <c r="L702" s="5">
        <f t="shared" si="273"/>
        <v>27.691309643587935</v>
      </c>
      <c r="M702" s="3">
        <f t="shared" si="274"/>
        <v>17.262231168605126</v>
      </c>
      <c r="N702" s="2">
        <v>0</v>
      </c>
      <c r="O702" s="2">
        <f t="shared" si="275"/>
        <v>126.37247411818811</v>
      </c>
      <c r="P702" s="2">
        <f t="shared" si="276"/>
        <v>86.143472473202522</v>
      </c>
      <c r="Q702" s="5">
        <f t="shared" si="277"/>
        <v>1.0650636313436384</v>
      </c>
      <c r="R702" s="5">
        <f t="shared" si="278"/>
        <v>0.16099097516320979</v>
      </c>
      <c r="S702" s="4">
        <f t="shared" si="295"/>
        <v>0.13659803124896377</v>
      </c>
      <c r="T702" s="5">
        <f t="shared" si="279"/>
        <v>0.10346400370122727</v>
      </c>
      <c r="U702" s="4">
        <f t="shared" si="280"/>
        <v>0</v>
      </c>
      <c r="V702" s="4">
        <f t="shared" si="281"/>
        <v>0</v>
      </c>
      <c r="W702" s="5">
        <f t="shared" si="282"/>
        <v>0</v>
      </c>
      <c r="X702" s="5">
        <f t="shared" si="283"/>
        <v>-11.625322621800617</v>
      </c>
      <c r="Y702" s="5">
        <f t="shared" si="284"/>
        <v>8.8486827689513756</v>
      </c>
      <c r="Z702" s="5">
        <f>1</f>
        <v>1</v>
      </c>
      <c r="AA702" s="5">
        <f>IF(M702=0,0,const*($T702/omega)*O702*(wy*I702-wz*(H702-V702))/Z702)</f>
        <v>0</v>
      </c>
      <c r="AB702" s="5">
        <f>IF(M702=0,0,const*($T702/omega)*O702*(wz*(G702-U702)-wx*I702)/Z702)</f>
        <v>5.6867793106392028</v>
      </c>
      <c r="AC702" s="5">
        <f>IF(M702=0,0,const*($T702/omega)*O702*(wx*(H702-V702)-wy*(G702-U702))/Z702)</f>
        <v>7.4712413012627588</v>
      </c>
      <c r="AD702" s="5">
        <f t="shared" si="297"/>
        <v>0</v>
      </c>
      <c r="AE702" s="5">
        <f t="shared" si="297"/>
        <v>-5.9385433111614141</v>
      </c>
      <c r="AF702" s="5">
        <f t="shared" si="285"/>
        <v>-15.854075929785864</v>
      </c>
      <c r="AG702">
        <f t="shared" si="296"/>
        <v>0</v>
      </c>
    </row>
    <row r="703" spans="1:33" x14ac:dyDescent="0.2">
      <c r="A703">
        <f t="shared" si="286"/>
        <v>6.7099999999999014</v>
      </c>
      <c r="B703" s="5">
        <f t="shared" si="287"/>
        <v>0</v>
      </c>
      <c r="C703" s="5">
        <f t="shared" si="288"/>
        <v>960.52762057094276</v>
      </c>
      <c r="D703" s="5">
        <f t="shared" si="289"/>
        <v>-106.96336583344234</v>
      </c>
      <c r="E703" s="2">
        <f t="shared" si="271"/>
        <v>320.17587352364757</v>
      </c>
      <c r="F703" s="2">
        <f t="shared" si="290"/>
        <v>0</v>
      </c>
      <c r="G703" s="3">
        <f t="shared" si="291"/>
        <v>0</v>
      </c>
      <c r="H703" s="3">
        <f t="shared" si="292"/>
        <v>100.49757943735152</v>
      </c>
      <c r="I703" s="3">
        <f t="shared" si="293"/>
        <v>-76.698066697159334</v>
      </c>
      <c r="J703" s="2">
        <f t="shared" si="272"/>
        <v>126.42134672534017</v>
      </c>
      <c r="K703" s="2">
        <f t="shared" si="294"/>
        <v>86.176787133837877</v>
      </c>
      <c r="L703" s="5">
        <f t="shared" si="273"/>
        <v>27.680604596277547</v>
      </c>
      <c r="M703" s="3">
        <f t="shared" si="274"/>
        <v>17.254381479325811</v>
      </c>
      <c r="N703" s="2">
        <v>0</v>
      </c>
      <c r="O703" s="2">
        <f t="shared" si="275"/>
        <v>126.42134672534017</v>
      </c>
      <c r="P703" s="2">
        <f t="shared" si="276"/>
        <v>86.176787133837877</v>
      </c>
      <c r="Q703" s="5">
        <f t="shared" si="277"/>
        <v>1.0654755282920034</v>
      </c>
      <c r="R703" s="5">
        <f t="shared" si="278"/>
        <v>0.16096699340133538</v>
      </c>
      <c r="S703" s="4">
        <f t="shared" si="295"/>
        <v>0.13648313300136128</v>
      </c>
      <c r="T703" s="5">
        <f t="shared" si="279"/>
        <v>0.10342918377371547</v>
      </c>
      <c r="U703" s="4">
        <f t="shared" si="280"/>
        <v>0</v>
      </c>
      <c r="V703" s="4">
        <f t="shared" si="281"/>
        <v>0</v>
      </c>
      <c r="W703" s="5">
        <f t="shared" si="282"/>
        <v>0</v>
      </c>
      <c r="X703" s="5">
        <f t="shared" si="283"/>
        <v>-11.621218977231207</v>
      </c>
      <c r="Y703" s="5">
        <f t="shared" si="284"/>
        <v>8.869119367930745</v>
      </c>
      <c r="Z703" s="5">
        <f>1</f>
        <v>1</v>
      </c>
      <c r="AA703" s="5">
        <f>IF(M703=0,0,const*($T703/omega)*O703*(wy*I703-wz*(H703-V703))/Z703)</f>
        <v>0</v>
      </c>
      <c r="AB703" s="5">
        <f>IF(M703=0,0,const*($T703/omega)*O703*(wz*(G703-U703)-wx*I703)/Z703)</f>
        <v>5.6988439532418944</v>
      </c>
      <c r="AC703" s="5">
        <f>IF(M703=0,0,const*($T703/omega)*O703*(wx*(H703-V703)-wy*(G703-U703))/Z703)</f>
        <v>7.4672028586244599</v>
      </c>
      <c r="AD703" s="5">
        <f t="shared" si="297"/>
        <v>0</v>
      </c>
      <c r="AE703" s="5">
        <f t="shared" si="297"/>
        <v>-5.9223750239893125</v>
      </c>
      <c r="AF703" s="5">
        <f t="shared" si="285"/>
        <v>-15.837677773444796</v>
      </c>
      <c r="AG703">
        <f t="shared" si="296"/>
        <v>0</v>
      </c>
    </row>
    <row r="704" spans="1:33" x14ac:dyDescent="0.2">
      <c r="A704">
        <f t="shared" si="286"/>
        <v>6.7199999999999012</v>
      </c>
      <c r="B704" s="5">
        <f t="shared" si="287"/>
        <v>0</v>
      </c>
      <c r="C704" s="5">
        <f t="shared" si="288"/>
        <v>961.53230024656511</v>
      </c>
      <c r="D704" s="5">
        <f t="shared" si="289"/>
        <v>-107.7311383843026</v>
      </c>
      <c r="E704" s="2">
        <f t="shared" si="271"/>
        <v>320.51076674885502</v>
      </c>
      <c r="F704" s="2">
        <f t="shared" si="290"/>
        <v>0</v>
      </c>
      <c r="G704" s="3">
        <f t="shared" si="291"/>
        <v>0</v>
      </c>
      <c r="H704" s="3">
        <f t="shared" si="292"/>
        <v>100.43835568711162</v>
      </c>
      <c r="I704" s="3">
        <f t="shared" si="293"/>
        <v>-76.85644347489378</v>
      </c>
      <c r="J704" s="2">
        <f t="shared" si="272"/>
        <v>126.47045582562076</v>
      </c>
      <c r="K704" s="2">
        <f t="shared" si="294"/>
        <v>86.210263003149791</v>
      </c>
      <c r="L704" s="5">
        <f t="shared" si="273"/>
        <v>27.669856081313547</v>
      </c>
      <c r="M704" s="3">
        <f t="shared" si="274"/>
        <v>17.246522709903125</v>
      </c>
      <c r="N704" s="2">
        <v>0</v>
      </c>
      <c r="O704" s="2">
        <f t="shared" si="275"/>
        <v>126.47045582562076</v>
      </c>
      <c r="P704" s="2">
        <f t="shared" si="276"/>
        <v>86.210263003149791</v>
      </c>
      <c r="Q704" s="5">
        <f t="shared" si="277"/>
        <v>1.065889418397755</v>
      </c>
      <c r="R704" s="5">
        <f t="shared" si="278"/>
        <v>0.16094296196439459</v>
      </c>
      <c r="S704" s="4">
        <f t="shared" si="295"/>
        <v>0.13636799675714675</v>
      </c>
      <c r="T704" s="5">
        <f t="shared" si="279"/>
        <v>0.10339427407426083</v>
      </c>
      <c r="U704" s="4">
        <f t="shared" si="280"/>
        <v>0</v>
      </c>
      <c r="V704" s="4">
        <f t="shared" si="281"/>
        <v>0</v>
      </c>
      <c r="W704" s="5">
        <f t="shared" si="282"/>
        <v>0</v>
      </c>
      <c r="X704" s="5">
        <f t="shared" si="283"/>
        <v>-11.617147569502594</v>
      </c>
      <c r="Y704" s="5">
        <f t="shared" si="284"/>
        <v>8.8895585696007942</v>
      </c>
      <c r="Z704" s="5">
        <f>1</f>
        <v>1</v>
      </c>
      <c r="AA704" s="5">
        <f>IF(M704=0,0,const*($T704/omega)*O704*(wy*I704-wz*(H704-V704))/Z704)</f>
        <v>0</v>
      </c>
      <c r="AB704" s="5">
        <f>IF(M704=0,0,const*($T704/omega)*O704*(wz*(G704-U704)-wx*I704)/Z704)</f>
        <v>5.71090182463423</v>
      </c>
      <c r="AC704" s="5">
        <f>IF(M704=0,0,const*($T704/omega)*O704*(wx*(H704-V704)-wy*(G704-U704))/Z704)</f>
        <v>7.463181521587841</v>
      </c>
      <c r="AD704" s="5">
        <f t="shared" si="297"/>
        <v>0</v>
      </c>
      <c r="AE704" s="5">
        <f t="shared" si="297"/>
        <v>-5.9062457448683636</v>
      </c>
      <c r="AF704" s="5">
        <f t="shared" si="285"/>
        <v>-15.821259908811363</v>
      </c>
      <c r="AG704">
        <f t="shared" si="296"/>
        <v>0</v>
      </c>
    </row>
    <row r="705" spans="1:33" x14ac:dyDescent="0.2">
      <c r="A705">
        <f t="shared" si="286"/>
        <v>6.729999999999901</v>
      </c>
      <c r="B705" s="5">
        <f t="shared" si="287"/>
        <v>0</v>
      </c>
      <c r="C705" s="5">
        <f t="shared" si="288"/>
        <v>962.53638849114895</v>
      </c>
      <c r="D705" s="5">
        <f t="shared" si="289"/>
        <v>-108.50049388204698</v>
      </c>
      <c r="E705" s="2">
        <f t="shared" si="271"/>
        <v>320.84546283038298</v>
      </c>
      <c r="F705" s="2">
        <f t="shared" si="290"/>
        <v>0</v>
      </c>
      <c r="G705" s="3">
        <f t="shared" si="291"/>
        <v>0</v>
      </c>
      <c r="H705" s="3">
        <f t="shared" si="292"/>
        <v>100.37929322966293</v>
      </c>
      <c r="I705" s="3">
        <f t="shared" si="293"/>
        <v>-77.014656073981897</v>
      </c>
      <c r="J705" s="2">
        <f t="shared" si="272"/>
        <v>126.51979987132596</v>
      </c>
      <c r="K705" s="2">
        <f t="shared" si="294"/>
        <v>86.243899026125391</v>
      </c>
      <c r="L705" s="5">
        <f t="shared" si="273"/>
        <v>27.659064547936786</v>
      </c>
      <c r="M705" s="3">
        <f t="shared" si="274"/>
        <v>17.238654892359307</v>
      </c>
      <c r="N705" s="2">
        <v>0</v>
      </c>
      <c r="O705" s="2">
        <f t="shared" si="275"/>
        <v>126.51979987132596</v>
      </c>
      <c r="P705" s="2">
        <f t="shared" si="276"/>
        <v>86.243899026125391</v>
      </c>
      <c r="Q705" s="5">
        <f t="shared" si="277"/>
        <v>1.0663052886168884</v>
      </c>
      <c r="R705" s="5">
        <f t="shared" si="278"/>
        <v>0.16091888144570968</v>
      </c>
      <c r="S705" s="4">
        <f t="shared" si="295"/>
        <v>0.1362526253589674</v>
      </c>
      <c r="T705" s="5">
        <f t="shared" si="279"/>
        <v>0.10335927533192867</v>
      </c>
      <c r="U705" s="4">
        <f t="shared" si="280"/>
        <v>0</v>
      </c>
      <c r="V705" s="4">
        <f t="shared" si="281"/>
        <v>0</v>
      </c>
      <c r="W705" s="5">
        <f t="shared" si="282"/>
        <v>0</v>
      </c>
      <c r="X705" s="5">
        <f t="shared" si="283"/>
        <v>-11.61310822403505</v>
      </c>
      <c r="Y705" s="5">
        <f t="shared" si="284"/>
        <v>8.9100003302244151</v>
      </c>
      <c r="Z705" s="5">
        <f>1</f>
        <v>1</v>
      </c>
      <c r="AA705" s="5">
        <f>IF(M705=0,0,const*($T705/omega)*O705*(wy*I705-wz*(H705-V705))/Z705)</f>
        <v>0</v>
      </c>
      <c r="AB705" s="5">
        <f>IF(M705=0,0,const*($T705/omega)*O705*(wz*(G705-U705)-wx*I705)/Z705)</f>
        <v>5.722952888222391</v>
      </c>
      <c r="AC705" s="5">
        <f>IF(M705=0,0,const*($T705/omega)*O705*(wx*(H705-V705)-wy*(G705-U705))/Z705)</f>
        <v>7.459177192904396</v>
      </c>
      <c r="AD705" s="5">
        <f t="shared" si="297"/>
        <v>0</v>
      </c>
      <c r="AE705" s="5">
        <f t="shared" si="297"/>
        <v>-5.8901553358126595</v>
      </c>
      <c r="AF705" s="5">
        <f t="shared" si="285"/>
        <v>-15.804822476871188</v>
      </c>
      <c r="AG705">
        <f t="shared" si="296"/>
        <v>0</v>
      </c>
    </row>
    <row r="706" spans="1:33" x14ac:dyDescent="0.2">
      <c r="A706">
        <f t="shared" si="286"/>
        <v>6.7399999999999007</v>
      </c>
      <c r="B706" s="5">
        <f t="shared" si="287"/>
        <v>0</v>
      </c>
      <c r="C706" s="5">
        <f t="shared" si="288"/>
        <v>963.53988691567884</v>
      </c>
      <c r="D706" s="5">
        <f t="shared" si="289"/>
        <v>-109.27143068391064</v>
      </c>
      <c r="E706" s="2">
        <f t="shared" si="271"/>
        <v>321.1799623052263</v>
      </c>
      <c r="F706" s="2">
        <f t="shared" si="290"/>
        <v>0</v>
      </c>
      <c r="G706" s="3">
        <f t="shared" si="291"/>
        <v>0</v>
      </c>
      <c r="H706" s="3">
        <f t="shared" si="292"/>
        <v>100.32039167630481</v>
      </c>
      <c r="I706" s="3">
        <f t="shared" si="293"/>
        <v>-77.172704298750602</v>
      </c>
      <c r="J706" s="2">
        <f t="shared" si="272"/>
        <v>126.56937731880333</v>
      </c>
      <c r="K706" s="2">
        <f t="shared" si="294"/>
        <v>86.277694150513511</v>
      </c>
      <c r="L706" s="5">
        <f t="shared" si="273"/>
        <v>27.648230443756557</v>
      </c>
      <c r="M706" s="3">
        <f t="shared" si="274"/>
        <v>17.230778058869866</v>
      </c>
      <c r="N706" s="2">
        <v>0</v>
      </c>
      <c r="O706" s="2">
        <f t="shared" si="275"/>
        <v>126.56937731880333</v>
      </c>
      <c r="P706" s="2">
        <f t="shared" si="276"/>
        <v>86.277694150513511</v>
      </c>
      <c r="Q706" s="5">
        <f t="shared" si="277"/>
        <v>1.0667231259395447</v>
      </c>
      <c r="R706" s="5">
        <f t="shared" si="278"/>
        <v>0.16089475243639309</v>
      </c>
      <c r="S706" s="4">
        <f t="shared" si="295"/>
        <v>0.13613702163888292</v>
      </c>
      <c r="T706" s="5">
        <f t="shared" si="279"/>
        <v>0.10332418827375132</v>
      </c>
      <c r="U706" s="4">
        <f t="shared" si="280"/>
        <v>0</v>
      </c>
      <c r="V706" s="4">
        <f t="shared" si="281"/>
        <v>0</v>
      </c>
      <c r="W706" s="5">
        <f t="shared" si="282"/>
        <v>0</v>
      </c>
      <c r="X706" s="5">
        <f t="shared" si="283"/>
        <v>-11.609100767116905</v>
      </c>
      <c r="Y706" s="5">
        <f t="shared" si="284"/>
        <v>8.9304446055778346</v>
      </c>
      <c r="Z706" s="5">
        <f>1</f>
        <v>1</v>
      </c>
      <c r="AA706" s="5">
        <f>IF(M706=0,0,const*($T706/omega)*O706*(wy*I706-wz*(H706-V706))/Z706)</f>
        <v>0</v>
      </c>
      <c r="AB706" s="5">
        <f>IF(M706=0,0,const*($T706/omega)*O706*(wz*(G706-U706)-wx*I706)/Z706)</f>
        <v>5.7349971072538004</v>
      </c>
      <c r="AC706" s="5">
        <f>IF(M706=0,0,const*($T706/omega)*O706*(wx*(H706-V706)-wy*(G706-U706))/Z706)</f>
        <v>7.4551897758426851</v>
      </c>
      <c r="AD706" s="5">
        <f t="shared" si="297"/>
        <v>0</v>
      </c>
      <c r="AE706" s="5">
        <f t="shared" si="297"/>
        <v>-5.8741036598631045</v>
      </c>
      <c r="AF706" s="5">
        <f t="shared" si="285"/>
        <v>-15.78836561857948</v>
      </c>
      <c r="AG706">
        <f t="shared" si="296"/>
        <v>0</v>
      </c>
    </row>
    <row r="707" spans="1:33" x14ac:dyDescent="0.2">
      <c r="A707">
        <f t="shared" si="286"/>
        <v>6.7499999999999005</v>
      </c>
      <c r="B707" s="5">
        <f t="shared" si="287"/>
        <v>0</v>
      </c>
      <c r="C707" s="5">
        <f t="shared" si="288"/>
        <v>964.54279712725884</v>
      </c>
      <c r="D707" s="5">
        <f t="shared" si="289"/>
        <v>-110.04394714517908</v>
      </c>
      <c r="E707" s="2">
        <f t="shared" si="271"/>
        <v>321.51426570908626</v>
      </c>
      <c r="F707" s="2">
        <f t="shared" si="290"/>
        <v>0</v>
      </c>
      <c r="G707" s="3">
        <f t="shared" si="291"/>
        <v>0</v>
      </c>
      <c r="H707" s="3">
        <f t="shared" si="292"/>
        <v>100.26165063970618</v>
      </c>
      <c r="I707" s="3">
        <f t="shared" si="293"/>
        <v>-77.330587954936391</v>
      </c>
      <c r="J707" s="2">
        <f t="shared" si="272"/>
        <v>126.61918662846736</v>
      </c>
      <c r="K707" s="2">
        <f t="shared" si="294"/>
        <v>86.311647326835285</v>
      </c>
      <c r="L707" s="5">
        <f t="shared" si="273"/>
        <v>27.637354214738625</v>
      </c>
      <c r="M707" s="3">
        <f t="shared" si="274"/>
        <v>17.222892241761549</v>
      </c>
      <c r="N707" s="2">
        <v>0</v>
      </c>
      <c r="O707" s="2">
        <f t="shared" si="275"/>
        <v>126.61918662846736</v>
      </c>
      <c r="P707" s="2">
        <f t="shared" si="276"/>
        <v>86.311647326835285</v>
      </c>
      <c r="Q707" s="5">
        <f t="shared" si="277"/>
        <v>1.0671429173901408</v>
      </c>
      <c r="R707" s="5">
        <f t="shared" si="278"/>
        <v>0.16087057552533188</v>
      </c>
      <c r="S707" s="4">
        <f t="shared" si="295"/>
        <v>0.13602118841829131</v>
      </c>
      <c r="T707" s="5">
        <f t="shared" si="279"/>
        <v>0.10328901362470952</v>
      </c>
      <c r="U707" s="4">
        <f t="shared" si="280"/>
        <v>0</v>
      </c>
      <c r="V707" s="4">
        <f t="shared" si="281"/>
        <v>0</v>
      </c>
      <c r="W707" s="5">
        <f t="shared" si="282"/>
        <v>0</v>
      </c>
      <c r="X707" s="5">
        <f t="shared" si="283"/>
        <v>-11.60512502590106</v>
      </c>
      <c r="Y707" s="5">
        <f t="shared" si="284"/>
        <v>8.9508913509555743</v>
      </c>
      <c r="Z707" s="5">
        <f>1</f>
        <v>1</v>
      </c>
      <c r="AA707" s="5">
        <f>IF(M707=0,0,const*($T707/omega)*O707*(wy*I707-wz*(H707-V707))/Z707)</f>
        <v>0</v>
      </c>
      <c r="AB707" s="5">
        <f>IF(M707=0,0,const*($T707/omega)*O707*(wz*(G707-U707)-wx*I707)/Z707)</f>
        <v>5.7470344448202804</v>
      </c>
      <c r="AC707" s="5">
        <f>IF(M707=0,0,const*($T707/omega)*O707*(wx*(H707-V707)-wy*(G707-U707))/Z707)</f>
        <v>7.4512191741863854</v>
      </c>
      <c r="AD707" s="5">
        <f t="shared" si="297"/>
        <v>0</v>
      </c>
      <c r="AE707" s="5">
        <f t="shared" si="297"/>
        <v>-5.8580905810807797</v>
      </c>
      <c r="AF707" s="5">
        <f t="shared" si="285"/>
        <v>-15.771889474858039</v>
      </c>
      <c r="AG707">
        <f t="shared" si="296"/>
        <v>0</v>
      </c>
    </row>
    <row r="708" spans="1:33" x14ac:dyDescent="0.2">
      <c r="A708">
        <f t="shared" si="286"/>
        <v>6.7599999999999003</v>
      </c>
      <c r="B708" s="5">
        <f t="shared" si="287"/>
        <v>0</v>
      </c>
      <c r="C708" s="5">
        <f t="shared" si="288"/>
        <v>965.54512072912689</v>
      </c>
      <c r="D708" s="5">
        <f t="shared" si="289"/>
        <v>-110.81804161920219</v>
      </c>
      <c r="E708" s="2">
        <f t="shared" si="271"/>
        <v>321.84837357637565</v>
      </c>
      <c r="F708" s="2">
        <f t="shared" si="290"/>
        <v>0</v>
      </c>
      <c r="G708" s="3">
        <f t="shared" si="291"/>
        <v>0</v>
      </c>
      <c r="H708" s="3">
        <f t="shared" si="292"/>
        <v>100.20306973389536</v>
      </c>
      <c r="I708" s="3">
        <f t="shared" si="293"/>
        <v>-77.488306849684975</v>
      </c>
      <c r="J708" s="2">
        <f t="shared" si="272"/>
        <v>126.66922626481474</v>
      </c>
      <c r="K708" s="2">
        <f t="shared" si="294"/>
        <v>86.345757508394499</v>
      </c>
      <c r="L708" s="5">
        <f t="shared" si="273"/>
        <v>27.626436305193508</v>
      </c>
      <c r="M708" s="3">
        <f t="shared" si="274"/>
        <v>17.214997473510294</v>
      </c>
      <c r="N708" s="2">
        <v>0</v>
      </c>
      <c r="O708" s="2">
        <f t="shared" si="275"/>
        <v>126.66922626481474</v>
      </c>
      <c r="P708" s="2">
        <f t="shared" si="276"/>
        <v>86.345757508394499</v>
      </c>
      <c r="Q708" s="5">
        <f t="shared" si="277"/>
        <v>1.0675646500274982</v>
      </c>
      <c r="R708" s="5">
        <f t="shared" si="278"/>
        <v>0.16084635129917257</v>
      </c>
      <c r="S708" s="4">
        <f t="shared" si="295"/>
        <v>0.13590512850785569</v>
      </c>
      <c r="T708" s="5">
        <f t="shared" si="279"/>
        <v>0.10325375210771377</v>
      </c>
      <c r="U708" s="4">
        <f t="shared" si="280"/>
        <v>0</v>
      </c>
      <c r="V708" s="4">
        <f t="shared" si="281"/>
        <v>0</v>
      </c>
      <c r="W708" s="5">
        <f t="shared" si="282"/>
        <v>0</v>
      </c>
      <c r="X708" s="5">
        <f t="shared" si="283"/>
        <v>-11.601180828401533</v>
      </c>
      <c r="Y708" s="5">
        <f t="shared" si="284"/>
        <v>8.9713405211754083</v>
      </c>
      <c r="Z708" s="5">
        <f>1</f>
        <v>1</v>
      </c>
      <c r="AA708" s="5">
        <f>IF(M708=0,0,const*($T708/omega)*O708*(wy*I708-wz*(H708-V708))/Z708)</f>
        <v>0</v>
      </c>
      <c r="AB708" s="5">
        <f>IF(M708=0,0,const*($T708/omega)*O708*(wz*(G708-U708)-wx*I708)/Z708)</f>
        <v>5.7590648638611581</v>
      </c>
      <c r="AC708" s="5">
        <f>IF(M708=0,0,const*($T708/omega)*O708*(wx*(H708-V708)-wy*(G708-U708))/Z708)</f>
        <v>7.4472652922323119</v>
      </c>
      <c r="AD708" s="5">
        <f t="shared" si="297"/>
        <v>0</v>
      </c>
      <c r="AE708" s="5">
        <f t="shared" si="297"/>
        <v>-5.8421159645403753</v>
      </c>
      <c r="AF708" s="5">
        <f t="shared" si="285"/>
        <v>-15.75539418659228</v>
      </c>
      <c r="AG708">
        <f t="shared" si="296"/>
        <v>0</v>
      </c>
    </row>
    <row r="709" spans="1:33" x14ac:dyDescent="0.2">
      <c r="A709">
        <f t="shared" si="286"/>
        <v>6.7699999999999001</v>
      </c>
      <c r="B709" s="5">
        <f t="shared" si="287"/>
        <v>0</v>
      </c>
      <c r="C709" s="5">
        <f t="shared" si="288"/>
        <v>966.54685932066752</v>
      </c>
      <c r="D709" s="5">
        <f t="shared" si="289"/>
        <v>-111.59371245740837</v>
      </c>
      <c r="E709" s="2">
        <f t="shared" si="271"/>
        <v>322.18228644022253</v>
      </c>
      <c r="F709" s="2">
        <f t="shared" si="290"/>
        <v>0</v>
      </c>
      <c r="G709" s="3">
        <f t="shared" si="291"/>
        <v>0</v>
      </c>
      <c r="H709" s="3">
        <f t="shared" si="292"/>
        <v>100.14464857424996</v>
      </c>
      <c r="I709" s="3">
        <f t="shared" si="293"/>
        <v>-77.645860791550902</v>
      </c>
      <c r="J709" s="2">
        <f t="shared" si="272"/>
        <v>126.71949469643937</v>
      </c>
      <c r="K709" s="2">
        <f t="shared" si="294"/>
        <v>86.380023651287914</v>
      </c>
      <c r="L709" s="5">
        <f t="shared" si="273"/>
        <v>27.615477157765039</v>
      </c>
      <c r="M709" s="3">
        <f t="shared" si="274"/>
        <v>17.207093786739218</v>
      </c>
      <c r="N709" s="2">
        <v>0</v>
      </c>
      <c r="O709" s="2">
        <f t="shared" si="275"/>
        <v>126.71949469643937</v>
      </c>
      <c r="P709" s="2">
        <f t="shared" si="276"/>
        <v>86.380023651287914</v>
      </c>
      <c r="Q709" s="5">
        <f t="shared" si="277"/>
        <v>1.0679883109449702</v>
      </c>
      <c r="R709" s="5">
        <f t="shared" si="278"/>
        <v>0.16082208034230622</v>
      </c>
      <c r="S709" s="4">
        <f t="shared" si="295"/>
        <v>0.13578884470743327</v>
      </c>
      <c r="T709" s="5">
        <f t="shared" si="279"/>
        <v>0.10321840444358635</v>
      </c>
      <c r="U709" s="4">
        <f t="shared" si="280"/>
        <v>0</v>
      </c>
      <c r="V709" s="4">
        <f t="shared" si="281"/>
        <v>0</v>
      </c>
      <c r="W709" s="5">
        <f t="shared" si="282"/>
        <v>0</v>
      </c>
      <c r="X709" s="5">
        <f t="shared" si="283"/>
        <v>-11.59726800348998</v>
      </c>
      <c r="Y709" s="5">
        <f t="shared" si="284"/>
        <v>8.9917920705832852</v>
      </c>
      <c r="Z709" s="5">
        <f>1</f>
        <v>1</v>
      </c>
      <c r="AA709" s="5">
        <f>IF(M709=0,0,const*($T709/omega)*O709*(wy*I709-wz*(H709-V709))/Z709)</f>
        <v>0</v>
      </c>
      <c r="AB709" s="5">
        <f>IF(M709=0,0,const*($T709/omega)*O709*(wz*(G709-U709)-wx*I709)/Z709)</f>
        <v>5.7710883271663862</v>
      </c>
      <c r="AC709" s="5">
        <f>IF(M709=0,0,const*($T709/omega)*O709*(wx*(H709-V709)-wy*(G709-U709))/Z709)</f>
        <v>7.4433280347884709</v>
      </c>
      <c r="AD709" s="5">
        <f t="shared" si="297"/>
        <v>0</v>
      </c>
      <c r="AE709" s="5">
        <f t="shared" si="297"/>
        <v>-5.8261796763235933</v>
      </c>
      <c r="AF709" s="5">
        <f t="shared" si="285"/>
        <v>-15.738879894628244</v>
      </c>
      <c r="AG709">
        <f t="shared" si="296"/>
        <v>0</v>
      </c>
    </row>
    <row r="710" spans="1:33" x14ac:dyDescent="0.2">
      <c r="A710">
        <f t="shared" si="286"/>
        <v>6.7799999999998999</v>
      </c>
      <c r="B710" s="5">
        <f t="shared" si="287"/>
        <v>0</v>
      </c>
      <c r="C710" s="5">
        <f t="shared" si="288"/>
        <v>967.54801449742615</v>
      </c>
      <c r="D710" s="5">
        <f t="shared" si="289"/>
        <v>-112.37095800931861</v>
      </c>
      <c r="E710" s="2">
        <f t="shared" si="271"/>
        <v>322.5160048324754</v>
      </c>
      <c r="F710" s="2">
        <f t="shared" si="290"/>
        <v>0</v>
      </c>
      <c r="G710" s="3">
        <f t="shared" si="291"/>
        <v>0</v>
      </c>
      <c r="H710" s="3">
        <f t="shared" si="292"/>
        <v>100.08638677748672</v>
      </c>
      <c r="I710" s="3">
        <f t="shared" si="293"/>
        <v>-77.803249590497188</v>
      </c>
      <c r="J710" s="2">
        <f t="shared" si="272"/>
        <v>126.76999039604708</v>
      </c>
      <c r="K710" s="2">
        <f t="shared" si="294"/>
        <v>86.414444714415183</v>
      </c>
      <c r="L710" s="5">
        <f t="shared" si="273"/>
        <v>27.60447721341917</v>
      </c>
      <c r="M710" s="3">
        <f t="shared" si="274"/>
        <v>17.199181214216612</v>
      </c>
      <c r="N710" s="2">
        <v>0</v>
      </c>
      <c r="O710" s="2">
        <f t="shared" si="275"/>
        <v>126.76999039604708</v>
      </c>
      <c r="P710" s="2">
        <f t="shared" si="276"/>
        <v>86.414444714415183</v>
      </c>
      <c r="Q710" s="5">
        <f t="shared" si="277"/>
        <v>1.0684138872705637</v>
      </c>
      <c r="R710" s="5">
        <f t="shared" si="278"/>
        <v>0.16079776323685394</v>
      </c>
      <c r="S710" s="4">
        <f t="shared" si="295"/>
        <v>0.13567233980600596</v>
      </c>
      <c r="T710" s="5">
        <f t="shared" si="279"/>
        <v>0.10318297135104355</v>
      </c>
      <c r="U710" s="4">
        <f t="shared" si="280"/>
        <v>0</v>
      </c>
      <c r="V710" s="4">
        <f t="shared" si="281"/>
        <v>0</v>
      </c>
      <c r="W710" s="5">
        <f t="shared" si="282"/>
        <v>0</v>
      </c>
      <c r="X710" s="5">
        <f t="shared" si="283"/>
        <v>-11.593386380892222</v>
      </c>
      <c r="Y710" s="5">
        <f t="shared" si="284"/>
        <v>9.0122459530582599</v>
      </c>
      <c r="Z710" s="5">
        <f>1</f>
        <v>1</v>
      </c>
      <c r="AA710" s="5">
        <f>IF(M710=0,0,const*($T710/omega)*O710*(wy*I710-wz*(H710-V710))/Z710)</f>
        <v>0</v>
      </c>
      <c r="AB710" s="5">
        <f>IF(M710=0,0,const*($T710/omega)*O710*(wz*(G710-U710)-wx*I710)/Z710)</f>
        <v>5.7831047973796599</v>
      </c>
      <c r="AC710" s="5">
        <f>IF(M710=0,0,const*($T710/omega)*O710*(wx*(H710-V710)-wy*(G710-U710))/Z710)</f>
        <v>7.4394073071721012</v>
      </c>
      <c r="AD710" s="5">
        <f t="shared" si="297"/>
        <v>0</v>
      </c>
      <c r="AE710" s="5">
        <f t="shared" si="297"/>
        <v>-5.8102815835125616</v>
      </c>
      <c r="AF710" s="5">
        <f t="shared" si="285"/>
        <v>-15.722346739769637</v>
      </c>
      <c r="AG710">
        <f t="shared" si="296"/>
        <v>0</v>
      </c>
    </row>
    <row r="711" spans="1:33" x14ac:dyDescent="0.2">
      <c r="A711">
        <f t="shared" si="286"/>
        <v>6.7899999999998997</v>
      </c>
      <c r="B711" s="5">
        <f t="shared" si="287"/>
        <v>0</v>
      </c>
      <c r="C711" s="5">
        <f t="shared" si="288"/>
        <v>968.54858785112185</v>
      </c>
      <c r="D711" s="5">
        <f t="shared" si="289"/>
        <v>-113.14977662256057</v>
      </c>
      <c r="E711" s="2">
        <f t="shared" si="271"/>
        <v>322.84952928370728</v>
      </c>
      <c r="F711" s="2">
        <f t="shared" si="290"/>
        <v>0</v>
      </c>
      <c r="G711" s="3">
        <f t="shared" si="291"/>
        <v>0</v>
      </c>
      <c r="H711" s="3">
        <f t="shared" si="292"/>
        <v>100.0282839616516</v>
      </c>
      <c r="I711" s="3">
        <f t="shared" si="293"/>
        <v>-77.960473057894887</v>
      </c>
      <c r="J711" s="2">
        <f t="shared" si="272"/>
        <v>126.82071184047014</v>
      </c>
      <c r="K711" s="2">
        <f t="shared" si="294"/>
        <v>86.44901965948884</v>
      </c>
      <c r="L711" s="5">
        <f t="shared" si="273"/>
        <v>27.593436911433095</v>
      </c>
      <c r="M711" s="3">
        <f t="shared" si="274"/>
        <v>17.191259788853888</v>
      </c>
      <c r="N711" s="2">
        <v>0</v>
      </c>
      <c r="O711" s="2">
        <f t="shared" si="275"/>
        <v>126.82071184047014</v>
      </c>
      <c r="P711" s="2">
        <f t="shared" si="276"/>
        <v>86.44901965948884</v>
      </c>
      <c r="Q711" s="5">
        <f t="shared" si="277"/>
        <v>1.0688413661670653</v>
      </c>
      <c r="R711" s="5">
        <f t="shared" si="278"/>
        <v>0.16077340056265277</v>
      </c>
      <c r="S711" s="4">
        <f t="shared" si="295"/>
        <v>0.13555561658161214</v>
      </c>
      <c r="T711" s="5">
        <f t="shared" si="279"/>
        <v>0.10314745354667816</v>
      </c>
      <c r="U711" s="4">
        <f t="shared" si="280"/>
        <v>0</v>
      </c>
      <c r="V711" s="4">
        <f t="shared" si="281"/>
        <v>0</v>
      </c>
      <c r="W711" s="5">
        <f t="shared" si="282"/>
        <v>0</v>
      </c>
      <c r="X711" s="5">
        <f t="shared" si="283"/>
        <v>-11.589535791184803</v>
      </c>
      <c r="Y711" s="5">
        <f t="shared" si="284"/>
        <v>9.0327021220174188</v>
      </c>
      <c r="Z711" s="5">
        <f>1</f>
        <v>1</v>
      </c>
      <c r="AA711" s="5">
        <f>IF(M711=0,0,const*($T711/omega)*O711*(wy*I711-wz*(H711-V711))/Z711)</f>
        <v>0</v>
      </c>
      <c r="AB711" s="5">
        <f>IF(M711=0,0,const*($T711/omega)*O711*(wz*(G711-U711)-wx*I711)/Z711)</f>
        <v>5.7951142370014939</v>
      </c>
      <c r="AC711" s="5">
        <f>IF(M711=0,0,const*($T711/omega)*O711*(wx*(H711-V711)-wy*(G711-U711))/Z711)</f>
        <v>7.4355030152076909</v>
      </c>
      <c r="AD711" s="5">
        <f t="shared" si="297"/>
        <v>0</v>
      </c>
      <c r="AE711" s="5">
        <f t="shared" si="297"/>
        <v>-5.7944215541833088</v>
      </c>
      <c r="AF711" s="5">
        <f t="shared" si="285"/>
        <v>-15.705794862774891</v>
      </c>
      <c r="AG711">
        <f t="shared" si="296"/>
        <v>0</v>
      </c>
    </row>
    <row r="712" spans="1:33" x14ac:dyDescent="0.2">
      <c r="A712">
        <f t="shared" si="286"/>
        <v>6.7999999999998995</v>
      </c>
      <c r="B712" s="5">
        <f t="shared" si="287"/>
        <v>0</v>
      </c>
      <c r="C712" s="5">
        <f t="shared" si="288"/>
        <v>969.54858096966063</v>
      </c>
      <c r="D712" s="5">
        <f t="shared" si="289"/>
        <v>-113.93016664288265</v>
      </c>
      <c r="E712" s="2">
        <f t="shared" si="271"/>
        <v>323.18286032322021</v>
      </c>
      <c r="F712" s="2">
        <f t="shared" si="290"/>
        <v>0</v>
      </c>
      <c r="G712" s="3">
        <f t="shared" si="291"/>
        <v>0</v>
      </c>
      <c r="H712" s="3">
        <f t="shared" si="292"/>
        <v>99.970339746109758</v>
      </c>
      <c r="I712" s="3">
        <f t="shared" si="293"/>
        <v>-78.11753100652264</v>
      </c>
      <c r="J712" s="2">
        <f t="shared" si="272"/>
        <v>126.8716575106814</v>
      </c>
      <c r="K712" s="2">
        <f t="shared" si="294"/>
        <v>86.483747451043897</v>
      </c>
      <c r="L712" s="5">
        <f t="shared" si="273"/>
        <v>27.58235668938455</v>
      </c>
      <c r="M712" s="3">
        <f t="shared" si="274"/>
        <v>17.183329543703632</v>
      </c>
      <c r="N712" s="2">
        <v>0</v>
      </c>
      <c r="O712" s="2">
        <f t="shared" si="275"/>
        <v>126.8716575106814</v>
      </c>
      <c r="P712" s="2">
        <f t="shared" si="276"/>
        <v>86.483747451043897</v>
      </c>
      <c r="Q712" s="5">
        <f t="shared" si="277"/>
        <v>1.0692707348321571</v>
      </c>
      <c r="R712" s="5">
        <f t="shared" si="278"/>
        <v>0.16074899289724179</v>
      </c>
      <c r="S712" s="4">
        <f t="shared" si="295"/>
        <v>0.13543867780128085</v>
      </c>
      <c r="T712" s="5">
        <f t="shared" si="279"/>
        <v>0.10311185174494243</v>
      </c>
      <c r="U712" s="4">
        <f t="shared" si="280"/>
        <v>0</v>
      </c>
      <c r="V712" s="4">
        <f t="shared" si="281"/>
        <v>0</v>
      </c>
      <c r="W712" s="5">
        <f t="shared" si="282"/>
        <v>0</v>
      </c>
      <c r="X712" s="5">
        <f t="shared" si="283"/>
        <v>-11.585716065791512</v>
      </c>
      <c r="Y712" s="5">
        <f t="shared" si="284"/>
        <v>9.0531605304207741</v>
      </c>
      <c r="Z712" s="5">
        <f>1</f>
        <v>1</v>
      </c>
      <c r="AA712" s="5">
        <f>IF(M712=0,0,const*($T712/omega)*O712*(wy*I712-wz*(H712-V712))/Z712)</f>
        <v>0</v>
      </c>
      <c r="AB712" s="5">
        <f>IF(M712=0,0,const*($T712/omega)*O712*(wz*(G712-U712)-wx*I712)/Z712)</f>
        <v>5.8071166083923149</v>
      </c>
      <c r="AC712" s="5">
        <f>IF(M712=0,0,const*($T712/omega)*O712*(wx*(H712-V712)-wy*(G712-U712))/Z712)</f>
        <v>7.4316150652250217</v>
      </c>
      <c r="AD712" s="5">
        <f t="shared" si="297"/>
        <v>0</v>
      </c>
      <c r="AE712" s="5">
        <f t="shared" si="297"/>
        <v>-5.7785994573991974</v>
      </c>
      <c r="AF712" s="5">
        <f t="shared" si="285"/>
        <v>-15.689224404354203</v>
      </c>
      <c r="AG712">
        <f t="shared" si="296"/>
        <v>0</v>
      </c>
    </row>
    <row r="713" spans="1:33" x14ac:dyDescent="0.2">
      <c r="A713">
        <f t="shared" si="286"/>
        <v>6.8099999999998992</v>
      </c>
      <c r="B713" s="5">
        <f t="shared" si="287"/>
        <v>0</v>
      </c>
      <c r="C713" s="5">
        <f t="shared" si="288"/>
        <v>970.54799543714887</v>
      </c>
      <c r="D713" s="5">
        <f t="shared" si="289"/>
        <v>-114.7121264141681</v>
      </c>
      <c r="E713" s="2">
        <f t="shared" si="271"/>
        <v>323.51599847904964</v>
      </c>
      <c r="F713" s="2">
        <f t="shared" si="290"/>
        <v>0</v>
      </c>
      <c r="G713" s="3">
        <f t="shared" si="291"/>
        <v>0</v>
      </c>
      <c r="H713" s="3">
        <f t="shared" si="292"/>
        <v>99.912553751535768</v>
      </c>
      <c r="I713" s="3">
        <f t="shared" si="293"/>
        <v>-78.274423250566187</v>
      </c>
      <c r="J713" s="2">
        <f t="shared" si="272"/>
        <v>126.92282589180837</v>
      </c>
      <c r="K713" s="2">
        <f t="shared" si="294"/>
        <v>86.518627056447414</v>
      </c>
      <c r="L713" s="5">
        <f t="shared" si="273"/>
        <v>27.571236983141439</v>
      </c>
      <c r="M713" s="3">
        <f t="shared" si="274"/>
        <v>17.175390511957563</v>
      </c>
      <c r="N713" s="2">
        <v>0</v>
      </c>
      <c r="O713" s="2">
        <f t="shared" si="275"/>
        <v>126.92282589180837</v>
      </c>
      <c r="P713" s="2">
        <f t="shared" si="276"/>
        <v>86.518627056447414</v>
      </c>
      <c r="Q713" s="5">
        <f t="shared" si="277"/>
        <v>1.0697019804985359</v>
      </c>
      <c r="R713" s="5">
        <f t="shared" si="278"/>
        <v>0.16072454081584869</v>
      </c>
      <c r="S713" s="4">
        <f t="shared" si="295"/>
        <v>0.13532152622096691</v>
      </c>
      <c r="T713" s="5">
        <f t="shared" si="279"/>
        <v>0.1030761666581312</v>
      </c>
      <c r="U713" s="4">
        <f t="shared" si="280"/>
        <v>0</v>
      </c>
      <c r="V713" s="4">
        <f t="shared" si="281"/>
        <v>0</v>
      </c>
      <c r="W713" s="5">
        <f t="shared" si="282"/>
        <v>0</v>
      </c>
      <c r="X713" s="5">
        <f t="shared" si="283"/>
        <v>-11.581927036979947</v>
      </c>
      <c r="Y713" s="5">
        <f t="shared" si="284"/>
        <v>9.0736211307761643</v>
      </c>
      <c r="Z713" s="5">
        <f>1</f>
        <v>1</v>
      </c>
      <c r="AA713" s="5">
        <f>IF(M713=0,0,const*($T713/omega)*O713*(wy*I713-wz*(H713-V713))/Z713)</f>
        <v>0</v>
      </c>
      <c r="AB713" s="5">
        <f>IF(M713=0,0,const*($T713/omega)*O713*(wz*(G713-U713)-wx*I713)/Z713)</f>
        <v>5.8191118737755296</v>
      </c>
      <c r="AC713" s="5">
        <f>IF(M713=0,0,const*($T713/omega)*O713*(wx*(H713-V713)-wy*(G713-U713))/Z713)</f>
        <v>7.4277433640571999</v>
      </c>
      <c r="AD713" s="5">
        <f t="shared" si="297"/>
        <v>0</v>
      </c>
      <c r="AE713" s="5">
        <f t="shared" si="297"/>
        <v>-5.7628151632044169</v>
      </c>
      <c r="AF713" s="5">
        <f t="shared" si="285"/>
        <v>-15.672635505166635</v>
      </c>
      <c r="AG713">
        <f t="shared" si="296"/>
        <v>0</v>
      </c>
    </row>
    <row r="714" spans="1:33" x14ac:dyDescent="0.2">
      <c r="A714">
        <f t="shared" si="286"/>
        <v>6.819999999999899</v>
      </c>
      <c r="B714" s="5">
        <f t="shared" si="287"/>
        <v>0</v>
      </c>
      <c r="C714" s="5">
        <f t="shared" si="288"/>
        <v>971.54683283390614</v>
      </c>
      <c r="D714" s="5">
        <f t="shared" si="289"/>
        <v>-115.49565427844902</v>
      </c>
      <c r="E714" s="2">
        <f t="shared" si="271"/>
        <v>323.84894427796871</v>
      </c>
      <c r="F714" s="2">
        <f t="shared" si="290"/>
        <v>0</v>
      </c>
      <c r="G714" s="3">
        <f t="shared" si="291"/>
        <v>0</v>
      </c>
      <c r="H714" s="3">
        <f t="shared" si="292"/>
        <v>99.854925599903723</v>
      </c>
      <c r="I714" s="3">
        <f t="shared" si="293"/>
        <v>-78.431149605617847</v>
      </c>
      <c r="J714" s="2">
        <f t="shared" si="272"/>
        <v>126.97421547314681</v>
      </c>
      <c r="K714" s="2">
        <f t="shared" si="294"/>
        <v>86.553657445907845</v>
      </c>
      <c r="L714" s="5">
        <f t="shared" si="273"/>
        <v>27.560078226851694</v>
      </c>
      <c r="M714" s="3">
        <f t="shared" si="274"/>
        <v>17.167442726944575</v>
      </c>
      <c r="N714" s="2">
        <v>0</v>
      </c>
      <c r="O714" s="2">
        <f t="shared" si="275"/>
        <v>126.97421547314681</v>
      </c>
      <c r="P714" s="2">
        <f t="shared" si="276"/>
        <v>86.553657445907845</v>
      </c>
      <c r="Q714" s="5">
        <f t="shared" si="277"/>
        <v>1.0701350904340301</v>
      </c>
      <c r="R714" s="5">
        <f t="shared" si="278"/>
        <v>0.16070004489137665</v>
      </c>
      <c r="S714" s="4">
        <f t="shared" si="295"/>
        <v>0.13520416458548812</v>
      </c>
      <c r="T714" s="5">
        <f t="shared" si="279"/>
        <v>0.10304039899636548</v>
      </c>
      <c r="U714" s="4">
        <f t="shared" si="280"/>
        <v>0</v>
      </c>
      <c r="V714" s="4">
        <f t="shared" si="281"/>
        <v>0</v>
      </c>
      <c r="W714" s="5">
        <f t="shared" si="282"/>
        <v>0</v>
      </c>
      <c r="X714" s="5">
        <f t="shared" si="283"/>
        <v>-11.578168537858053</v>
      </c>
      <c r="Y714" s="5">
        <f t="shared" si="284"/>
        <v>9.0940838751441433</v>
      </c>
      <c r="Z714" s="5">
        <f>1</f>
        <v>1</v>
      </c>
      <c r="AA714" s="5">
        <f>IF(M714=0,0,const*($T714/omega)*O714*(wy*I714-wz*(H714-V714))/Z714)</f>
        <v>0</v>
      </c>
      <c r="AB714" s="5">
        <f>IF(M714=0,0,const*($T714/omega)*O714*(wz*(G714-U714)-wx*I714)/Z714)</f>
        <v>5.8310999952405727</v>
      </c>
      <c r="AC714" s="5">
        <f>IF(M714=0,0,const*($T714/omega)*O714*(wx*(H714-V714)-wy*(G714-U714))/Z714)</f>
        <v>7.4238878190386748</v>
      </c>
      <c r="AD714" s="5">
        <f t="shared" si="297"/>
        <v>0</v>
      </c>
      <c r="AE714" s="5">
        <f t="shared" si="297"/>
        <v>-5.7470685426174803</v>
      </c>
      <c r="AF714" s="5">
        <f t="shared" si="285"/>
        <v>-15.656028305817181</v>
      </c>
      <c r="AG714">
        <f t="shared" si="296"/>
        <v>0</v>
      </c>
    </row>
    <row r="715" spans="1:33" x14ac:dyDescent="0.2">
      <c r="A715">
        <f t="shared" si="286"/>
        <v>6.8299999999998988</v>
      </c>
      <c r="B715" s="5">
        <f t="shared" si="287"/>
        <v>0</v>
      </c>
      <c r="C715" s="5">
        <f t="shared" si="288"/>
        <v>972.54509473647806</v>
      </c>
      <c r="D715" s="5">
        <f t="shared" si="289"/>
        <v>-116.2807485759205</v>
      </c>
      <c r="E715" s="2">
        <f t="shared" si="271"/>
        <v>324.18169824549267</v>
      </c>
      <c r="F715" s="2">
        <f t="shared" si="290"/>
        <v>0</v>
      </c>
      <c r="G715" s="3">
        <f t="shared" si="291"/>
        <v>0</v>
      </c>
      <c r="H715" s="3">
        <f t="shared" si="292"/>
        <v>99.797454914477555</v>
      </c>
      <c r="I715" s="3">
        <f t="shared" si="293"/>
        <v>-78.587709888676017</v>
      </c>
      <c r="J715" s="2">
        <f t="shared" si="272"/>
        <v>127.02582474817429</v>
      </c>
      <c r="K715" s="2">
        <f t="shared" si="294"/>
        <v>86.588837592484168</v>
      </c>
      <c r="L715" s="5">
        <f t="shared" si="273"/>
        <v>27.548880852933372</v>
      </c>
      <c r="M715" s="3">
        <f t="shared" si="274"/>
        <v>17.159486222128749</v>
      </c>
      <c r="N715" s="2">
        <v>0</v>
      </c>
      <c r="O715" s="2">
        <f t="shared" si="275"/>
        <v>127.02582474817429</v>
      </c>
      <c r="P715" s="2">
        <f t="shared" si="276"/>
        <v>86.588837592484168</v>
      </c>
      <c r="Q715" s="5">
        <f t="shared" si="277"/>
        <v>1.0705700519417107</v>
      </c>
      <c r="R715" s="5">
        <f t="shared" si="278"/>
        <v>0.1606755056943914</v>
      </c>
      <c r="S715" s="4">
        <f t="shared" si="295"/>
        <v>0.13508659562846395</v>
      </c>
      <c r="T715" s="5">
        <f t="shared" si="279"/>
        <v>0.10300454946757634</v>
      </c>
      <c r="U715" s="4">
        <f t="shared" si="280"/>
        <v>0</v>
      </c>
      <c r="V715" s="4">
        <f t="shared" si="281"/>
        <v>0</v>
      </c>
      <c r="W715" s="5">
        <f t="shared" si="282"/>
        <v>0</v>
      </c>
      <c r="X715" s="5">
        <f t="shared" si="283"/>
        <v>-11.574440402370684</v>
      </c>
      <c r="Y715" s="5">
        <f t="shared" si="284"/>
        <v>9.114548715142849</v>
      </c>
      <c r="Z715" s="5">
        <f>1</f>
        <v>1</v>
      </c>
      <c r="AA715" s="5">
        <f>IF(M715=0,0,const*($T715/omega)*O715*(wy*I715-wz*(H715-V715))/Z715)</f>
        <v>0</v>
      </c>
      <c r="AB715" s="5">
        <f>IF(M715=0,0,const*($T715/omega)*O715*(wz*(G715-U715)-wx*I715)/Z715)</f>
        <v>5.84308093474597</v>
      </c>
      <c r="AC715" s="5">
        <f>IF(M715=0,0,const*($T715/omega)*O715*(wx*(H715-V715)-wy*(G715-U715))/Z715)</f>
        <v>7.4200483380032791</v>
      </c>
      <c r="AD715" s="5">
        <f t="shared" si="297"/>
        <v>0</v>
      </c>
      <c r="AE715" s="5">
        <f t="shared" si="297"/>
        <v>-5.7313594676247135</v>
      </c>
      <c r="AF715" s="5">
        <f t="shared" si="285"/>
        <v>-15.63940294685387</v>
      </c>
      <c r="AG715">
        <f t="shared" si="296"/>
        <v>0</v>
      </c>
    </row>
    <row r="716" spans="1:33" x14ac:dyDescent="0.2">
      <c r="A716">
        <f t="shared" si="286"/>
        <v>6.8399999999998986</v>
      </c>
      <c r="B716" s="5">
        <f t="shared" si="287"/>
        <v>0</v>
      </c>
      <c r="C716" s="5">
        <f t="shared" si="288"/>
        <v>973.54278271764952</v>
      </c>
      <c r="D716" s="5">
        <f t="shared" si="289"/>
        <v>-117.0674076449546</v>
      </c>
      <c r="E716" s="2">
        <f t="shared" si="271"/>
        <v>324.51426090588319</v>
      </c>
      <c r="F716" s="2">
        <f t="shared" si="290"/>
        <v>0</v>
      </c>
      <c r="G716" s="3">
        <f t="shared" si="291"/>
        <v>0</v>
      </c>
      <c r="H716" s="3">
        <f t="shared" si="292"/>
        <v>99.74014131980131</v>
      </c>
      <c r="I716" s="3">
        <f t="shared" si="293"/>
        <v>-78.74410391814456</v>
      </c>
      <c r="J716" s="2">
        <f t="shared" si="272"/>
        <v>127.07765221456323</v>
      </c>
      <c r="K716" s="2">
        <f t="shared" si="294"/>
        <v>86.624166472094899</v>
      </c>
      <c r="L716" s="5">
        <f t="shared" si="273"/>
        <v>27.537645292065069</v>
      </c>
      <c r="M716" s="3">
        <f t="shared" si="274"/>
        <v>17.151521031107382</v>
      </c>
      <c r="N716" s="2">
        <v>0</v>
      </c>
      <c r="O716" s="2">
        <f t="shared" si="275"/>
        <v>127.07765221456323</v>
      </c>
      <c r="P716" s="2">
        <f t="shared" si="276"/>
        <v>86.624166472094899</v>
      </c>
      <c r="Q716" s="5">
        <f t="shared" si="277"/>
        <v>1.0710068523600036</v>
      </c>
      <c r="R716" s="5">
        <f t="shared" si="278"/>
        <v>0.160650923793109</v>
      </c>
      <c r="S716" s="4">
        <f t="shared" si="295"/>
        <v>0.13496882207225575</v>
      </c>
      <c r="T716" s="5">
        <f t="shared" si="279"/>
        <v>0.10296861877748899</v>
      </c>
      <c r="U716" s="4">
        <f t="shared" si="280"/>
        <v>0</v>
      </c>
      <c r="V716" s="4">
        <f t="shared" si="281"/>
        <v>0</v>
      </c>
      <c r="W716" s="5">
        <f t="shared" si="282"/>
        <v>0</v>
      </c>
      <c r="X716" s="5">
        <f t="shared" si="283"/>
        <v>-11.570742465296153</v>
      </c>
      <c r="Y716" s="5">
        <f t="shared" si="284"/>
        <v>9.1350156019528637</v>
      </c>
      <c r="Z716" s="5">
        <f>1</f>
        <v>1</v>
      </c>
      <c r="AA716" s="5">
        <f>IF(M716=0,0,const*($T716/omega)*O716*(wy*I716-wz*(H716-V716))/Z716)</f>
        <v>0</v>
      </c>
      <c r="AB716" s="5">
        <f>IF(M716=0,0,const*($T716/omega)*O716*(wz*(G716-U716)-wx*I716)/Z716)</f>
        <v>5.8550546541223545</v>
      </c>
      <c r="AC716" s="5">
        <f>IF(M716=0,0,const*($T716/omega)*O716*(wx*(H716-V716)-wy*(G716-U716))/Z716)</f>
        <v>7.4162248292822328</v>
      </c>
      <c r="AD716" s="5">
        <f t="shared" si="297"/>
        <v>0</v>
      </c>
      <c r="AE716" s="5">
        <f t="shared" si="297"/>
        <v>-5.7156878111737983</v>
      </c>
      <c r="AF716" s="5">
        <f t="shared" si="285"/>
        <v>-15.622759568764902</v>
      </c>
      <c r="AG716">
        <f t="shared" si="296"/>
        <v>0</v>
      </c>
    </row>
    <row r="717" spans="1:33" x14ac:dyDescent="0.2">
      <c r="A717">
        <f t="shared" si="286"/>
        <v>6.8499999999998984</v>
      </c>
      <c r="B717" s="5">
        <f t="shared" si="287"/>
        <v>0</v>
      </c>
      <c r="C717" s="5">
        <f t="shared" si="288"/>
        <v>974.53989834645688</v>
      </c>
      <c r="D717" s="5">
        <f t="shared" si="289"/>
        <v>-117.85562982211448</v>
      </c>
      <c r="E717" s="2">
        <f t="shared" si="271"/>
        <v>324.84663278215231</v>
      </c>
      <c r="F717" s="2">
        <f t="shared" si="290"/>
        <v>0</v>
      </c>
      <c r="G717" s="3">
        <f t="shared" si="291"/>
        <v>0</v>
      </c>
      <c r="H717" s="3">
        <f t="shared" si="292"/>
        <v>99.68298444168957</v>
      </c>
      <c r="I717" s="3">
        <f t="shared" si="293"/>
        <v>-78.900331513832214</v>
      </c>
      <c r="J717" s="2">
        <f t="shared" si="272"/>
        <v>127.12969637419398</v>
      </c>
      <c r="K717" s="2">
        <f t="shared" si="294"/>
        <v>86.659643063526914</v>
      </c>
      <c r="L717" s="5">
        <f t="shared" si="273"/>
        <v>27.526371973176484</v>
      </c>
      <c r="M717" s="3">
        <f t="shared" si="274"/>
        <v>17.143547187609023</v>
      </c>
      <c r="N717" s="2">
        <v>0</v>
      </c>
      <c r="O717" s="2">
        <f t="shared" si="275"/>
        <v>127.12969637419398</v>
      </c>
      <c r="P717" s="2">
        <f t="shared" si="276"/>
        <v>86.659643063526914</v>
      </c>
      <c r="Q717" s="5">
        <f t="shared" si="277"/>
        <v>1.071445479062799</v>
      </c>
      <c r="R717" s="5">
        <f t="shared" si="278"/>
        <v>0.16062629975338344</v>
      </c>
      <c r="S717" s="4">
        <f t="shared" si="295"/>
        <v>0.13485084662790861</v>
      </c>
      <c r="T717" s="5">
        <f t="shared" si="279"/>
        <v>0.10293260762960743</v>
      </c>
      <c r="U717" s="4">
        <f t="shared" si="280"/>
        <v>0</v>
      </c>
      <c r="V717" s="4">
        <f t="shared" si="281"/>
        <v>0</v>
      </c>
      <c r="W717" s="5">
        <f t="shared" si="282"/>
        <v>0</v>
      </c>
      <c r="X717" s="5">
        <f t="shared" si="283"/>
        <v>-11.567074562242805</v>
      </c>
      <c r="Y717" s="5">
        <f t="shared" si="284"/>
        <v>9.1554844863220683</v>
      </c>
      <c r="Z717" s="5">
        <f>1</f>
        <v>1</v>
      </c>
      <c r="AA717" s="5">
        <f>IF(M717=0,0,const*($T717/omega)*O717*(wy*I717-wz*(H717-V717))/Z717)</f>
        <v>0</v>
      </c>
      <c r="AB717" s="5">
        <f>IF(M717=0,0,const*($T717/omega)*O717*(wz*(G717-U717)-wx*I717)/Z717)</f>
        <v>5.8670211150755014</v>
      </c>
      <c r="AC717" s="5">
        <f>IF(M717=0,0,const*($T717/omega)*O717*(wx*(H717-V717)-wy*(G717-U717))/Z717)</f>
        <v>7.4124172017021914</v>
      </c>
      <c r="AD717" s="5">
        <f t="shared" si="297"/>
        <v>0</v>
      </c>
      <c r="AE717" s="5">
        <f t="shared" si="297"/>
        <v>-5.7000534471673037</v>
      </c>
      <c r="AF717" s="5">
        <f t="shared" si="285"/>
        <v>-15.606098311975739</v>
      </c>
      <c r="AG717">
        <f t="shared" si="296"/>
        <v>0</v>
      </c>
    </row>
    <row r="718" spans="1:33" x14ac:dyDescent="0.2">
      <c r="A718">
        <f t="shared" si="286"/>
        <v>6.8599999999998982</v>
      </c>
      <c r="B718" s="5">
        <f t="shared" si="287"/>
        <v>0</v>
      </c>
      <c r="C718" s="5">
        <f t="shared" si="288"/>
        <v>975.53644318820136</v>
      </c>
      <c r="D718" s="5">
        <f t="shared" si="289"/>
        <v>-118.64541344216839</v>
      </c>
      <c r="E718" s="2">
        <f t="shared" si="271"/>
        <v>325.17881439606714</v>
      </c>
      <c r="F718" s="2">
        <f t="shared" si="290"/>
        <v>0</v>
      </c>
      <c r="G718" s="3">
        <f t="shared" si="291"/>
        <v>0</v>
      </c>
      <c r="H718" s="3">
        <f t="shared" si="292"/>
        <v>99.625983907217901</v>
      </c>
      <c r="I718" s="3">
        <f t="shared" si="293"/>
        <v>-79.056392496951972</v>
      </c>
      <c r="J718" s="2">
        <f t="shared" si="272"/>
        <v>127.18195573316744</v>
      </c>
      <c r="K718" s="2">
        <f t="shared" si="294"/>
        <v>86.695266348444065</v>
      </c>
      <c r="L718" s="5">
        <f t="shared" si="273"/>
        <v>27.515061323439337</v>
      </c>
      <c r="M718" s="3">
        <f t="shared" si="274"/>
        <v>17.135564725491527</v>
      </c>
      <c r="N718" s="2">
        <v>0</v>
      </c>
      <c r="O718" s="2">
        <f t="shared" si="275"/>
        <v>127.18195573316744</v>
      </c>
      <c r="P718" s="2">
        <f t="shared" si="276"/>
        <v>86.695266348444065</v>
      </c>
      <c r="Q718" s="5">
        <f t="shared" si="277"/>
        <v>1.0718859194595576</v>
      </c>
      <c r="R718" s="5">
        <f t="shared" si="278"/>
        <v>0.16060163413869505</v>
      </c>
      <c r="S718" s="4">
        <f t="shared" si="295"/>
        <v>0.13473267199509489</v>
      </c>
      <c r="T718" s="5">
        <f t="shared" si="279"/>
        <v>0.10289651672519906</v>
      </c>
      <c r="U718" s="4">
        <f t="shared" si="280"/>
        <v>0</v>
      </c>
      <c r="V718" s="4">
        <f t="shared" si="281"/>
        <v>0</v>
      </c>
      <c r="W718" s="5">
        <f t="shared" si="282"/>
        <v>0</v>
      </c>
      <c r="X718" s="5">
        <f t="shared" si="283"/>
        <v>-11.563436529645578</v>
      </c>
      <c r="Y718" s="5">
        <f t="shared" si="284"/>
        <v>9.1759553185704785</v>
      </c>
      <c r="Z718" s="5">
        <f>1</f>
        <v>1</v>
      </c>
      <c r="AA718" s="5">
        <f>IF(M718=0,0,const*($T718/omega)*O718*(wy*I718-wz*(H718-V718))/Z718)</f>
        <v>0</v>
      </c>
      <c r="AB718" s="5">
        <f>IF(M718=0,0,const*($T718/omega)*O718*(wz*(G718-U718)-wx*I718)/Z718)</f>
        <v>5.8789802791893209</v>
      </c>
      <c r="AC718" s="5">
        <f>IF(M718=0,0,const*($T718/omega)*O718*(wx*(H718-V718)-wy*(G718-U718))/Z718)</f>
        <v>7.4086253645832425</v>
      </c>
      <c r="AD718" s="5">
        <f t="shared" si="297"/>
        <v>0</v>
      </c>
      <c r="AE718" s="5">
        <f t="shared" si="297"/>
        <v>-5.6844562504562575</v>
      </c>
      <c r="AF718" s="5">
        <f t="shared" si="285"/>
        <v>-15.589419316846278</v>
      </c>
      <c r="AG718">
        <f t="shared" si="296"/>
        <v>0</v>
      </c>
    </row>
    <row r="719" spans="1:33" x14ac:dyDescent="0.2">
      <c r="A719">
        <f t="shared" si="286"/>
        <v>6.869999999999898</v>
      </c>
      <c r="B719" s="5">
        <f t="shared" si="287"/>
        <v>0</v>
      </c>
      <c r="C719" s="5">
        <f t="shared" si="288"/>
        <v>976.53241880446103</v>
      </c>
      <c r="D719" s="5">
        <f t="shared" si="289"/>
        <v>-119.43675683810375</v>
      </c>
      <c r="E719" s="2">
        <f t="shared" si="271"/>
        <v>325.51080626815366</v>
      </c>
      <c r="F719" s="2">
        <f t="shared" si="290"/>
        <v>0</v>
      </c>
      <c r="G719" s="3">
        <f t="shared" si="291"/>
        <v>0</v>
      </c>
      <c r="H719" s="3">
        <f t="shared" si="292"/>
        <v>99.569139344713335</v>
      </c>
      <c r="I719" s="3">
        <f t="shared" si="293"/>
        <v>-79.212286690120436</v>
      </c>
      <c r="J719" s="2">
        <f t="shared" si="272"/>
        <v>127.23442880181753</v>
      </c>
      <c r="K719" s="2">
        <f t="shared" si="294"/>
        <v>86.731035311395715</v>
      </c>
      <c r="L719" s="5">
        <f t="shared" si="273"/>
        <v>27.503713768258457</v>
      </c>
      <c r="M719" s="3">
        <f t="shared" si="274"/>
        <v>17.127573678740106</v>
      </c>
      <c r="N719" s="2">
        <v>0</v>
      </c>
      <c r="O719" s="2">
        <f t="shared" si="275"/>
        <v>127.23442880181753</v>
      </c>
      <c r="P719" s="2">
        <f t="shared" si="276"/>
        <v>86.731035311395715</v>
      </c>
      <c r="Q719" s="5">
        <f t="shared" si="277"/>
        <v>1.0723281609954154</v>
      </c>
      <c r="R719" s="5">
        <f t="shared" si="278"/>
        <v>0.16057692751013891</v>
      </c>
      <c r="S719" s="4">
        <f t="shared" si="295"/>
        <v>0.13461430086205914</v>
      </c>
      <c r="T719" s="5">
        <f t="shared" si="279"/>
        <v>0.10286034676328001</v>
      </c>
      <c r="U719" s="4">
        <f t="shared" si="280"/>
        <v>0</v>
      </c>
      <c r="V719" s="4">
        <f t="shared" si="281"/>
        <v>0</v>
      </c>
      <c r="W719" s="5">
        <f t="shared" si="282"/>
        <v>0</v>
      </c>
      <c r="X719" s="5">
        <f t="shared" si="283"/>
        <v>-11.559828204762574</v>
      </c>
      <c r="Y719" s="5">
        <f t="shared" si="284"/>
        <v>9.1964280485950756</v>
      </c>
      <c r="Z719" s="5">
        <f>1</f>
        <v>1</v>
      </c>
      <c r="AA719" s="5">
        <f>IF(M719=0,0,const*($T719/omega)*O719*(wy*I719-wz*(H719-V719))/Z719)</f>
        <v>0</v>
      </c>
      <c r="AB719" s="5">
        <f>IF(M719=0,0,const*($T719/omega)*O719*(wz*(G719-U719)-wx*I719)/Z719)</f>
        <v>5.8909321079288706</v>
      </c>
      <c r="AC719" s="5">
        <f>IF(M719=0,0,const*($T719/omega)*O719*(wx*(H719-V719)-wy*(G719-U719))/Z719)</f>
        <v>7.4048492277369427</v>
      </c>
      <c r="AD719" s="5">
        <f t="shared" si="297"/>
        <v>0</v>
      </c>
      <c r="AE719" s="5">
        <f t="shared" si="297"/>
        <v>-5.6688960968337039</v>
      </c>
      <c r="AF719" s="5">
        <f t="shared" si="285"/>
        <v>-15.572722723667979</v>
      </c>
      <c r="AG719">
        <f t="shared" si="296"/>
        <v>0</v>
      </c>
    </row>
    <row r="720" spans="1:33" x14ac:dyDescent="0.2">
      <c r="A720">
        <f t="shared" si="286"/>
        <v>6.8799999999998978</v>
      </c>
      <c r="B720" s="5">
        <f t="shared" si="287"/>
        <v>0</v>
      </c>
      <c r="C720" s="5">
        <f t="shared" si="288"/>
        <v>977.52782675310334</v>
      </c>
      <c r="D720" s="5">
        <f t="shared" si="289"/>
        <v>-120.22965834114115</v>
      </c>
      <c r="E720" s="2">
        <f t="shared" si="271"/>
        <v>325.84260891770111</v>
      </c>
      <c r="F720" s="2">
        <f t="shared" si="290"/>
        <v>0</v>
      </c>
      <c r="G720" s="3">
        <f t="shared" si="291"/>
        <v>0</v>
      </c>
      <c r="H720" s="3">
        <f t="shared" si="292"/>
        <v>99.512450383745005</v>
      </c>
      <c r="I720" s="3">
        <f t="shared" si="293"/>
        <v>-79.368013917357118</v>
      </c>
      <c r="J720" s="2">
        <f t="shared" si="272"/>
        <v>127.28711409472329</v>
      </c>
      <c r="K720" s="2">
        <f t="shared" si="294"/>
        <v>86.766948939825014</v>
      </c>
      <c r="L720" s="5">
        <f t="shared" si="273"/>
        <v>27.492329731263169</v>
      </c>
      <c r="M720" s="3">
        <f t="shared" si="274"/>
        <v>17.119574081465373</v>
      </c>
      <c r="N720" s="2">
        <v>0</v>
      </c>
      <c r="O720" s="2">
        <f t="shared" si="275"/>
        <v>127.28711409472329</v>
      </c>
      <c r="P720" s="2">
        <f t="shared" si="276"/>
        <v>86.766948939825014</v>
      </c>
      <c r="Q720" s="5">
        <f t="shared" si="277"/>
        <v>1.0727721911512875</v>
      </c>
      <c r="R720" s="5">
        <f t="shared" si="278"/>
        <v>0.16055218042641367</v>
      </c>
      <c r="S720" s="4">
        <f t="shared" si="295"/>
        <v>0.1344957359055646</v>
      </c>
      <c r="T720" s="5">
        <f t="shared" si="279"/>
        <v>0.10282409844060042</v>
      </c>
      <c r="U720" s="4">
        <f t="shared" si="280"/>
        <v>0</v>
      </c>
      <c r="V720" s="4">
        <f t="shared" si="281"/>
        <v>0</v>
      </c>
      <c r="W720" s="5">
        <f t="shared" si="282"/>
        <v>0</v>
      </c>
      <c r="X720" s="5">
        <f t="shared" si="283"/>
        <v>-11.556249425671636</v>
      </c>
      <c r="Y720" s="5">
        <f t="shared" si="284"/>
        <v>9.2169026258746154</v>
      </c>
      <c r="Z720" s="5">
        <f>1</f>
        <v>1</v>
      </c>
      <c r="AA720" s="5">
        <f>IF(M720=0,0,const*($T720/omega)*O720*(wy*I720-wz*(H720-V720))/Z720)</f>
        <v>0</v>
      </c>
      <c r="AB720" s="5">
        <f>IF(M720=0,0,const*($T720/omega)*O720*(wz*(G720-U720)-wx*I720)/Z720)</f>
        <v>5.9028765626433257</v>
      </c>
      <c r="AC720" s="5">
        <f>IF(M720=0,0,const*($T720/omega)*O720*(wx*(H720-V720)-wy*(G720-U720))/Z720)</f>
        <v>7.4010887014643263</v>
      </c>
      <c r="AD720" s="5">
        <f t="shared" si="297"/>
        <v>0</v>
      </c>
      <c r="AE720" s="5">
        <f t="shared" si="297"/>
        <v>-5.6533728630283102</v>
      </c>
      <c r="AF720" s="5">
        <f t="shared" si="285"/>
        <v>-15.556008672661058</v>
      </c>
      <c r="AG720">
        <f t="shared" si="296"/>
        <v>0</v>
      </c>
    </row>
    <row r="721" spans="1:33" x14ac:dyDescent="0.2">
      <c r="A721">
        <f t="shared" si="286"/>
        <v>6.8899999999998975</v>
      </c>
      <c r="B721" s="5">
        <f t="shared" si="287"/>
        <v>0</v>
      </c>
      <c r="C721" s="5">
        <f t="shared" si="288"/>
        <v>978.52266858829762</v>
      </c>
      <c r="D721" s="5">
        <f t="shared" si="289"/>
        <v>-121.02411628074836</v>
      </c>
      <c r="E721" s="2">
        <f t="shared" si="271"/>
        <v>326.17422286276587</v>
      </c>
      <c r="F721" s="2">
        <f t="shared" si="290"/>
        <v>0</v>
      </c>
      <c r="G721" s="3">
        <f t="shared" si="291"/>
        <v>0</v>
      </c>
      <c r="H721" s="3">
        <f t="shared" si="292"/>
        <v>99.45591665511472</v>
      </c>
      <c r="I721" s="3">
        <f t="shared" si="293"/>
        <v>-79.523574004083727</v>
      </c>
      <c r="J721" s="2">
        <f t="shared" si="272"/>
        <v>127.34001013072093</v>
      </c>
      <c r="K721" s="2">
        <f t="shared" si="294"/>
        <v>86.803006224076967</v>
      </c>
      <c r="L721" s="5">
        <f t="shared" si="273"/>
        <v>27.480909634298907</v>
      </c>
      <c r="M721" s="3">
        <f t="shared" si="274"/>
        <v>17.111565967901441</v>
      </c>
      <c r="N721" s="2">
        <v>0</v>
      </c>
      <c r="O721" s="2">
        <f t="shared" si="275"/>
        <v>127.34001013072093</v>
      </c>
      <c r="P721" s="2">
        <f t="shared" si="276"/>
        <v>86.803006224076967</v>
      </c>
      <c r="Q721" s="5">
        <f t="shared" si="277"/>
        <v>1.0732179974439664</v>
      </c>
      <c r="R721" s="5">
        <f t="shared" si="278"/>
        <v>0.16052739344381084</v>
      </c>
      <c r="S721" s="4">
        <f t="shared" si="295"/>
        <v>0.13437697979084154</v>
      </c>
      <c r="T721" s="5">
        <f t="shared" si="279"/>
        <v>0.10278777245163034</v>
      </c>
      <c r="U721" s="4">
        <f t="shared" si="280"/>
        <v>0</v>
      </c>
      <c r="V721" s="4">
        <f t="shared" si="281"/>
        <v>0</v>
      </c>
      <c r="W721" s="5">
        <f t="shared" si="282"/>
        <v>0</v>
      </c>
      <c r="X721" s="5">
        <f t="shared" si="283"/>
        <v>-11.552700031266919</v>
      </c>
      <c r="Y721" s="5">
        <f t="shared" si="284"/>
        <v>9.2373789994744229</v>
      </c>
      <c r="Z721" s="5">
        <f>1</f>
        <v>1</v>
      </c>
      <c r="AA721" s="5">
        <f>IF(M721=0,0,const*($T721/omega)*O721*(wy*I721-wz*(H721-V721))/Z721)</f>
        <v>0</v>
      </c>
      <c r="AB721" s="5">
        <f>IF(M721=0,0,const*($T721/omega)*O721*(wz*(G721-U721)-wx*I721)/Z721)</f>
        <v>5.9148136045689572</v>
      </c>
      <c r="AC721" s="5">
        <f>IF(M721=0,0,const*($T721/omega)*O721*(wx*(H721-V721)-wy*(G721-U721))/Z721)</f>
        <v>7.3973436965539321</v>
      </c>
      <c r="AD721" s="5">
        <f t="shared" si="297"/>
        <v>0</v>
      </c>
      <c r="AE721" s="5">
        <f t="shared" si="297"/>
        <v>-5.6378864266979622</v>
      </c>
      <c r="AF721" s="5">
        <f t="shared" si="285"/>
        <v>-15.539277303971645</v>
      </c>
      <c r="AG721">
        <f t="shared" si="296"/>
        <v>0</v>
      </c>
    </row>
    <row r="722" spans="1:33" x14ac:dyDescent="0.2">
      <c r="A722">
        <f t="shared" si="286"/>
        <v>6.8999999999998973</v>
      </c>
      <c r="B722" s="5">
        <f t="shared" si="287"/>
        <v>0</v>
      </c>
      <c r="C722" s="5">
        <f t="shared" si="288"/>
        <v>979.51694586052747</v>
      </c>
      <c r="D722" s="5">
        <f t="shared" si="289"/>
        <v>-121.82012898465439</v>
      </c>
      <c r="E722" s="2">
        <f t="shared" si="271"/>
        <v>326.5056486201758</v>
      </c>
      <c r="F722" s="2">
        <f t="shared" si="290"/>
        <v>0</v>
      </c>
      <c r="G722" s="3">
        <f t="shared" si="291"/>
        <v>0</v>
      </c>
      <c r="H722" s="3">
        <f t="shared" si="292"/>
        <v>99.399537790847745</v>
      </c>
      <c r="I722" s="3">
        <f t="shared" si="293"/>
        <v>-79.678966777123449</v>
      </c>
      <c r="J722" s="2">
        <f t="shared" si="272"/>
        <v>127.39311543291542</v>
      </c>
      <c r="K722" s="2">
        <f t="shared" si="294"/>
        <v>86.839206157406551</v>
      </c>
      <c r="L722" s="5">
        <f t="shared" si="273"/>
        <v>27.469453897419012</v>
      </c>
      <c r="M722" s="3">
        <f t="shared" si="274"/>
        <v>17.103549372403986</v>
      </c>
      <c r="N722" s="2">
        <v>0</v>
      </c>
      <c r="O722" s="2">
        <f t="shared" si="275"/>
        <v>127.39311543291542</v>
      </c>
      <c r="P722" s="2">
        <f t="shared" si="276"/>
        <v>86.839206157406551</v>
      </c>
      <c r="Q722" s="5">
        <f t="shared" si="277"/>
        <v>1.0736655674262237</v>
      </c>
      <c r="R722" s="5">
        <f t="shared" si="278"/>
        <v>0.1605025671162042</v>
      </c>
      <c r="S722" s="4">
        <f t="shared" si="295"/>
        <v>0.13425803517153664</v>
      </c>
      <c r="T722" s="5">
        <f t="shared" si="279"/>
        <v>0.10275136948854559</v>
      </c>
      <c r="U722" s="4">
        <f t="shared" si="280"/>
        <v>0</v>
      </c>
      <c r="V722" s="4">
        <f t="shared" si="281"/>
        <v>0</v>
      </c>
      <c r="W722" s="5">
        <f t="shared" si="282"/>
        <v>0</v>
      </c>
      <c r="X722" s="5">
        <f t="shared" si="283"/>
        <v>-11.549179861255499</v>
      </c>
      <c r="Y722" s="5">
        <f t="shared" si="284"/>
        <v>9.257857118051211</v>
      </c>
      <c r="Z722" s="5">
        <f>1</f>
        <v>1</v>
      </c>
      <c r="AA722" s="5">
        <f>IF(M722=0,0,const*($T722/omega)*O722*(wy*I722-wz*(H722-V722))/Z722)</f>
        <v>0</v>
      </c>
      <c r="AB722" s="5">
        <f>IF(M722=0,0,const*($T722/omega)*O722*(wz*(G722-U722)-wx*I722)/Z722)</f>
        <v>5.9267431948320759</v>
      </c>
      <c r="AC722" s="5">
        <f>IF(M722=0,0,const*($T722/omega)*O722*(wx*(H722-V722)-wy*(G722-U722))/Z722)</f>
        <v>7.3936141242797966</v>
      </c>
      <c r="AD722" s="5">
        <f t="shared" si="297"/>
        <v>0</v>
      </c>
      <c r="AE722" s="5">
        <f t="shared" si="297"/>
        <v>-5.6224366664234235</v>
      </c>
      <c r="AF722" s="5">
        <f t="shared" si="285"/>
        <v>-15.522528757668994</v>
      </c>
      <c r="AG722">
        <f t="shared" si="296"/>
        <v>0</v>
      </c>
    </row>
    <row r="723" spans="1:33" x14ac:dyDescent="0.2">
      <c r="A723">
        <f t="shared" si="286"/>
        <v>6.9099999999998971</v>
      </c>
      <c r="B723" s="5">
        <f t="shared" si="287"/>
        <v>0</v>
      </c>
      <c r="C723" s="5">
        <f t="shared" si="288"/>
        <v>980.51066011660271</v>
      </c>
      <c r="D723" s="5">
        <f t="shared" si="289"/>
        <v>-122.61769477886351</v>
      </c>
      <c r="E723" s="2">
        <f t="shared" si="271"/>
        <v>326.83688670553425</v>
      </c>
      <c r="F723" s="2">
        <f t="shared" si="290"/>
        <v>0</v>
      </c>
      <c r="G723" s="3">
        <f t="shared" si="291"/>
        <v>0</v>
      </c>
      <c r="H723" s="3">
        <f t="shared" si="292"/>
        <v>99.343313424183506</v>
      </c>
      <c r="I723" s="3">
        <f t="shared" si="293"/>
        <v>-79.834192064700133</v>
      </c>
      <c r="J723" s="2">
        <f t="shared" si="272"/>
        <v>127.44642852869197</v>
      </c>
      <c r="K723" s="2">
        <f t="shared" si="294"/>
        <v>86.875547735986345</v>
      </c>
      <c r="L723" s="5">
        <f t="shared" si="273"/>
        <v>27.457962938876907</v>
      </c>
      <c r="M723" s="3">
        <f t="shared" si="274"/>
        <v>17.095524329448331</v>
      </c>
      <c r="N723" s="2">
        <v>0</v>
      </c>
      <c r="O723" s="2">
        <f t="shared" si="275"/>
        <v>127.44642852869197</v>
      </c>
      <c r="P723" s="2">
        <f t="shared" si="276"/>
        <v>86.875547735986345</v>
      </c>
      <c r="Q723" s="5">
        <f t="shared" si="277"/>
        <v>1.0741148886869032</v>
      </c>
      <c r="R723" s="5">
        <f t="shared" si="278"/>
        <v>0.16047770199503952</v>
      </c>
      <c r="S723" s="4">
        <f t="shared" si="295"/>
        <v>0.13413890468966436</v>
      </c>
      <c r="T723" s="5">
        <f t="shared" si="279"/>
        <v>0.10271489024121437</v>
      </c>
      <c r="U723" s="4">
        <f t="shared" si="280"/>
        <v>0</v>
      </c>
      <c r="V723" s="4">
        <f t="shared" si="281"/>
        <v>0</v>
      </c>
      <c r="W723" s="5">
        <f t="shared" si="282"/>
        <v>0</v>
      </c>
      <c r="X723" s="5">
        <f t="shared" si="283"/>
        <v>-11.54568875615392</v>
      </c>
      <c r="Y723" s="5">
        <f t="shared" si="284"/>
        <v>9.2783369298578098</v>
      </c>
      <c r="Z723" s="5">
        <f>1</f>
        <v>1</v>
      </c>
      <c r="AA723" s="5">
        <f>IF(M723=0,0,const*($T723/omega)*O723*(wy*I723-wz*(H723-V723))/Z723)</f>
        <v>0</v>
      </c>
      <c r="AB723" s="5">
        <f>IF(M723=0,0,const*($T723/omega)*O723*(wz*(G723-U723)-wx*I723)/Z723)</f>
        <v>5.9386652944519938</v>
      </c>
      <c r="AC723" s="5">
        <f>IF(M723=0,0,const*($T723/omega)*O723*(wx*(H723-V723)-wy*(G723-U723))/Z723)</f>
        <v>7.389899896399502</v>
      </c>
      <c r="AD723" s="5">
        <f t="shared" si="297"/>
        <v>0</v>
      </c>
      <c r="AE723" s="5">
        <f t="shared" si="297"/>
        <v>-5.6070234617019263</v>
      </c>
      <c r="AF723" s="5">
        <f t="shared" si="285"/>
        <v>-15.505763173742686</v>
      </c>
      <c r="AG723">
        <f t="shared" si="296"/>
        <v>0</v>
      </c>
    </row>
    <row r="724" spans="1:33" x14ac:dyDescent="0.2">
      <c r="A724">
        <f t="shared" si="286"/>
        <v>6.9199999999998969</v>
      </c>
      <c r="B724" s="5">
        <f t="shared" si="287"/>
        <v>0</v>
      </c>
      <c r="C724" s="5">
        <f t="shared" si="288"/>
        <v>981.50381289967152</v>
      </c>
      <c r="D724" s="5">
        <f t="shared" si="289"/>
        <v>-123.41681198766921</v>
      </c>
      <c r="E724" s="2">
        <f t="shared" si="271"/>
        <v>327.16793763322386</v>
      </c>
      <c r="F724" s="2">
        <f t="shared" si="290"/>
        <v>0</v>
      </c>
      <c r="G724" s="3">
        <f t="shared" si="291"/>
        <v>0</v>
      </c>
      <c r="H724" s="3">
        <f t="shared" si="292"/>
        <v>99.287243189566482</v>
      </c>
      <c r="I724" s="3">
        <f t="shared" si="293"/>
        <v>-79.989249696437554</v>
      </c>
      <c r="J724" s="2">
        <f t="shared" si="272"/>
        <v>127.49994794972723</v>
      </c>
      <c r="K724" s="2">
        <f t="shared" si="294"/>
        <v>86.91202995891426</v>
      </c>
      <c r="L724" s="5">
        <f t="shared" si="273"/>
        <v>27.446437175118358</v>
      </c>
      <c r="M724" s="3">
        <f t="shared" si="274"/>
        <v>17.087490873627555</v>
      </c>
      <c r="N724" s="2">
        <v>0</v>
      </c>
      <c r="O724" s="2">
        <f t="shared" si="275"/>
        <v>127.49994794972723</v>
      </c>
      <c r="P724" s="2">
        <f t="shared" si="276"/>
        <v>86.91202995891426</v>
      </c>
      <c r="Q724" s="5">
        <f t="shared" si="277"/>
        <v>1.0745659488510169</v>
      </c>
      <c r="R724" s="5">
        <f t="shared" si="278"/>
        <v>0.16045279862932488</v>
      </c>
      <c r="S724" s="4">
        <f t="shared" si="295"/>
        <v>0.13401959097555938</v>
      </c>
      <c r="T724" s="5">
        <f t="shared" si="279"/>
        <v>0.10267833539718373</v>
      </c>
      <c r="U724" s="4">
        <f t="shared" si="280"/>
        <v>0</v>
      </c>
      <c r="V724" s="4">
        <f t="shared" si="281"/>
        <v>0</v>
      </c>
      <c r="W724" s="5">
        <f t="shared" si="282"/>
        <v>0</v>
      </c>
      <c r="X724" s="5">
        <f t="shared" si="283"/>
        <v>-11.542226557284831</v>
      </c>
      <c r="Y724" s="5">
        <f t="shared" si="284"/>
        <v>9.2988183827479709</v>
      </c>
      <c r="Z724" s="5">
        <f>1</f>
        <v>1</v>
      </c>
      <c r="AA724" s="5">
        <f>IF(M724=0,0,const*($T724/omega)*O724*(wy*I724-wz*(H724-V724))/Z724)</f>
        <v>0</v>
      </c>
      <c r="AB724" s="5">
        <f>IF(M724=0,0,const*($T724/omega)*O724*(wz*(G724-U724)-wx*I724)/Z724)</f>
        <v>5.9505798643439416</v>
      </c>
      <c r="AC724" s="5">
        <f>IF(M724=0,0,const*($T724/omega)*O724*(wx*(H724-V724)-wy*(G724-U724))/Z724)</f>
        <v>7.3862009251521625</v>
      </c>
      <c r="AD724" s="5">
        <f t="shared" si="297"/>
        <v>0</v>
      </c>
      <c r="AE724" s="5">
        <f t="shared" si="297"/>
        <v>-5.5916466929408895</v>
      </c>
      <c r="AF724" s="5">
        <f t="shared" si="285"/>
        <v>-15.488980692099865</v>
      </c>
      <c r="AG724">
        <f t="shared" si="296"/>
        <v>0</v>
      </c>
    </row>
    <row r="725" spans="1:33" x14ac:dyDescent="0.2">
      <c r="A725">
        <f t="shared" si="286"/>
        <v>6.9299999999998967</v>
      </c>
      <c r="B725" s="5">
        <f t="shared" si="287"/>
        <v>0</v>
      </c>
      <c r="C725" s="5">
        <f t="shared" si="288"/>
        <v>982.49640574923251</v>
      </c>
      <c r="D725" s="5">
        <f t="shared" si="289"/>
        <v>-124.21747893366819</v>
      </c>
      <c r="E725" s="2">
        <f t="shared" si="271"/>
        <v>327.49880191641086</v>
      </c>
      <c r="F725" s="2">
        <f t="shared" si="290"/>
        <v>0</v>
      </c>
      <c r="G725" s="3">
        <f t="shared" si="291"/>
        <v>0</v>
      </c>
      <c r="H725" s="3">
        <f t="shared" si="292"/>
        <v>99.231326722637078</v>
      </c>
      <c r="I725" s="3">
        <f t="shared" si="293"/>
        <v>-80.144139503358559</v>
      </c>
      <c r="J725" s="2">
        <f t="shared" si="272"/>
        <v>127.55367223200024</v>
      </c>
      <c r="K725" s="2">
        <f t="shared" si="294"/>
        <v>86.948651828221017</v>
      </c>
      <c r="L725" s="5">
        <f t="shared" si="273"/>
        <v>27.434877020774053</v>
      </c>
      <c r="M725" s="3">
        <f t="shared" si="274"/>
        <v>17.079449039650573</v>
      </c>
      <c r="N725" s="2">
        <v>0</v>
      </c>
      <c r="O725" s="2">
        <f t="shared" si="275"/>
        <v>127.55367223200024</v>
      </c>
      <c r="P725" s="2">
        <f t="shared" si="276"/>
        <v>86.948651828221017</v>
      </c>
      <c r="Q725" s="5">
        <f t="shared" si="277"/>
        <v>1.075018735579838</v>
      </c>
      <c r="R725" s="5">
        <f t="shared" si="278"/>
        <v>0.16042785756562092</v>
      </c>
      <c r="S725" s="4">
        <f t="shared" si="295"/>
        <v>0.13390009664783087</v>
      </c>
      <c r="T725" s="5">
        <f t="shared" si="279"/>
        <v>0.10264170564166662</v>
      </c>
      <c r="U725" s="4">
        <f t="shared" si="280"/>
        <v>0</v>
      </c>
      <c r="V725" s="4">
        <f t="shared" si="281"/>
        <v>0</v>
      </c>
      <c r="W725" s="5">
        <f t="shared" si="282"/>
        <v>0</v>
      </c>
      <c r="X725" s="5">
        <f t="shared" si="283"/>
        <v>-11.538793106773554</v>
      </c>
      <c r="Y725" s="5">
        <f t="shared" si="284"/>
        <v>9.3193014241811003</v>
      </c>
      <c r="Z725" s="5">
        <f>1</f>
        <v>1</v>
      </c>
      <c r="AA725" s="5">
        <f>IF(M725=0,0,const*($T725/omega)*O725*(wy*I725-wz*(H725-V725))/Z725)</f>
        <v>0</v>
      </c>
      <c r="AB725" s="5">
        <f>IF(M725=0,0,const*($T725/omega)*O725*(wz*(G725-U725)-wx*I725)/Z725)</f>
        <v>5.9624868653219858</v>
      </c>
      <c r="AC725" s="5">
        <f>IF(M725=0,0,const*($T725/omega)*O725*(wx*(H725-V725)-wy*(G725-U725))/Z725)</f>
        <v>7.3825171232564477</v>
      </c>
      <c r="AD725" s="5">
        <f t="shared" si="297"/>
        <v>0</v>
      </c>
      <c r="AE725" s="5">
        <f t="shared" si="297"/>
        <v>-5.5763062414515678</v>
      </c>
      <c r="AF725" s="5">
        <f t="shared" si="285"/>
        <v>-15.472181452562452</v>
      </c>
      <c r="AG725">
        <f t="shared" si="296"/>
        <v>0</v>
      </c>
    </row>
    <row r="726" spans="1:33" x14ac:dyDescent="0.2">
      <c r="A726">
        <f t="shared" si="286"/>
        <v>6.9399999999998965</v>
      </c>
      <c r="B726" s="5">
        <f t="shared" si="287"/>
        <v>0</v>
      </c>
      <c r="C726" s="5">
        <f t="shared" si="288"/>
        <v>983.48844020114677</v>
      </c>
      <c r="D726" s="5">
        <f t="shared" si="289"/>
        <v>-125.01969393777441</v>
      </c>
      <c r="E726" s="2">
        <f t="shared" si="271"/>
        <v>327.82948006704891</v>
      </c>
      <c r="F726" s="2">
        <f t="shared" si="290"/>
        <v>0</v>
      </c>
      <c r="G726" s="3">
        <f t="shared" si="291"/>
        <v>0</v>
      </c>
      <c r="H726" s="3">
        <f t="shared" si="292"/>
        <v>99.175563660222565</v>
      </c>
      <c r="I726" s="3">
        <f t="shared" si="293"/>
        <v>-80.298861317884189</v>
      </c>
      <c r="J726" s="2">
        <f t="shared" si="272"/>
        <v>127.60759991580304</v>
      </c>
      <c r="K726" s="2">
        <f t="shared" si="294"/>
        <v>86.985412348877318</v>
      </c>
      <c r="L726" s="5">
        <f t="shared" si="273"/>
        <v>27.423282888652448</v>
      </c>
      <c r="M726" s="3">
        <f t="shared" si="274"/>
        <v>17.071398862340288</v>
      </c>
      <c r="N726" s="2">
        <v>0</v>
      </c>
      <c r="O726" s="2">
        <f t="shared" si="275"/>
        <v>127.60759991580304</v>
      </c>
      <c r="P726" s="2">
        <f t="shared" si="276"/>
        <v>86.985412348877318</v>
      </c>
      <c r="Q726" s="5">
        <f t="shared" si="277"/>
        <v>1.0754732365709894</v>
      </c>
      <c r="R726" s="5">
        <f t="shared" si="278"/>
        <v>0.16040287934803169</v>
      </c>
      <c r="S726" s="4">
        <f t="shared" si="295"/>
        <v>0.13378042431331827</v>
      </c>
      <c r="T726" s="5">
        <f t="shared" si="279"/>
        <v>0.10260500165752921</v>
      </c>
      <c r="U726" s="4">
        <f t="shared" si="280"/>
        <v>0</v>
      </c>
      <c r="V726" s="4">
        <f t="shared" si="281"/>
        <v>0</v>
      </c>
      <c r="W726" s="5">
        <f t="shared" si="282"/>
        <v>0</v>
      </c>
      <c r="X726" s="5">
        <f t="shared" si="283"/>
        <v>-11.535388247544695</v>
      </c>
      <c r="Y726" s="5">
        <f t="shared" si="284"/>
        <v>9.3397860012269867</v>
      </c>
      <c r="Z726" s="5">
        <f>1</f>
        <v>1</v>
      </c>
      <c r="AA726" s="5">
        <f>IF(M726=0,0,const*($T726/omega)*O726*(wy*I726-wz*(H726-V726))/Z726)</f>
        <v>0</v>
      </c>
      <c r="AB726" s="5">
        <f>IF(M726=0,0,const*($T726/omega)*O726*(wz*(G726-U726)-wx*I726)/Z726)</f>
        <v>5.9743862581019354</v>
      </c>
      <c r="AC726" s="5">
        <f>IF(M726=0,0,const*($T726/omega)*O726*(wx*(H726-V726)-wy*(G726-U726))/Z726)</f>
        <v>7.3788484039085942</v>
      </c>
      <c r="AD726" s="5">
        <f t="shared" si="297"/>
        <v>0</v>
      </c>
      <c r="AE726" s="5">
        <f t="shared" si="297"/>
        <v>-5.5610019894427598</v>
      </c>
      <c r="AF726" s="5">
        <f t="shared" si="285"/>
        <v>-15.455365594864418</v>
      </c>
      <c r="AG726">
        <f t="shared" si="296"/>
        <v>0</v>
      </c>
    </row>
    <row r="727" spans="1:33" x14ac:dyDescent="0.2">
      <c r="A727">
        <f t="shared" si="286"/>
        <v>6.9499999999998963</v>
      </c>
      <c r="B727" s="5">
        <f t="shared" si="287"/>
        <v>0</v>
      </c>
      <c r="C727" s="5">
        <f t="shared" si="288"/>
        <v>984.47991778764947</v>
      </c>
      <c r="D727" s="5">
        <f t="shared" si="289"/>
        <v>-125.82345531923299</v>
      </c>
      <c r="E727" s="2">
        <f t="shared" si="271"/>
        <v>328.15997259588318</v>
      </c>
      <c r="F727" s="2">
        <f t="shared" si="290"/>
        <v>0</v>
      </c>
      <c r="G727" s="3">
        <f t="shared" si="291"/>
        <v>0</v>
      </c>
      <c r="H727" s="3">
        <f t="shared" si="292"/>
        <v>99.119953640328134</v>
      </c>
      <c r="I727" s="3">
        <f t="shared" si="293"/>
        <v>-80.453414973832835</v>
      </c>
      <c r="J727" s="2">
        <f t="shared" si="272"/>
        <v>127.66172954575129</v>
      </c>
      <c r="K727" s="2">
        <f t="shared" si="294"/>
        <v>87.022310528801142</v>
      </c>
      <c r="L727" s="5">
        <f t="shared" si="273"/>
        <v>27.411655189732727</v>
      </c>
      <c r="M727" s="3">
        <f t="shared" si="274"/>
        <v>17.063340376631661</v>
      </c>
      <c r="N727" s="2">
        <v>0</v>
      </c>
      <c r="O727" s="2">
        <f t="shared" si="275"/>
        <v>127.66172954575129</v>
      </c>
      <c r="P727" s="2">
        <f t="shared" si="276"/>
        <v>87.022310528801142</v>
      </c>
      <c r="Q727" s="5">
        <f t="shared" si="277"/>
        <v>1.0759294395585326</v>
      </c>
      <c r="R727" s="5">
        <f t="shared" si="278"/>
        <v>0.16037786451819563</v>
      </c>
      <c r="S727" s="4">
        <f t="shared" si="295"/>
        <v>0.13366057656704797</v>
      </c>
      <c r="T727" s="5">
        <f t="shared" si="279"/>
        <v>0.10256822412527829</v>
      </c>
      <c r="U727" s="4">
        <f t="shared" si="280"/>
        <v>0</v>
      </c>
      <c r="V727" s="4">
        <f t="shared" si="281"/>
        <v>0</v>
      </c>
      <c r="W727" s="5">
        <f t="shared" si="282"/>
        <v>0</v>
      </c>
      <c r="X727" s="5">
        <f t="shared" si="283"/>
        <v>-11.53201182331876</v>
      </c>
      <c r="Y727" s="5">
        <f t="shared" si="284"/>
        <v>9.3602720605705425</v>
      </c>
      <c r="Z727" s="5">
        <f>1</f>
        <v>1</v>
      </c>
      <c r="AA727" s="5">
        <f>IF(M727=0,0,const*($T727/omega)*O727*(wy*I727-wz*(H727-V727))/Z727)</f>
        <v>0</v>
      </c>
      <c r="AB727" s="5">
        <f>IF(M727=0,0,const*($T727/omega)*O727*(wz*(G727-U727)-wx*I727)/Z727)</f>
        <v>5.986278003304224</v>
      </c>
      <c r="AC727" s="5">
        <f>IF(M727=0,0,const*($T727/omega)*O727*(wx*(H727-V727)-wy*(G727-U727))/Z727)</f>
        <v>7.3751946807804085</v>
      </c>
      <c r="AD727" s="5">
        <f t="shared" si="297"/>
        <v>0</v>
      </c>
      <c r="AE727" s="5">
        <f t="shared" si="297"/>
        <v>-5.5457338200145356</v>
      </c>
      <c r="AF727" s="5">
        <f t="shared" si="285"/>
        <v>-15.438533258649048</v>
      </c>
      <c r="AG727">
        <f t="shared" si="296"/>
        <v>0</v>
      </c>
    </row>
    <row r="728" spans="1:33" x14ac:dyDescent="0.2">
      <c r="A728">
        <f t="shared" si="286"/>
        <v>6.959999999999896</v>
      </c>
      <c r="B728" s="5">
        <f t="shared" si="287"/>
        <v>0</v>
      </c>
      <c r="C728" s="5">
        <f t="shared" si="288"/>
        <v>985.47084003736177</v>
      </c>
      <c r="D728" s="5">
        <f t="shared" si="289"/>
        <v>-126.62876139563426</v>
      </c>
      <c r="E728" s="2">
        <f t="shared" si="271"/>
        <v>328.49028001245392</v>
      </c>
      <c r="F728" s="2">
        <f t="shared" si="290"/>
        <v>0</v>
      </c>
      <c r="G728" s="3">
        <f t="shared" si="291"/>
        <v>0</v>
      </c>
      <c r="H728" s="3">
        <f t="shared" si="292"/>
        <v>99.064496302127992</v>
      </c>
      <c r="I728" s="3">
        <f t="shared" si="293"/>
        <v>-80.607800306419321</v>
      </c>
      <c r="J728" s="2">
        <f t="shared" si="272"/>
        <v>127.71605967079437</v>
      </c>
      <c r="K728" s="2">
        <f t="shared" si="294"/>
        <v>87.059345378864592</v>
      </c>
      <c r="L728" s="5">
        <f t="shared" si="273"/>
        <v>27.399994333158112</v>
      </c>
      <c r="M728" s="3">
        <f t="shared" si="274"/>
        <v>17.055273617569888</v>
      </c>
      <c r="N728" s="2">
        <v>0</v>
      </c>
      <c r="O728" s="2">
        <f t="shared" si="275"/>
        <v>127.71605967079437</v>
      </c>
      <c r="P728" s="2">
        <f t="shared" si="276"/>
        <v>87.059345378864592</v>
      </c>
      <c r="Q728" s="5">
        <f t="shared" si="277"/>
        <v>1.0763873323130548</v>
      </c>
      <c r="R728" s="5">
        <f t="shared" si="278"/>
        <v>0.16035281361527692</v>
      </c>
      <c r="S728" s="4">
        <f t="shared" si="295"/>
        <v>0.13354055599219231</v>
      </c>
      <c r="T728" s="5">
        <f t="shared" si="279"/>
        <v>0.10253137372304941</v>
      </c>
      <c r="U728" s="4">
        <f t="shared" si="280"/>
        <v>0</v>
      </c>
      <c r="V728" s="4">
        <f t="shared" si="281"/>
        <v>0</v>
      </c>
      <c r="W728" s="5">
        <f t="shared" si="282"/>
        <v>0</v>
      </c>
      <c r="X728" s="5">
        <f t="shared" si="283"/>
        <v>-11.528663678608744</v>
      </c>
      <c r="Y728" s="5">
        <f t="shared" si="284"/>
        <v>9.380759548516485</v>
      </c>
      <c r="Z728" s="5">
        <f>1</f>
        <v>1</v>
      </c>
      <c r="AA728" s="5">
        <f>IF(M728=0,0,const*($T728/omega)*O728*(wy*I728-wz*(H728-V728))/Z728)</f>
        <v>0</v>
      </c>
      <c r="AB728" s="5">
        <f>IF(M728=0,0,const*($T728/omega)*O728*(wz*(G728-U728)-wx*I728)/Z728)</f>
        <v>5.9981620614568039</v>
      </c>
      <c r="AC728" s="5">
        <f>IF(M728=0,0,const*($T728/omega)*O728*(wx*(H728-V728)-wy*(G728-U728))/Z728)</f>
        <v>7.3715558680172988</v>
      </c>
      <c r="AD728" s="5">
        <f t="shared" si="297"/>
        <v>0</v>
      </c>
      <c r="AE728" s="5">
        <f t="shared" si="297"/>
        <v>-5.5305016171519403</v>
      </c>
      <c r="AF728" s="5">
        <f t="shared" si="285"/>
        <v>-15.421684583466217</v>
      </c>
      <c r="AG728">
        <f t="shared" si="296"/>
        <v>0</v>
      </c>
    </row>
    <row r="729" spans="1:33" x14ac:dyDescent="0.2">
      <c r="A729">
        <f t="shared" si="286"/>
        <v>6.9699999999998958</v>
      </c>
      <c r="B729" s="5">
        <f t="shared" si="287"/>
        <v>0</v>
      </c>
      <c r="C729" s="5">
        <f t="shared" si="288"/>
        <v>986.46120847530221</v>
      </c>
      <c r="D729" s="5">
        <f t="shared" si="289"/>
        <v>-127.43561048292761</v>
      </c>
      <c r="E729" s="2">
        <f t="shared" si="271"/>
        <v>328.82040282510076</v>
      </c>
      <c r="F729" s="2">
        <f t="shared" si="290"/>
        <v>0</v>
      </c>
      <c r="G729" s="3">
        <f t="shared" si="291"/>
        <v>0</v>
      </c>
      <c r="H729" s="3">
        <f t="shared" si="292"/>
        <v>99.009191285956476</v>
      </c>
      <c r="I729" s="3">
        <f t="shared" si="293"/>
        <v>-80.762017152253989</v>
      </c>
      <c r="J729" s="2">
        <f t="shared" si="272"/>
        <v>127.77058884422537</v>
      </c>
      <c r="K729" s="2">
        <f t="shared" si="294"/>
        <v>87.096515912900728</v>
      </c>
      <c r="L729" s="5">
        <f t="shared" si="273"/>
        <v>27.388300726229346</v>
      </c>
      <c r="M729" s="3">
        <f t="shared" si="274"/>
        <v>17.047198620308514</v>
      </c>
      <c r="N729" s="2">
        <v>0</v>
      </c>
      <c r="O729" s="2">
        <f t="shared" si="275"/>
        <v>127.77058884422537</v>
      </c>
      <c r="P729" s="2">
        <f t="shared" si="276"/>
        <v>87.096515912900728</v>
      </c>
      <c r="Q729" s="5">
        <f t="shared" si="277"/>
        <v>1.0768469026417506</v>
      </c>
      <c r="R729" s="5">
        <f t="shared" si="278"/>
        <v>0.16032772717595722</v>
      </c>
      <c r="S729" s="4">
        <f t="shared" si="295"/>
        <v>0.13342036516002928</v>
      </c>
      <c r="T729" s="5">
        <f t="shared" si="279"/>
        <v>0.10249445112659476</v>
      </c>
      <c r="U729" s="4">
        <f t="shared" si="280"/>
        <v>0</v>
      </c>
      <c r="V729" s="4">
        <f t="shared" si="281"/>
        <v>0</v>
      </c>
      <c r="W729" s="5">
        <f t="shared" si="282"/>
        <v>0</v>
      </c>
      <c r="X729" s="5">
        <f t="shared" si="283"/>
        <v>-11.525343658716773</v>
      </c>
      <c r="Y729" s="5">
        <f t="shared" si="284"/>
        <v>9.4012484109940644</v>
      </c>
      <c r="Z729" s="5">
        <f>1</f>
        <v>1</v>
      </c>
      <c r="AA729" s="5">
        <f>IF(M729=0,0,const*($T729/omega)*O729*(wy*I729-wz*(H729-V729))/Z729)</f>
        <v>0</v>
      </c>
      <c r="AB729" s="5">
        <f>IF(M729=0,0,const*($T729/omega)*O729*(wz*(G729-U729)-wx*I729)/Z729)</f>
        <v>6.0100383929979753</v>
      </c>
      <c r="AC729" s="5">
        <f>IF(M729=0,0,const*($T729/omega)*O729*(wx*(H729-V729)-wy*(G729-U729))/Z729)</f>
        <v>7.3679318802362497</v>
      </c>
      <c r="AD729" s="5">
        <f t="shared" si="297"/>
        <v>0</v>
      </c>
      <c r="AE729" s="5">
        <f t="shared" si="297"/>
        <v>-5.5153052657187978</v>
      </c>
      <c r="AF729" s="5">
        <f t="shared" si="285"/>
        <v>-15.404819708769686</v>
      </c>
      <c r="AG729">
        <f t="shared" si="296"/>
        <v>0</v>
      </c>
    </row>
    <row r="730" spans="1:33" x14ac:dyDescent="0.2">
      <c r="A730">
        <f t="shared" si="286"/>
        <v>6.9799999999998956</v>
      </c>
      <c r="B730" s="5">
        <f t="shared" si="287"/>
        <v>0</v>
      </c>
      <c r="C730" s="5">
        <f t="shared" si="288"/>
        <v>987.45102462289856</v>
      </c>
      <c r="D730" s="5">
        <f t="shared" si="289"/>
        <v>-128.24400089543559</v>
      </c>
      <c r="E730" s="2">
        <f t="shared" si="271"/>
        <v>329.15034154096617</v>
      </c>
      <c r="F730" s="2">
        <f t="shared" si="290"/>
        <v>0</v>
      </c>
      <c r="G730" s="3">
        <f t="shared" si="291"/>
        <v>0</v>
      </c>
      <c r="H730" s="3">
        <f t="shared" si="292"/>
        <v>98.954038233299286</v>
      </c>
      <c r="I730" s="3">
        <f t="shared" si="293"/>
        <v>-80.916065349341693</v>
      </c>
      <c r="J730" s="2">
        <f t="shared" si="272"/>
        <v>127.82531562369088</v>
      </c>
      <c r="K730" s="2">
        <f t="shared" si="294"/>
        <v>87.133821147710208</v>
      </c>
      <c r="L730" s="5">
        <f t="shared" si="273"/>
        <v>27.376574774398399</v>
      </c>
      <c r="M730" s="3">
        <f t="shared" si="274"/>
        <v>17.039115420107581</v>
      </c>
      <c r="N730" s="2">
        <v>0</v>
      </c>
      <c r="O730" s="2">
        <f t="shared" si="275"/>
        <v>127.82531562369088</v>
      </c>
      <c r="P730" s="2">
        <f t="shared" si="276"/>
        <v>87.133821147710208</v>
      </c>
      <c r="Q730" s="5">
        <f t="shared" si="277"/>
        <v>1.0773081383885064</v>
      </c>
      <c r="R730" s="5">
        <f t="shared" si="278"/>
        <v>0.16030260573442751</v>
      </c>
      <c r="S730" s="4">
        <f t="shared" si="295"/>
        <v>0.13330000662990413</v>
      </c>
      <c r="T730" s="5">
        <f t="shared" si="279"/>
        <v>0.10245745700927182</v>
      </c>
      <c r="U730" s="4">
        <f t="shared" si="280"/>
        <v>0</v>
      </c>
      <c r="V730" s="4">
        <f t="shared" si="281"/>
        <v>0</v>
      </c>
      <c r="W730" s="5">
        <f t="shared" si="282"/>
        <v>0</v>
      </c>
      <c r="X730" s="5">
        <f t="shared" si="283"/>
        <v>-11.52205160973071</v>
      </c>
      <c r="Y730" s="5">
        <f t="shared" si="284"/>
        <v>9.4217385935617184</v>
      </c>
      <c r="Z730" s="5">
        <f>1</f>
        <v>1</v>
      </c>
      <c r="AA730" s="5">
        <f>IF(M730=0,0,const*($T730/omega)*O730*(wy*I730-wz*(H730-V730))/Z730)</f>
        <v>0</v>
      </c>
      <c r="AB730" s="5">
        <f>IF(M730=0,0,const*($T730/omega)*O730*(wz*(G730-U730)-wx*I730)/Z730)</f>
        <v>6.021906958279267</v>
      </c>
      <c r="AC730" s="5">
        <f>IF(M730=0,0,const*($T730/omega)*O730*(wx*(H730-V730)-wy*(G730-U730))/Z730)</f>
        <v>7.3643226325238711</v>
      </c>
      <c r="AD730" s="5">
        <f t="shared" si="297"/>
        <v>0</v>
      </c>
      <c r="AE730" s="5">
        <f t="shared" si="297"/>
        <v>-5.5001446514514427</v>
      </c>
      <c r="AF730" s="5">
        <f t="shared" si="285"/>
        <v>-15.38793877391441</v>
      </c>
      <c r="AG730">
        <f t="shared" si="296"/>
        <v>0</v>
      </c>
    </row>
    <row r="731" spans="1:33" x14ac:dyDescent="0.2">
      <c r="A731">
        <f t="shared" si="286"/>
        <v>6.9899999999998954</v>
      </c>
      <c r="B731" s="5">
        <f t="shared" si="287"/>
        <v>0</v>
      </c>
      <c r="C731" s="5">
        <f t="shared" si="288"/>
        <v>988.440289997999</v>
      </c>
      <c r="D731" s="5">
        <f t="shared" si="289"/>
        <v>-129.05393094586771</v>
      </c>
      <c r="E731" s="2">
        <f t="shared" si="271"/>
        <v>329.48009666599967</v>
      </c>
      <c r="F731" s="2">
        <f t="shared" si="290"/>
        <v>0</v>
      </c>
      <c r="G731" s="3">
        <f t="shared" si="291"/>
        <v>0</v>
      </c>
      <c r="H731" s="3">
        <f t="shared" si="292"/>
        <v>98.899036786784777</v>
      </c>
      <c r="I731" s="3">
        <f t="shared" si="293"/>
        <v>-81.069944737080831</v>
      </c>
      <c r="J731" s="2">
        <f t="shared" si="272"/>
        <v>127.88023857120048</v>
      </c>
      <c r="K731" s="2">
        <f t="shared" si="294"/>
        <v>87.171260103067809</v>
      </c>
      <c r="L731" s="5">
        <f t="shared" si="273"/>
        <v>27.364816881262392</v>
      </c>
      <c r="M731" s="3">
        <f t="shared" si="274"/>
        <v>17.031024052331791</v>
      </c>
      <c r="N731" s="2">
        <v>0</v>
      </c>
      <c r="O731" s="2">
        <f t="shared" si="275"/>
        <v>127.88023857120048</v>
      </c>
      <c r="P731" s="2">
        <f t="shared" si="276"/>
        <v>87.171260103067809</v>
      </c>
      <c r="Q731" s="5">
        <f t="shared" si="277"/>
        <v>1.0777710274339798</v>
      </c>
      <c r="R731" s="5">
        <f t="shared" si="278"/>
        <v>0.16027744982238029</v>
      </c>
      <c r="S731" s="4">
        <f t="shared" si="295"/>
        <v>0.13317948294919194</v>
      </c>
      <c r="T731" s="5">
        <f t="shared" si="279"/>
        <v>0.10242039204203195</v>
      </c>
      <c r="U731" s="4">
        <f t="shared" si="280"/>
        <v>0</v>
      </c>
      <c r="V731" s="4">
        <f t="shared" si="281"/>
        <v>0</v>
      </c>
      <c r="W731" s="5">
        <f t="shared" si="282"/>
        <v>0</v>
      </c>
      <c r="X731" s="5">
        <f t="shared" si="283"/>
        <v>-11.518787378520779</v>
      </c>
      <c r="Y731" s="5">
        <f t="shared" si="284"/>
        <v>9.4422300414117384</v>
      </c>
      <c r="Z731" s="5">
        <f>1</f>
        <v>1</v>
      </c>
      <c r="AA731" s="5">
        <f>IF(M731=0,0,const*($T731/omega)*O731*(wy*I731-wz*(H731-V731))/Z731)</f>
        <v>0</v>
      </c>
      <c r="AB731" s="5">
        <f>IF(M731=0,0,const*($T731/omega)*O731*(wz*(G731-U731)-wx*I731)/Z731)</f>
        <v>6.0337677175682414</v>
      </c>
      <c r="AC731" s="5">
        <f>IF(M731=0,0,const*($T731/omega)*O731*(wx*(H731-V731)-wy*(G731-U731))/Z731)</f>
        <v>7.3607280404343722</v>
      </c>
      <c r="AD731" s="5">
        <f t="shared" si="297"/>
        <v>0</v>
      </c>
      <c r="AE731" s="5">
        <f t="shared" si="297"/>
        <v>-5.4850196609525375</v>
      </c>
      <c r="AF731" s="5">
        <f t="shared" si="285"/>
        <v>-15.371041918153889</v>
      </c>
      <c r="AG731">
        <f t="shared" si="296"/>
        <v>0</v>
      </c>
    </row>
    <row r="732" spans="1:33" x14ac:dyDescent="0.2">
      <c r="A732">
        <f t="shared" si="286"/>
        <v>6.9999999999998952</v>
      </c>
      <c r="B732" s="5">
        <f t="shared" si="287"/>
        <v>0</v>
      </c>
      <c r="C732" s="5">
        <f t="shared" si="288"/>
        <v>989.4290061148838</v>
      </c>
      <c r="D732" s="5">
        <f t="shared" si="289"/>
        <v>-129.86539894533442</v>
      </c>
      <c r="E732" s="2">
        <f t="shared" si="271"/>
        <v>329.80966870496127</v>
      </c>
      <c r="F732" s="2">
        <f t="shared" si="290"/>
        <v>0</v>
      </c>
      <c r="G732" s="3">
        <f t="shared" si="291"/>
        <v>0</v>
      </c>
      <c r="H732" s="3">
        <f t="shared" si="292"/>
        <v>98.844186590175255</v>
      </c>
      <c r="I732" s="3">
        <f t="shared" si="293"/>
        <v>-81.223655156262367</v>
      </c>
      <c r="J732" s="2">
        <f t="shared" si="272"/>
        <v>127.93535625313594</v>
      </c>
      <c r="K732" s="2">
        <f t="shared" si="294"/>
        <v>87.20883180172865</v>
      </c>
      <c r="L732" s="5">
        <f t="shared" si="273"/>
        <v>27.353027448557807</v>
      </c>
      <c r="M732" s="3">
        <f t="shared" si="274"/>
        <v>17.022924552448661</v>
      </c>
      <c r="N732" s="2">
        <v>0</v>
      </c>
      <c r="O732" s="2">
        <f t="shared" si="275"/>
        <v>127.93535625313594</v>
      </c>
      <c r="P732" s="2">
        <f t="shared" si="276"/>
        <v>87.20883180172865</v>
      </c>
      <c r="Q732" s="5">
        <f t="shared" si="277"/>
        <v>1.0782355576956766</v>
      </c>
      <c r="R732" s="5">
        <f t="shared" si="278"/>
        <v>0.16025225996900233</v>
      </c>
      <c r="S732" s="4">
        <f t="shared" si="295"/>
        <v>0.13305879665326212</v>
      </c>
      <c r="T732" s="5">
        <f t="shared" si="279"/>
        <v>0.10238325689340955</v>
      </c>
      <c r="U732" s="4">
        <f t="shared" si="280"/>
        <v>0</v>
      </c>
      <c r="V732" s="4">
        <f t="shared" si="281"/>
        <v>0</v>
      </c>
      <c r="W732" s="5">
        <f t="shared" si="282"/>
        <v>0</v>
      </c>
      <c r="X732" s="5">
        <f t="shared" si="283"/>
        <v>-11.515550812736214</v>
      </c>
      <c r="Y732" s="5">
        <f t="shared" si="284"/>
        <v>9.462722699374936</v>
      </c>
      <c r="Z732" s="5">
        <f>1</f>
        <v>1</v>
      </c>
      <c r="AA732" s="5">
        <f>IF(M732=0,0,const*($T732/omega)*O732*(wy*I732-wz*(H732-V732))/Z732)</f>
        <v>0</v>
      </c>
      <c r="AB732" s="5">
        <f>IF(M732=0,0,const*($T732/omega)*O732*(wz*(G732-U732)-wx*I732)/Z732)</f>
        <v>6.0456206310513316</v>
      </c>
      <c r="AC732" s="5">
        <f>IF(M732=0,0,const*($T732/omega)*O732*(wx*(H732-V732)-wy*(G732-U732))/Z732)</f>
        <v>7.3571480199875943</v>
      </c>
      <c r="AD732" s="5">
        <f t="shared" si="297"/>
        <v>0</v>
      </c>
      <c r="AE732" s="5">
        <f t="shared" si="297"/>
        <v>-5.469930181684882</v>
      </c>
      <c r="AF732" s="5">
        <f t="shared" si="285"/>
        <v>-15.354129280637469</v>
      </c>
      <c r="AG732">
        <f t="shared" si="296"/>
        <v>0</v>
      </c>
    </row>
    <row r="733" spans="1:33" x14ac:dyDescent="0.2">
      <c r="A733">
        <f t="shared" si="286"/>
        <v>7.009999999999895</v>
      </c>
      <c r="B733" s="5">
        <f t="shared" si="287"/>
        <v>0</v>
      </c>
      <c r="C733" s="5">
        <f t="shared" si="288"/>
        <v>990.41717448427653</v>
      </c>
      <c r="D733" s="5">
        <f t="shared" si="289"/>
        <v>-130.67840320336106</v>
      </c>
      <c r="E733" s="2">
        <f t="shared" si="271"/>
        <v>330.13905816142551</v>
      </c>
      <c r="F733" s="2">
        <f t="shared" si="290"/>
        <v>0</v>
      </c>
      <c r="G733" s="3">
        <f t="shared" si="291"/>
        <v>0</v>
      </c>
      <c r="H733" s="3">
        <f t="shared" si="292"/>
        <v>98.789487288358401</v>
      </c>
      <c r="I733" s="3">
        <f t="shared" si="293"/>
        <v>-81.377196449068748</v>
      </c>
      <c r="J733" s="2">
        <f t="shared" si="272"/>
        <v>127.99066724026035</v>
      </c>
      <c r="K733" s="2">
        <f t="shared" si="294"/>
        <v>87.24653526943446</v>
      </c>
      <c r="L733" s="5">
        <f t="shared" si="273"/>
        <v>27.341206876154814</v>
      </c>
      <c r="M733" s="3">
        <f t="shared" si="274"/>
        <v>17.01481695602671</v>
      </c>
      <c r="N733" s="2">
        <v>0</v>
      </c>
      <c r="O733" s="2">
        <f t="shared" si="275"/>
        <v>127.99066724026035</v>
      </c>
      <c r="P733" s="2">
        <f t="shared" si="276"/>
        <v>87.24653526943446</v>
      </c>
      <c r="Q733" s="5">
        <f t="shared" si="277"/>
        <v>1.0787017171280293</v>
      </c>
      <c r="R733" s="5">
        <f t="shared" si="278"/>
        <v>0.16022703670096725</v>
      </c>
      <c r="S733" s="4">
        <f t="shared" si="295"/>
        <v>0.13293795026544389</v>
      </c>
      <c r="T733" s="5">
        <f t="shared" si="279"/>
        <v>0.10234605222951128</v>
      </c>
      <c r="U733" s="4">
        <f t="shared" si="280"/>
        <v>0</v>
      </c>
      <c r="V733" s="4">
        <f t="shared" si="281"/>
        <v>0</v>
      </c>
      <c r="W733" s="5">
        <f t="shared" si="282"/>
        <v>0</v>
      </c>
      <c r="X733" s="5">
        <f t="shared" si="283"/>
        <v>-11.512341760801867</v>
      </c>
      <c r="Y733" s="5">
        <f t="shared" si="284"/>
        <v>9.4832165119252672</v>
      </c>
      <c r="Z733" s="5">
        <f>1</f>
        <v>1</v>
      </c>
      <c r="AA733" s="5">
        <f>IF(M733=0,0,const*($T733/omega)*O733*(wy*I733-wz*(H733-V733))/Z733)</f>
        <v>0</v>
      </c>
      <c r="AB733" s="5">
        <f>IF(M733=0,0,const*($T733/omega)*O733*(wz*(G733-U733)-wx*I733)/Z733)</f>
        <v>6.05746565883664</v>
      </c>
      <c r="AC733" s="5">
        <f>IF(M733=0,0,const*($T733/omega)*O733*(wx*(H733-V733)-wy*(G733-U733))/Z733)</f>
        <v>7.3535824876670084</v>
      </c>
      <c r="AD733" s="5">
        <f t="shared" si="297"/>
        <v>0</v>
      </c>
      <c r="AE733" s="5">
        <f t="shared" si="297"/>
        <v>-5.454876101965227</v>
      </c>
      <c r="AF733" s="5">
        <f t="shared" si="285"/>
        <v>-15.337201000407724</v>
      </c>
      <c r="AG733">
        <f t="shared" si="296"/>
        <v>0</v>
      </c>
    </row>
    <row r="734" spans="1:33" x14ac:dyDescent="0.2">
      <c r="A734">
        <f t="shared" si="286"/>
        <v>7.0199999999998948</v>
      </c>
      <c r="B734" s="5">
        <f t="shared" si="287"/>
        <v>0</v>
      </c>
      <c r="C734" s="5">
        <f t="shared" si="288"/>
        <v>991.40479661335496</v>
      </c>
      <c r="D734" s="5">
        <f t="shared" si="289"/>
        <v>-131.49294202790176</v>
      </c>
      <c r="E734" s="2">
        <f t="shared" si="271"/>
        <v>330.46826553778499</v>
      </c>
      <c r="F734" s="2">
        <f t="shared" si="290"/>
        <v>0</v>
      </c>
      <c r="G734" s="3">
        <f t="shared" si="291"/>
        <v>0</v>
      </c>
      <c r="H734" s="3">
        <f t="shared" si="292"/>
        <v>98.734938527338755</v>
      </c>
      <c r="I734" s="3">
        <f t="shared" si="293"/>
        <v>-81.530568459072825</v>
      </c>
      <c r="J734" s="2">
        <f t="shared" si="272"/>
        <v>128.04617010772685</v>
      </c>
      <c r="K734" s="2">
        <f t="shared" si="294"/>
        <v>87.284369534919463</v>
      </c>
      <c r="L734" s="5">
        <f t="shared" si="273"/>
        <v>27.329355562051905</v>
      </c>
      <c r="M734" s="3">
        <f t="shared" si="274"/>
        <v>17.006701298733642</v>
      </c>
      <c r="N734" s="2">
        <v>0</v>
      </c>
      <c r="O734" s="2">
        <f t="shared" si="275"/>
        <v>128.04617010772685</v>
      </c>
      <c r="P734" s="2">
        <f t="shared" si="276"/>
        <v>87.284369534919463</v>
      </c>
      <c r="Q734" s="5">
        <f t="shared" si="277"/>
        <v>1.0791694937224685</v>
      </c>
      <c r="R734" s="5">
        <f t="shared" si="278"/>
        <v>0.16020178054242881</v>
      </c>
      <c r="S734" s="4">
        <f t="shared" si="295"/>
        <v>0.13281694629699342</v>
      </c>
      <c r="T734" s="5">
        <f t="shared" si="279"/>
        <v>0.1023087787140057</v>
      </c>
      <c r="U734" s="4">
        <f t="shared" si="280"/>
        <v>0</v>
      </c>
      <c r="V734" s="4">
        <f t="shared" si="281"/>
        <v>0</v>
      </c>
      <c r="W734" s="5">
        <f t="shared" si="282"/>
        <v>0</v>
      </c>
      <c r="X734" s="5">
        <f t="shared" si="283"/>
        <v>-11.509160071914884</v>
      </c>
      <c r="Y734" s="5">
        <f t="shared" si="284"/>
        <v>9.5037114231844519</v>
      </c>
      <c r="Z734" s="5">
        <f>1</f>
        <v>1</v>
      </c>
      <c r="AA734" s="5">
        <f>IF(M734=0,0,const*($T734/omega)*O734*(wy*I734-wz*(H734-V734))/Z734)</f>
        <v>0</v>
      </c>
      <c r="AB734" s="5">
        <f>IF(M734=0,0,const*($T734/omega)*O734*(wz*(G734-U734)-wx*I734)/Z734)</f>
        <v>6.0693027609567238</v>
      </c>
      <c r="AC734" s="5">
        <f>IF(M734=0,0,const*($T734/omega)*O734*(wx*(H734-V734)-wy*(G734-U734))/Z734)</f>
        <v>7.3500313604177254</v>
      </c>
      <c r="AD734" s="5">
        <f t="shared" si="297"/>
        <v>0</v>
      </c>
      <c r="AE734" s="5">
        <f t="shared" si="297"/>
        <v>-5.4398573109581605</v>
      </c>
      <c r="AF734" s="5">
        <f t="shared" si="285"/>
        <v>-15.32025721639782</v>
      </c>
      <c r="AG734">
        <f t="shared" si="296"/>
        <v>0</v>
      </c>
    </row>
    <row r="735" spans="1:33" x14ac:dyDescent="0.2">
      <c r="A735">
        <f t="shared" si="286"/>
        <v>7.0299999999998946</v>
      </c>
      <c r="B735" s="5">
        <f t="shared" si="287"/>
        <v>0</v>
      </c>
      <c r="C735" s="5">
        <f t="shared" si="288"/>
        <v>992.39187400576282</v>
      </c>
      <c r="D735" s="5">
        <f t="shared" si="289"/>
        <v>-132.30901372535331</v>
      </c>
      <c r="E735" s="2">
        <f t="shared" si="271"/>
        <v>330.79729133525427</v>
      </c>
      <c r="F735" s="2">
        <f t="shared" si="290"/>
        <v>0</v>
      </c>
      <c r="G735" s="3">
        <f t="shared" si="291"/>
        <v>0</v>
      </c>
      <c r="H735" s="3">
        <f t="shared" si="292"/>
        <v>98.680539954229175</v>
      </c>
      <c r="I735" s="3">
        <f t="shared" si="293"/>
        <v>-81.683771031236802</v>
      </c>
      <c r="J735" s="2">
        <f t="shared" si="272"/>
        <v>128.10186343508724</v>
      </c>
      <c r="K735" s="2">
        <f t="shared" si="294"/>
        <v>87.322333629916315</v>
      </c>
      <c r="L735" s="5">
        <f t="shared" si="273"/>
        <v>27.317473902370683</v>
      </c>
      <c r="M735" s="3">
        <f t="shared" si="274"/>
        <v>16.998577616334508</v>
      </c>
      <c r="N735" s="2">
        <v>0</v>
      </c>
      <c r="O735" s="2">
        <f t="shared" si="275"/>
        <v>128.10186343508724</v>
      </c>
      <c r="P735" s="2">
        <f t="shared" si="276"/>
        <v>87.322333629916315</v>
      </c>
      <c r="Q735" s="5">
        <f t="shared" si="277"/>
        <v>1.079638875507497</v>
      </c>
      <c r="R735" s="5">
        <f t="shared" si="278"/>
        <v>0.16017649201501419</v>
      </c>
      <c r="S735" s="4">
        <f t="shared" si="295"/>
        <v>0.13269578724706185</v>
      </c>
      <c r="T735" s="5">
        <f t="shared" si="279"/>
        <v>0.10227143700811311</v>
      </c>
      <c r="U735" s="4">
        <f t="shared" si="280"/>
        <v>0</v>
      </c>
      <c r="V735" s="4">
        <f t="shared" si="281"/>
        <v>0</v>
      </c>
      <c r="W735" s="5">
        <f t="shared" si="282"/>
        <v>0</v>
      </c>
      <c r="X735" s="5">
        <f t="shared" si="283"/>
        <v>-11.506005596041321</v>
      </c>
      <c r="Y735" s="5">
        <f t="shared" si="284"/>
        <v>9.52420737692659</v>
      </c>
      <c r="Z735" s="5">
        <f>1</f>
        <v>1</v>
      </c>
      <c r="AA735" s="5">
        <f>IF(M735=0,0,const*($T735/omega)*O735*(wy*I735-wz*(H735-V735))/Z735)</f>
        <v>0</v>
      </c>
      <c r="AB735" s="5">
        <f>IF(M735=0,0,const*($T735/omega)*O735*(wz*(G735-U735)-wx*I735)/Z735)</f>
        <v>6.0811318973713746</v>
      </c>
      <c r="AC735" s="5">
        <f>IF(M735=0,0,const*($T735/omega)*O735*(wx*(H735-V735)-wy*(G735-U735))/Z735)</f>
        <v>7.3464945556445036</v>
      </c>
      <c r="AD735" s="5">
        <f t="shared" si="297"/>
        <v>0</v>
      </c>
      <c r="AE735" s="5">
        <f t="shared" si="297"/>
        <v>-5.4248736986699466</v>
      </c>
      <c r="AF735" s="5">
        <f t="shared" si="285"/>
        <v>-15.303298067428905</v>
      </c>
      <c r="AG735">
        <f t="shared" si="296"/>
        <v>0</v>
      </c>
    </row>
    <row r="736" spans="1:33" x14ac:dyDescent="0.2">
      <c r="A736">
        <f t="shared" si="286"/>
        <v>7.0399999999998943</v>
      </c>
      <c r="B736" s="5">
        <f t="shared" si="287"/>
        <v>0</v>
      </c>
      <c r="C736" s="5">
        <f t="shared" si="288"/>
        <v>993.3784081616202</v>
      </c>
      <c r="D736" s="5">
        <f t="shared" si="289"/>
        <v>-133.12661660056906</v>
      </c>
      <c r="E736" s="2">
        <f t="shared" ref="E736:E799" si="298">SQRT(B736^2+C736^2)/3</f>
        <v>331.12613605387338</v>
      </c>
      <c r="F736" s="2">
        <f t="shared" si="290"/>
        <v>0</v>
      </c>
      <c r="G736" s="3">
        <f t="shared" si="291"/>
        <v>0</v>
      </c>
      <c r="H736" s="3">
        <f t="shared" si="292"/>
        <v>98.626291217242482</v>
      </c>
      <c r="I736" s="3">
        <f t="shared" si="293"/>
        <v>-81.836804011911084</v>
      </c>
      <c r="J736" s="2">
        <f t="shared" ref="J736:J799" si="299">SQRT(G736^2+H736^2+I736^2)</f>
        <v>128.15774580630026</v>
      </c>
      <c r="K736" s="2">
        <f t="shared" si="294"/>
        <v>87.360426589161719</v>
      </c>
      <c r="L736" s="5">
        <f t="shared" ref="L736:L799" si="300">1/(0.00002*J736/(circ/(2*PI()*12)))</f>
        <v>27.305562291350924</v>
      </c>
      <c r="M736" s="3">
        <f t="shared" ref="M736:M799" si="301">romega*EXP(-A736/L736)</f>
        <v>16.990445944689956</v>
      </c>
      <c r="N736" s="2">
        <v>0</v>
      </c>
      <c r="O736" s="2">
        <f t="shared" ref="O736:O799" si="302">IF(D736&gt;=hwind,SQRT((G736-vxw)^2+(H736-vyw)^2+I736^2),J736)</f>
        <v>128.15774580630026</v>
      </c>
      <c r="P736" s="2">
        <f t="shared" ref="P736:P799" si="303">J736/1.467</f>
        <v>87.360426589161719</v>
      </c>
      <c r="Q736" s="5">
        <f t="shared" ref="Q736:Q799" si="304">(P736/100)*Re_100*0.00001</f>
        <v>1.0801098505487592</v>
      </c>
      <c r="R736" s="5">
        <f t="shared" ref="R736:R799" si="305">IF(Q736&lt;=ReLow,CdL,IF(Q736&lt;ReHigh,CdL+(CdH-CdL)*(Q736-ReLow)/(ReHigh-ReLow),CdH))+CdS*S736</f>
        <v>0.16015117163781772</v>
      </c>
      <c r="S736" s="4">
        <f t="shared" si="295"/>
        <v>0.13257447560266547</v>
      </c>
      <c r="T736" s="5">
        <f t="shared" ref="T736:T799" si="306">ClAmp*S736^0.4</f>
        <v>0.10223402777059572</v>
      </c>
      <c r="U736" s="4">
        <f t="shared" ref="U736:U799" si="307">IF(D736&gt;=hwind,vxw,0)</f>
        <v>0</v>
      </c>
      <c r="V736" s="4">
        <f t="shared" ref="V736:V799" si="308">IF(D736&gt;=hwind,vyw,0)</f>
        <v>0</v>
      </c>
      <c r="W736" s="5">
        <f t="shared" ref="W736:W799" si="309">-const*$R736*$O736*(G736-U736)</f>
        <v>0</v>
      </c>
      <c r="X736" s="5">
        <f t="shared" ref="X736:X799" si="310">-const*$R736*$O736*(H736-V736)</f>
        <v>-11.502878183912811</v>
      </c>
      <c r="Y736" s="5">
        <f t="shared" ref="Y736:Y799" si="311">-const*$R736*$O736*I736</f>
        <v>9.5447043165827363</v>
      </c>
      <c r="Z736" s="5">
        <f>1</f>
        <v>1</v>
      </c>
      <c r="AA736" s="5">
        <f>IF(M736=0,0,const*($T736/omega)*O736*(wy*I736-wz*(H736-V736))/Z736)</f>
        <v>0</v>
      </c>
      <c r="AB736" s="5">
        <f>IF(M736=0,0,const*($T736/omega)*O736*(wz*(G736-U736)-wx*I736)/Z736)</f>
        <v>6.0929530279703732</v>
      </c>
      <c r="AC736" s="5">
        <f>IF(M736=0,0,const*($T736/omega)*O736*(wx*(H736-V736)-wy*(G736-U736))/Z736)</f>
        <v>7.3429719912097573</v>
      </c>
      <c r="AD736" s="5">
        <f t="shared" si="297"/>
        <v>0</v>
      </c>
      <c r="AE736" s="5">
        <f t="shared" si="297"/>
        <v>-5.4099251559424379</v>
      </c>
      <c r="AF736" s="5">
        <f t="shared" ref="AF736:AF799" si="312">Y736+AC736-32.174</f>
        <v>-15.286323692207507</v>
      </c>
      <c r="AG736">
        <f t="shared" si="296"/>
        <v>0</v>
      </c>
    </row>
    <row r="737" spans="1:33" x14ac:dyDescent="0.2">
      <c r="A737">
        <f t="shared" ref="A737:A800" si="313">A736+dt</f>
        <v>7.0499999999998941</v>
      </c>
      <c r="B737" s="5">
        <f t="shared" ref="B737:B800" si="314">B736+G736*dt+0.5*AD736*dt*dt</f>
        <v>0</v>
      </c>
      <c r="C737" s="5">
        <f t="shared" ref="C737:C800" si="315">C736+H736*dt+0.5*AE736*dt*dt</f>
        <v>994.36440057753475</v>
      </c>
      <c r="D737" s="5">
        <f t="shared" ref="D737:D800" si="316">D736+I736*dt+0.5*AF736*dt*dt</f>
        <v>-133.94574895687279</v>
      </c>
      <c r="E737" s="2">
        <f t="shared" si="298"/>
        <v>331.45480019251158</v>
      </c>
      <c r="F737" s="2">
        <f t="shared" ref="F737:F800" si="317">ATAN2(C737,B737)*180/PI()</f>
        <v>0</v>
      </c>
      <c r="G737" s="3">
        <f t="shared" ref="G737:G800" si="318">G736+AD736*dt</f>
        <v>0</v>
      </c>
      <c r="H737" s="3">
        <f t="shared" ref="H737:H800" si="319">H736+AE736*dt</f>
        <v>98.572191965683061</v>
      </c>
      <c r="I737" s="3">
        <f t="shared" ref="I737:I800" si="320">I736+AF736*dt</f>
        <v>-81.989667248833157</v>
      </c>
      <c r="J737" s="2">
        <f t="shared" si="299"/>
        <v>128.21381580973969</v>
      </c>
      <c r="K737" s="2">
        <f t="shared" ref="K737:K800" si="321">J737/1.467</f>
        <v>87.398647450401967</v>
      </c>
      <c r="L737" s="5">
        <f t="shared" si="300"/>
        <v>27.293621121345783</v>
      </c>
      <c r="M737" s="3">
        <f t="shared" si="301"/>
        <v>16.98230631975439</v>
      </c>
      <c r="N737" s="2">
        <v>0</v>
      </c>
      <c r="O737" s="2">
        <f t="shared" si="302"/>
        <v>128.21381580973969</v>
      </c>
      <c r="P737" s="2">
        <f t="shared" si="303"/>
        <v>87.398647450401967</v>
      </c>
      <c r="Q737" s="5">
        <f t="shared" si="304"/>
        <v>1.0805824069491095</v>
      </c>
      <c r="R737" s="5">
        <f t="shared" si="305"/>
        <v>0.16012581992739489</v>
      </c>
      <c r="S737" s="4">
        <f t="shared" ref="S737:S800" si="322">(M737/O737)</f>
        <v>0.13245301383865637</v>
      </c>
      <c r="T737" s="5">
        <f t="shared" si="306"/>
        <v>0.1021965516577481</v>
      </c>
      <c r="U737" s="4">
        <f t="shared" si="307"/>
        <v>0</v>
      </c>
      <c r="V737" s="4">
        <f t="shared" si="308"/>
        <v>0</v>
      </c>
      <c r="W737" s="5">
        <f t="shared" si="309"/>
        <v>0</v>
      </c>
      <c r="X737" s="5">
        <f t="shared" si="310"/>
        <v>-11.499777687023217</v>
      </c>
      <c r="Y737" s="5">
        <f t="shared" si="311"/>
        <v>9.5652021852454929</v>
      </c>
      <c r="Z737" s="5">
        <f>1</f>
        <v>1</v>
      </c>
      <c r="AA737" s="5">
        <f>IF(M737=0,0,const*($T737/omega)*O737*(wy*I737-wz*(H737-V737))/Z737)</f>
        <v>0</v>
      </c>
      <c r="AB737" s="5">
        <f>IF(M737=0,0,const*($T737/omega)*O737*(wz*(G737-U737)-wx*I737)/Z737)</f>
        <v>6.1047661125762422</v>
      </c>
      <c r="AC737" s="5">
        <f>IF(M737=0,0,const*($T737/omega)*O737*(wx*(H737-V737)-wy*(G737-U737))/Z737)</f>
        <v>7.3394635854315666</v>
      </c>
      <c r="AD737" s="5">
        <f t="shared" si="297"/>
        <v>0</v>
      </c>
      <c r="AE737" s="5">
        <f t="shared" si="297"/>
        <v>-5.3950115744469747</v>
      </c>
      <c r="AF737" s="5">
        <f t="shared" si="312"/>
        <v>-15.26933422932294</v>
      </c>
      <c r="AG737">
        <f t="shared" si="296"/>
        <v>0</v>
      </c>
    </row>
    <row r="738" spans="1:33" x14ac:dyDescent="0.2">
      <c r="A738">
        <f t="shared" si="313"/>
        <v>7.0599999999998939</v>
      </c>
      <c r="B738" s="5">
        <f t="shared" si="314"/>
        <v>0</v>
      </c>
      <c r="C738" s="5">
        <f t="shared" si="315"/>
        <v>995.3498527466129</v>
      </c>
      <c r="D738" s="5">
        <f t="shared" si="316"/>
        <v>-134.76640909607261</v>
      </c>
      <c r="E738" s="2">
        <f t="shared" si="298"/>
        <v>331.78328424887098</v>
      </c>
      <c r="F738" s="2">
        <f t="shared" si="317"/>
        <v>0</v>
      </c>
      <c r="G738" s="3">
        <f t="shared" si="318"/>
        <v>0</v>
      </c>
      <c r="H738" s="3">
        <f t="shared" si="319"/>
        <v>98.51824184993859</v>
      </c>
      <c r="I738" s="3">
        <f t="shared" si="320"/>
        <v>-82.142360591126391</v>
      </c>
      <c r="J738" s="2">
        <f t="shared" si="299"/>
        <v>128.27007203820236</v>
      </c>
      <c r="K738" s="2">
        <f t="shared" si="321"/>
        <v>87.436995254398326</v>
      </c>
      <c r="L738" s="5">
        <f t="shared" si="300"/>
        <v>27.281650782817252</v>
      </c>
      <c r="M738" s="3">
        <f t="shared" si="301"/>
        <v>16.974158777574228</v>
      </c>
      <c r="N738" s="2">
        <v>0</v>
      </c>
      <c r="O738" s="2">
        <f t="shared" si="302"/>
        <v>128.27007203820236</v>
      </c>
      <c r="P738" s="2">
        <f t="shared" si="303"/>
        <v>87.436995254398326</v>
      </c>
      <c r="Q738" s="5">
        <f t="shared" si="304"/>
        <v>1.0810565328486792</v>
      </c>
      <c r="R738" s="5">
        <f t="shared" si="305"/>
        <v>0.1601004373977564</v>
      </c>
      <c r="S738" s="4">
        <f t="shared" si="322"/>
        <v>0.132331404417695</v>
      </c>
      <c r="T738" s="5">
        <f t="shared" si="306"/>
        <v>0.1021590093233878</v>
      </c>
      <c r="U738" s="4">
        <f t="shared" si="307"/>
        <v>0</v>
      </c>
      <c r="V738" s="4">
        <f t="shared" si="308"/>
        <v>0</v>
      </c>
      <c r="W738" s="5">
        <f t="shared" si="309"/>
        <v>0</v>
      </c>
      <c r="X738" s="5">
        <f t="shared" si="310"/>
        <v>-11.496703957625298</v>
      </c>
      <c r="Y738" s="5">
        <f t="shared" si="311"/>
        <v>9.5857009256735513</v>
      </c>
      <c r="Z738" s="5">
        <f>1</f>
        <v>1</v>
      </c>
      <c r="AA738" s="5">
        <f>IF(M738=0,0,const*($T738/omega)*O738*(wy*I738-wz*(H738-V738))/Z738)</f>
        <v>0</v>
      </c>
      <c r="AB738" s="5">
        <f>IF(M738=0,0,const*($T738/omega)*O738*(wz*(G738-U738)-wx*I738)/Z738)</f>
        <v>6.1165711109469756</v>
      </c>
      <c r="AC738" s="5">
        <f>IF(M738=0,0,const*($T738/omega)*O738*(wx*(H738-V738)-wy*(G738-U738))/Z738)</f>
        <v>7.3359692570816888</v>
      </c>
      <c r="AD738" s="5">
        <f t="shared" si="297"/>
        <v>0</v>
      </c>
      <c r="AE738" s="5">
        <f t="shared" si="297"/>
        <v>-5.3801328466783227</v>
      </c>
      <c r="AF738" s="5">
        <f t="shared" si="312"/>
        <v>-15.25232981724476</v>
      </c>
      <c r="AG738">
        <f t="shared" ref="AG738:AG801" si="323">IF($D738*$D739&lt;0,1,0)</f>
        <v>0</v>
      </c>
    </row>
    <row r="739" spans="1:33" x14ac:dyDescent="0.2">
      <c r="A739">
        <f t="shared" si="313"/>
        <v>7.0699999999998937</v>
      </c>
      <c r="B739" s="5">
        <f t="shared" si="314"/>
        <v>0</v>
      </c>
      <c r="C739" s="5">
        <f t="shared" si="315"/>
        <v>996.33476615846985</v>
      </c>
      <c r="D739" s="5">
        <f t="shared" si="316"/>
        <v>-135.58859531847474</v>
      </c>
      <c r="E739" s="2">
        <f t="shared" si="298"/>
        <v>332.11158871948993</v>
      </c>
      <c r="F739" s="2">
        <f t="shared" si="317"/>
        <v>0</v>
      </c>
      <c r="G739" s="3">
        <f t="shared" si="318"/>
        <v>0</v>
      </c>
      <c r="H739" s="3">
        <f t="shared" si="319"/>
        <v>98.464440521471801</v>
      </c>
      <c r="I739" s="3">
        <f t="shared" si="320"/>
        <v>-82.294883889298845</v>
      </c>
      <c r="J739" s="2">
        <f t="shared" si="299"/>
        <v>128.32651308891562</v>
      </c>
      <c r="K739" s="2">
        <f t="shared" si="321"/>
        <v>87.475469044932254</v>
      </c>
      <c r="L739" s="5">
        <f t="shared" si="300"/>
        <v>27.269651664331835</v>
      </c>
      <c r="M739" s="3">
        <f t="shared" si="301"/>
        <v>16.966003354286112</v>
      </c>
      <c r="N739" s="2">
        <v>0</v>
      </c>
      <c r="O739" s="2">
        <f t="shared" si="302"/>
        <v>128.32651308891562</v>
      </c>
      <c r="P739" s="2">
        <f t="shared" si="303"/>
        <v>87.475469044932254</v>
      </c>
      <c r="Q739" s="5">
        <f t="shared" si="304"/>
        <v>1.0815322164249406</v>
      </c>
      <c r="R739" s="5">
        <f t="shared" si="305"/>
        <v>0.16007502456036291</v>
      </c>
      <c r="S739" s="4">
        <f t="shared" si="322"/>
        <v>0.13220964979022387</v>
      </c>
      <c r="T739" s="5">
        <f t="shared" si="306"/>
        <v>0.10212140141884649</v>
      </c>
      <c r="U739" s="4">
        <f t="shared" si="307"/>
        <v>0</v>
      </c>
      <c r="V739" s="4">
        <f t="shared" si="308"/>
        <v>0</v>
      </c>
      <c r="W739" s="5">
        <f t="shared" si="309"/>
        <v>0</v>
      </c>
      <c r="X739" s="5">
        <f t="shared" si="310"/>
        <v>-11.49365684872738</v>
      </c>
      <c r="Y739" s="5">
        <f t="shared" si="311"/>
        <v>9.606200480296252</v>
      </c>
      <c r="Z739" s="5">
        <f>1</f>
        <v>1</v>
      </c>
      <c r="AA739" s="5">
        <f>IF(M739=0,0,const*($T739/omega)*O739*(wy*I739-wz*(H739-V739))/Z739)</f>
        <v>0</v>
      </c>
      <c r="AB739" s="5">
        <f>IF(M739=0,0,const*($T739/omega)*O739*(wz*(G739-U739)-wx*I739)/Z739)</f>
        <v>6.1283679827787463</v>
      </c>
      <c r="AC739" s="5">
        <f>IF(M739=0,0,const*($T739/omega)*O739*(wx*(H739-V739)-wy*(G739-U739))/Z739)</f>
        <v>7.3324889253835632</v>
      </c>
      <c r="AD739" s="5">
        <f t="shared" si="297"/>
        <v>0</v>
      </c>
      <c r="AE739" s="5">
        <f t="shared" si="297"/>
        <v>-5.3652888659486333</v>
      </c>
      <c r="AF739" s="5">
        <f t="shared" si="312"/>
        <v>-15.235310594320183</v>
      </c>
      <c r="AG739">
        <f t="shared" si="323"/>
        <v>0</v>
      </c>
    </row>
    <row r="740" spans="1:33" x14ac:dyDescent="0.2">
      <c r="A740">
        <f t="shared" si="313"/>
        <v>7.0799999999998935</v>
      </c>
      <c r="B740" s="5">
        <f t="shared" si="314"/>
        <v>0</v>
      </c>
      <c r="C740" s="5">
        <f t="shared" si="315"/>
        <v>997.31914229924121</v>
      </c>
      <c r="D740" s="5">
        <f t="shared" si="316"/>
        <v>-136.41230592289745</v>
      </c>
      <c r="E740" s="2">
        <f t="shared" si="298"/>
        <v>332.43971409974705</v>
      </c>
      <c r="F740" s="2">
        <f t="shared" si="317"/>
        <v>0</v>
      </c>
      <c r="G740" s="3">
        <f t="shared" si="318"/>
        <v>0</v>
      </c>
      <c r="H740" s="3">
        <f t="shared" si="319"/>
        <v>98.410787632812315</v>
      </c>
      <c r="I740" s="3">
        <f t="shared" si="320"/>
        <v>-82.447236995242051</v>
      </c>
      <c r="J740" s="2">
        <f t="shared" si="299"/>
        <v>128.38313756354492</v>
      </c>
      <c r="K740" s="2">
        <f t="shared" si="321"/>
        <v>87.514067868810443</v>
      </c>
      <c r="L740" s="5">
        <f t="shared" si="300"/>
        <v>27.257624152556371</v>
      </c>
      <c r="M740" s="3">
        <f t="shared" si="301"/>
        <v>16.957840086115141</v>
      </c>
      <c r="N740" s="2">
        <v>0</v>
      </c>
      <c r="O740" s="2">
        <f t="shared" si="302"/>
        <v>128.38313756354492</v>
      </c>
      <c r="P740" s="2">
        <f t="shared" si="303"/>
        <v>87.514067868810443</v>
      </c>
      <c r="Q740" s="5">
        <f t="shared" si="304"/>
        <v>1.0820094458927692</v>
      </c>
      <c r="R740" s="5">
        <f t="shared" si="305"/>
        <v>0.16004958192411958</v>
      </c>
      <c r="S740" s="4">
        <f t="shared" si="322"/>
        <v>0.13208775239444226</v>
      </c>
      <c r="T740" s="5">
        <f t="shared" si="306"/>
        <v>0.10208372859296093</v>
      </c>
      <c r="U740" s="4">
        <f t="shared" si="307"/>
        <v>0</v>
      </c>
      <c r="V740" s="4">
        <f t="shared" si="308"/>
        <v>0</v>
      </c>
      <c r="W740" s="5">
        <f t="shared" si="309"/>
        <v>0</v>
      </c>
      <c r="X740" s="5">
        <f t="shared" si="310"/>
        <v>-11.490636214090017</v>
      </c>
      <c r="Y740" s="5">
        <f t="shared" si="311"/>
        <v>9.6267007912180969</v>
      </c>
      <c r="Z740" s="5">
        <f>1</f>
        <v>1</v>
      </c>
      <c r="AA740" s="5">
        <f>IF(M740=0,0,const*($T740/omega)*O740*(wy*I740-wz*(H740-V740))/Z740)</f>
        <v>0</v>
      </c>
      <c r="AB740" s="5">
        <f>IF(M740=0,0,const*($T740/omega)*O740*(wz*(G740-U740)-wx*I740)/Z740)</f>
        <v>6.1401566877086138</v>
      </c>
      <c r="AC740" s="5">
        <f>IF(M740=0,0,const*($T740/omega)*O740*(wx*(H740-V740)-wy*(G740-U740))/Z740)</f>
        <v>7.3290225100103203</v>
      </c>
      <c r="AD740" s="5">
        <f t="shared" si="297"/>
        <v>0</v>
      </c>
      <c r="AE740" s="5">
        <f t="shared" si="297"/>
        <v>-5.3504795263814033</v>
      </c>
      <c r="AF740" s="5">
        <f t="shared" si="312"/>
        <v>-15.218276698771582</v>
      </c>
      <c r="AG740">
        <f t="shared" si="323"/>
        <v>0</v>
      </c>
    </row>
    <row r="741" spans="1:33" x14ac:dyDescent="0.2">
      <c r="A741">
        <f t="shared" si="313"/>
        <v>7.0899999999998933</v>
      </c>
      <c r="B741" s="5">
        <f t="shared" si="314"/>
        <v>0</v>
      </c>
      <c r="C741" s="5">
        <f t="shared" si="315"/>
        <v>998.30298265159308</v>
      </c>
      <c r="D741" s="5">
        <f t="shared" si="316"/>
        <v>-137.2375392066848</v>
      </c>
      <c r="E741" s="2">
        <f t="shared" si="298"/>
        <v>332.76766088386438</v>
      </c>
      <c r="F741" s="2">
        <f t="shared" si="317"/>
        <v>0</v>
      </c>
      <c r="G741" s="3">
        <f t="shared" si="318"/>
        <v>0</v>
      </c>
      <c r="H741" s="3">
        <f t="shared" si="319"/>
        <v>98.357282837548496</v>
      </c>
      <c r="I741" s="3">
        <f t="shared" si="320"/>
        <v>-82.599419762229772</v>
      </c>
      <c r="J741" s="2">
        <f t="shared" si="299"/>
        <v>128.43994406820079</v>
      </c>
      <c r="K741" s="2">
        <f t="shared" si="321"/>
        <v>87.552790775869653</v>
      </c>
      <c r="L741" s="5">
        <f t="shared" si="300"/>
        <v>27.245568632254155</v>
      </c>
      <c r="M741" s="3">
        <f t="shared" si="301"/>
        <v>16.949669009373128</v>
      </c>
      <c r="N741" s="2">
        <v>0</v>
      </c>
      <c r="O741" s="2">
        <f t="shared" si="302"/>
        <v>128.43994406820079</v>
      </c>
      <c r="P741" s="2">
        <f t="shared" si="303"/>
        <v>87.552790775869653</v>
      </c>
      <c r="Q741" s="5">
        <f t="shared" si="304"/>
        <v>1.0824882095045041</v>
      </c>
      <c r="R741" s="5">
        <f t="shared" si="305"/>
        <v>0.16002410999537137</v>
      </c>
      <c r="S741" s="4">
        <f t="shared" si="322"/>
        <v>0.13196571465628296</v>
      </c>
      <c r="T741" s="5">
        <f t="shared" si="306"/>
        <v>0.10204599149206474</v>
      </c>
      <c r="U741" s="4">
        <f t="shared" si="307"/>
        <v>0</v>
      </c>
      <c r="V741" s="4">
        <f t="shared" si="308"/>
        <v>0</v>
      </c>
      <c r="W741" s="5">
        <f t="shared" si="309"/>
        <v>0</v>
      </c>
      <c r="X741" s="5">
        <f t="shared" si="310"/>
        <v>-11.487641908222674</v>
      </c>
      <c r="Y741" s="5">
        <f t="shared" si="311"/>
        <v>9.6472018002232662</v>
      </c>
      <c r="Z741" s="5">
        <f>1</f>
        <v>1</v>
      </c>
      <c r="AA741" s="5">
        <f>IF(M741=0,0,const*($T741/omega)*O741*(wy*I741-wz*(H741-V741))/Z741)</f>
        <v>0</v>
      </c>
      <c r="AB741" s="5">
        <f>IF(M741=0,0,const*($T741/omega)*O741*(wz*(G741-U741)-wx*I741)/Z741)</f>
        <v>6.1519371853172018</v>
      </c>
      <c r="AC741" s="5">
        <f>IF(M741=0,0,const*($T741/omega)*O741*(wx*(H741-V741)-wy*(G741-U741))/Z741)</f>
        <v>7.3255699310827893</v>
      </c>
      <c r="AD741" s="5">
        <f t="shared" si="297"/>
        <v>0</v>
      </c>
      <c r="AE741" s="5">
        <f t="shared" si="297"/>
        <v>-5.3357047229054722</v>
      </c>
      <c r="AF741" s="5">
        <f t="shared" si="312"/>
        <v>-15.201228268693946</v>
      </c>
      <c r="AG741">
        <f t="shared" si="323"/>
        <v>0</v>
      </c>
    </row>
    <row r="742" spans="1:33" x14ac:dyDescent="0.2">
      <c r="A742">
        <f t="shared" si="313"/>
        <v>7.0999999999998931</v>
      </c>
      <c r="B742" s="5">
        <f t="shared" si="314"/>
        <v>0</v>
      </c>
      <c r="C742" s="5">
        <f t="shared" si="315"/>
        <v>999.28628869473243</v>
      </c>
      <c r="D742" s="5">
        <f t="shared" si="316"/>
        <v>-138.06429346572054</v>
      </c>
      <c r="E742" s="2">
        <f t="shared" si="298"/>
        <v>333.09542956491083</v>
      </c>
      <c r="F742" s="2">
        <f t="shared" si="317"/>
        <v>0</v>
      </c>
      <c r="G742" s="3">
        <f t="shared" si="318"/>
        <v>0</v>
      </c>
      <c r="H742" s="3">
        <f t="shared" si="319"/>
        <v>98.30392579031944</v>
      </c>
      <c r="I742" s="3">
        <f t="shared" si="320"/>
        <v>-82.751432044916712</v>
      </c>
      <c r="J742" s="2">
        <f t="shared" si="299"/>
        <v>128.49693121344612</v>
      </c>
      <c r="K742" s="2">
        <f t="shared" si="321"/>
        <v>87.591636818981669</v>
      </c>
      <c r="L742" s="5">
        <f t="shared" si="300"/>
        <v>27.233485486281126</v>
      </c>
      <c r="M742" s="3">
        <f t="shared" si="301"/>
        <v>16.941490160456848</v>
      </c>
      <c r="N742" s="2">
        <v>0</v>
      </c>
      <c r="O742" s="2">
        <f t="shared" si="302"/>
        <v>128.49693121344612</v>
      </c>
      <c r="P742" s="2">
        <f t="shared" si="303"/>
        <v>87.591636818981669</v>
      </c>
      <c r="Q742" s="5">
        <f t="shared" si="304"/>
        <v>1.082968495550009</v>
      </c>
      <c r="R742" s="5">
        <f t="shared" si="305"/>
        <v>0.15999860927789802</v>
      </c>
      <c r="S742" s="4">
        <f t="shared" si="322"/>
        <v>0.13184353898938922</v>
      </c>
      <c r="T742" s="5">
        <f t="shared" si="306"/>
        <v>0.10200819075998008</v>
      </c>
      <c r="U742" s="4">
        <f t="shared" si="307"/>
        <v>0</v>
      </c>
      <c r="V742" s="4">
        <f t="shared" si="308"/>
        <v>0</v>
      </c>
      <c r="W742" s="5">
        <f t="shared" si="309"/>
        <v>0</v>
      </c>
      <c r="X742" s="5">
        <f t="shared" si="310"/>
        <v>-11.484673786380428</v>
      </c>
      <c r="Y742" s="5">
        <f t="shared" si="311"/>
        <v>9.6677034487801201</v>
      </c>
      <c r="Z742" s="5">
        <f>1</f>
        <v>1</v>
      </c>
      <c r="AA742" s="5">
        <f>IF(M742=0,0,const*($T742/omega)*O742*(wy*I742-wz*(H742-V742))/Z742)</f>
        <v>0</v>
      </c>
      <c r="AB742" s="5">
        <f>IF(M742=0,0,const*($T742/omega)*O742*(wz*(G742-U742)-wx*I742)/Z742)</f>
        <v>6.1637094351313833</v>
      </c>
      <c r="AC742" s="5">
        <f>IF(M742=0,0,const*($T742/omega)*O742*(wx*(H742-V742)-wy*(G742-U742))/Z742)</f>
        <v>7.3221311091675272</v>
      </c>
      <c r="AD742" s="5">
        <f t="shared" si="297"/>
        <v>0</v>
      </c>
      <c r="AE742" s="5">
        <f t="shared" si="297"/>
        <v>-5.320964351249045</v>
      </c>
      <c r="AF742" s="5">
        <f t="shared" si="312"/>
        <v>-15.184165442052354</v>
      </c>
      <c r="AG742">
        <f t="shared" si="323"/>
        <v>0</v>
      </c>
    </row>
    <row r="743" spans="1:33" x14ac:dyDescent="0.2">
      <c r="A743">
        <f t="shared" si="313"/>
        <v>7.1099999999998929</v>
      </c>
      <c r="B743" s="5">
        <f t="shared" si="314"/>
        <v>0</v>
      </c>
      <c r="C743" s="5">
        <f t="shared" si="315"/>
        <v>1000.2690619044181</v>
      </c>
      <c r="D743" s="5">
        <f t="shared" si="316"/>
        <v>-138.89256699444181</v>
      </c>
      <c r="E743" s="2">
        <f t="shared" si="298"/>
        <v>333.42302063480605</v>
      </c>
      <c r="F743" s="2">
        <f t="shared" si="317"/>
        <v>0</v>
      </c>
      <c r="G743" s="3">
        <f t="shared" si="318"/>
        <v>0</v>
      </c>
      <c r="H743" s="3">
        <f t="shared" si="319"/>
        <v>98.250716146806951</v>
      </c>
      <c r="I743" s="3">
        <f t="shared" si="320"/>
        <v>-82.903273699337234</v>
      </c>
      <c r="J743" s="2">
        <f t="shared" si="299"/>
        <v>128.55409761430263</v>
      </c>
      <c r="K743" s="2">
        <f t="shared" si="321"/>
        <v>87.630605054057682</v>
      </c>
      <c r="L743" s="5">
        <f t="shared" si="300"/>
        <v>27.221375095582417</v>
      </c>
      <c r="M743" s="3">
        <f t="shared" si="301"/>
        <v>16.93330357584631</v>
      </c>
      <c r="N743" s="2">
        <v>0</v>
      </c>
      <c r="O743" s="2">
        <f t="shared" si="302"/>
        <v>128.55409761430263</v>
      </c>
      <c r="P743" s="2">
        <f t="shared" si="303"/>
        <v>87.630605054057682</v>
      </c>
      <c r="Q743" s="5">
        <f t="shared" si="304"/>
        <v>1.0834502923567262</v>
      </c>
      <c r="R743" s="5">
        <f t="shared" si="305"/>
        <v>0.15997308027290996</v>
      </c>
      <c r="S743" s="4">
        <f t="shared" si="322"/>
        <v>0.13172122779509401</v>
      </c>
      <c r="T743" s="5">
        <f t="shared" si="306"/>
        <v>0.10197032703800959</v>
      </c>
      <c r="U743" s="4">
        <f t="shared" si="307"/>
        <v>0</v>
      </c>
      <c r="V743" s="4">
        <f t="shared" si="308"/>
        <v>0</v>
      </c>
      <c r="W743" s="5">
        <f t="shared" si="309"/>
        <v>0</v>
      </c>
      <c r="X743" s="5">
        <f t="shared" si="310"/>
        <v>-11.481731704560636</v>
      </c>
      <c r="Y743" s="5">
        <f t="shared" si="311"/>
        <v>9.6882056780456658</v>
      </c>
      <c r="Z743" s="5">
        <f>1</f>
        <v>1</v>
      </c>
      <c r="AA743" s="5">
        <f>IF(M743=0,0,const*($T743/omega)*O743*(wy*I743-wz*(H743-V743))/Z743)</f>
        <v>0</v>
      </c>
      <c r="AB743" s="5">
        <f>IF(M743=0,0,const*($T743/omega)*O743*(wz*(G743-U743)-wx*I743)/Z743)</f>
        <v>6.17547339662692</v>
      </c>
      <c r="AC743" s="5">
        <f>IF(M743=0,0,const*($T743/omega)*O743*(wx*(H743-V743)-wy*(G743-U743))/Z743)</f>
        <v>7.3187059652748054</v>
      </c>
      <c r="AD743" s="5">
        <f t="shared" si="297"/>
        <v>0</v>
      </c>
      <c r="AE743" s="5">
        <f t="shared" si="297"/>
        <v>-5.3062583079337156</v>
      </c>
      <c r="AF743" s="5">
        <f t="shared" si="312"/>
        <v>-15.167088356679528</v>
      </c>
      <c r="AG743">
        <f t="shared" si="323"/>
        <v>0</v>
      </c>
    </row>
    <row r="744" spans="1:33" x14ac:dyDescent="0.2">
      <c r="A744">
        <f t="shared" si="313"/>
        <v>7.1199999999998926</v>
      </c>
      <c r="B744" s="5">
        <f t="shared" si="314"/>
        <v>0</v>
      </c>
      <c r="C744" s="5">
        <f t="shared" si="315"/>
        <v>1001.2513037529708</v>
      </c>
      <c r="D744" s="5">
        <f t="shared" si="316"/>
        <v>-139.72235808585302</v>
      </c>
      <c r="E744" s="2">
        <f t="shared" si="298"/>
        <v>333.75043458432361</v>
      </c>
      <c r="F744" s="2">
        <f t="shared" si="317"/>
        <v>0</v>
      </c>
      <c r="G744" s="3">
        <f t="shared" si="318"/>
        <v>0</v>
      </c>
      <c r="H744" s="3">
        <f t="shared" si="319"/>
        <v>98.197653563727613</v>
      </c>
      <c r="I744" s="3">
        <f t="shared" si="320"/>
        <v>-83.054944582904028</v>
      </c>
      <c r="J744" s="2">
        <f t="shared" si="299"/>
        <v>128.61144189025768</v>
      </c>
      <c r="K744" s="2">
        <f t="shared" si="321"/>
        <v>87.669694540052944</v>
      </c>
      <c r="L744" s="5">
        <f t="shared" si="300"/>
        <v>27.20923783918894</v>
      </c>
      <c r="M744" s="3">
        <f t="shared" si="301"/>
        <v>16.925109292103016</v>
      </c>
      <c r="N744" s="2">
        <v>0</v>
      </c>
      <c r="O744" s="2">
        <f t="shared" si="302"/>
        <v>128.61144189025768</v>
      </c>
      <c r="P744" s="2">
        <f t="shared" si="303"/>
        <v>87.669694540052944</v>
      </c>
      <c r="Q744" s="5">
        <f t="shared" si="304"/>
        <v>1.0839335882897341</v>
      </c>
      <c r="R744" s="5">
        <f t="shared" si="305"/>
        <v>0.15994752347904392</v>
      </c>
      <c r="S744" s="4">
        <f t="shared" si="322"/>
        <v>0.13159878346239964</v>
      </c>
      <c r="T744" s="5">
        <f t="shared" si="306"/>
        <v>0.10193240096492882</v>
      </c>
      <c r="U744" s="4">
        <f t="shared" si="307"/>
        <v>0</v>
      </c>
      <c r="V744" s="4">
        <f t="shared" si="308"/>
        <v>0</v>
      </c>
      <c r="W744" s="5">
        <f t="shared" si="309"/>
        <v>0</v>
      </c>
      <c r="X744" s="5">
        <f t="shared" si="310"/>
        <v>-11.478815519499648</v>
      </c>
      <c r="Y744" s="5">
        <f t="shared" si="311"/>
        <v>9.708708428870036</v>
      </c>
      <c r="Z744" s="5">
        <f>1</f>
        <v>1</v>
      </c>
      <c r="AA744" s="5">
        <f>IF(M744=0,0,const*($T744/omega)*O744*(wy*I744-wz*(H744-V744))/Z744)</f>
        <v>0</v>
      </c>
      <c r="AB744" s="5">
        <f>IF(M744=0,0,const*($T744/omega)*O744*(wz*(G744-U744)-wx*I744)/Z744)</f>
        <v>6.1872290292311076</v>
      </c>
      <c r="AC744" s="5">
        <f>IF(M744=0,0,const*($T744/omega)*O744*(wx*(H744-V744)-wy*(G744-U744))/Z744)</f>
        <v>7.3152944208566364</v>
      </c>
      <c r="AD744" s="5">
        <f t="shared" si="297"/>
        <v>0</v>
      </c>
      <c r="AE744" s="5">
        <f t="shared" si="297"/>
        <v>-5.2915864902685401</v>
      </c>
      <c r="AF744" s="5">
        <f t="shared" si="312"/>
        <v>-15.149997150273329</v>
      </c>
      <c r="AG744">
        <f t="shared" si="323"/>
        <v>0</v>
      </c>
    </row>
    <row r="745" spans="1:33" x14ac:dyDescent="0.2">
      <c r="A745">
        <f t="shared" si="313"/>
        <v>7.1299999999998924</v>
      </c>
      <c r="B745" s="5">
        <f t="shared" si="314"/>
        <v>0</v>
      </c>
      <c r="C745" s="5">
        <f t="shared" si="315"/>
        <v>1002.2330157092836</v>
      </c>
      <c r="D745" s="5">
        <f t="shared" si="316"/>
        <v>-140.55366503153957</v>
      </c>
      <c r="E745" s="2">
        <f t="shared" si="298"/>
        <v>334.07767190309454</v>
      </c>
      <c r="F745" s="2">
        <f t="shared" si="317"/>
        <v>0</v>
      </c>
      <c r="G745" s="3">
        <f t="shared" si="318"/>
        <v>0</v>
      </c>
      <c r="H745" s="3">
        <f t="shared" si="319"/>
        <v>98.144737698824926</v>
      </c>
      <c r="I745" s="3">
        <f t="shared" si="320"/>
        <v>-83.206444554406758</v>
      </c>
      <c r="J745" s="2">
        <f t="shared" si="299"/>
        <v>128.66896266527027</v>
      </c>
      <c r="K745" s="2">
        <f t="shared" si="321"/>
        <v>87.708904338970868</v>
      </c>
      <c r="L745" s="5">
        <f t="shared" si="300"/>
        <v>27.197074094214301</v>
      </c>
      <c r="M745" s="3">
        <f t="shared" si="301"/>
        <v>16.91690734586826</v>
      </c>
      <c r="N745" s="2">
        <v>0</v>
      </c>
      <c r="O745" s="2">
        <f t="shared" si="302"/>
        <v>128.66896266527027</v>
      </c>
      <c r="P745" s="2">
        <f t="shared" si="303"/>
        <v>87.708904338970868</v>
      </c>
      <c r="Q745" s="5">
        <f t="shared" si="304"/>
        <v>1.0844183717517981</v>
      </c>
      <c r="R745" s="5">
        <f t="shared" si="305"/>
        <v>0.15992193939235907</v>
      </c>
      <c r="S745" s="4">
        <f t="shared" si="322"/>
        <v>0.13147620836795937</v>
      </c>
      <c r="T745" s="5">
        <f t="shared" si="306"/>
        <v>0.10189441317697868</v>
      </c>
      <c r="U745" s="4">
        <f t="shared" si="307"/>
        <v>0</v>
      </c>
      <c r="V745" s="4">
        <f t="shared" si="308"/>
        <v>0</v>
      </c>
      <c r="W745" s="5">
        <f t="shared" si="309"/>
        <v>0</v>
      </c>
      <c r="X745" s="5">
        <f t="shared" si="310"/>
        <v>-11.475925088669493</v>
      </c>
      <c r="Y745" s="5">
        <f t="shared" si="311"/>
        <v>9.7292116418009051</v>
      </c>
      <c r="Z745" s="5">
        <f>1</f>
        <v>1</v>
      </c>
      <c r="AA745" s="5">
        <f>IF(M745=0,0,const*($T745/omega)*O745*(wy*I745-wz*(H745-V745))/Z745)</f>
        <v>0</v>
      </c>
      <c r="AB745" s="5">
        <f>IF(M745=0,0,const*($T745/omega)*O745*(wz*(G745-U745)-wx*I745)/Z745)</f>
        <v>6.198976292325395</v>
      </c>
      <c r="AC745" s="5">
        <f>IF(M745=0,0,const*($T745/omega)*O745*(wx*(H745-V745)-wy*(G745-U745))/Z745)</f>
        <v>7.3118963978047828</v>
      </c>
      <c r="AD745" s="5">
        <f t="shared" si="297"/>
        <v>0</v>
      </c>
      <c r="AE745" s="5">
        <f t="shared" si="297"/>
        <v>-5.2769487963440982</v>
      </c>
      <c r="AF745" s="5">
        <f t="shared" si="312"/>
        <v>-15.132891960394311</v>
      </c>
      <c r="AG745">
        <f t="shared" si="323"/>
        <v>0</v>
      </c>
    </row>
    <row r="746" spans="1:33" x14ac:dyDescent="0.2">
      <c r="A746">
        <f t="shared" si="313"/>
        <v>7.1399999999998922</v>
      </c>
      <c r="B746" s="5">
        <f t="shared" si="314"/>
        <v>0</v>
      </c>
      <c r="C746" s="5">
        <f t="shared" si="315"/>
        <v>1003.2141992388321</v>
      </c>
      <c r="D746" s="5">
        <f t="shared" si="316"/>
        <v>-141.38648612168166</v>
      </c>
      <c r="E746" s="2">
        <f t="shared" si="298"/>
        <v>334.40473307961071</v>
      </c>
      <c r="F746" s="2">
        <f t="shared" si="317"/>
        <v>0</v>
      </c>
      <c r="G746" s="3">
        <f t="shared" si="318"/>
        <v>0</v>
      </c>
      <c r="H746" s="3">
        <f t="shared" si="319"/>
        <v>98.091968210861481</v>
      </c>
      <c r="I746" s="3">
        <f t="shared" si="320"/>
        <v>-83.357773474010699</v>
      </c>
      <c r="J746" s="2">
        <f t="shared" si="299"/>
        <v>128.72665856777741</v>
      </c>
      <c r="K746" s="2">
        <f t="shared" si="321"/>
        <v>87.748233515867341</v>
      </c>
      <c r="L746" s="5">
        <f t="shared" si="300"/>
        <v>27.184884235851804</v>
      </c>
      <c r="M746" s="3">
        <f t="shared" si="301"/>
        <v>16.908697773861423</v>
      </c>
      <c r="N746" s="2">
        <v>0</v>
      </c>
      <c r="O746" s="2">
        <f t="shared" si="302"/>
        <v>128.72665856777741</v>
      </c>
      <c r="P746" s="2">
        <f t="shared" si="303"/>
        <v>87.748233515867341</v>
      </c>
      <c r="Q746" s="5">
        <f t="shared" si="304"/>
        <v>1.0849046311834241</v>
      </c>
      <c r="R746" s="5">
        <f t="shared" si="305"/>
        <v>0.15989632850633342</v>
      </c>
      <c r="S746" s="4">
        <f t="shared" si="322"/>
        <v>0.13135350487605971</v>
      </c>
      <c r="T746" s="5">
        <f t="shared" si="306"/>
        <v>0.10185636430785837</v>
      </c>
      <c r="U746" s="4">
        <f t="shared" si="307"/>
        <v>0</v>
      </c>
      <c r="V746" s="4">
        <f t="shared" si="308"/>
        <v>0</v>
      </c>
      <c r="W746" s="5">
        <f t="shared" si="309"/>
        <v>0</v>
      </c>
      <c r="X746" s="5">
        <f t="shared" si="310"/>
        <v>-11.473060270274607</v>
      </c>
      <c r="Y746" s="5">
        <f t="shared" si="311"/>
        <v>9.7497152570879528</v>
      </c>
      <c r="Z746" s="5">
        <f>1</f>
        <v>1</v>
      </c>
      <c r="AA746" s="5">
        <f>IF(M746=0,0,const*($T746/omega)*O746*(wy*I746-wz*(H746-V746))/Z746)</f>
        <v>0</v>
      </c>
      <c r="AB746" s="5">
        <f>IF(M746=0,0,const*($T746/omega)*O746*(wz*(G746-U746)-wx*I746)/Z746)</f>
        <v>6.2107151452480052</v>
      </c>
      <c r="AC746" s="5">
        <f>IF(M746=0,0,const*($T746/omega)*O746*(wx*(H746-V746)-wy*(G746-U746))/Z746)</f>
        <v>7.3085118184487792</v>
      </c>
      <c r="AD746" s="5">
        <f t="shared" si="297"/>
        <v>0</v>
      </c>
      <c r="AE746" s="5">
        <f t="shared" si="297"/>
        <v>-5.2623451250266013</v>
      </c>
      <c r="AF746" s="5">
        <f t="shared" si="312"/>
        <v>-15.115772924463268</v>
      </c>
      <c r="AG746">
        <f t="shared" si="323"/>
        <v>0</v>
      </c>
    </row>
    <row r="747" spans="1:33" x14ac:dyDescent="0.2">
      <c r="A747">
        <f t="shared" si="313"/>
        <v>7.149999999999892</v>
      </c>
      <c r="B747" s="5">
        <f t="shared" si="314"/>
        <v>0</v>
      </c>
      <c r="C747" s="5">
        <f t="shared" si="315"/>
        <v>1004.1948558036844</v>
      </c>
      <c r="D747" s="5">
        <f t="shared" si="316"/>
        <v>-142.22081964506799</v>
      </c>
      <c r="E747" s="2">
        <f t="shared" si="298"/>
        <v>334.73161860122815</v>
      </c>
      <c r="F747" s="2">
        <f t="shared" si="317"/>
        <v>0</v>
      </c>
      <c r="G747" s="3">
        <f t="shared" si="318"/>
        <v>0</v>
      </c>
      <c r="H747" s="3">
        <f t="shared" si="319"/>
        <v>98.039344759611211</v>
      </c>
      <c r="I747" s="3">
        <f t="shared" si="320"/>
        <v>-83.508931203255329</v>
      </c>
      <c r="J747" s="2">
        <f t="shared" si="299"/>
        <v>128.78452823069989</v>
      </c>
      <c r="K747" s="2">
        <f t="shared" si="321"/>
        <v>87.787681138854722</v>
      </c>
      <c r="L747" s="5">
        <f t="shared" si="300"/>
        <v>27.172668637371697</v>
      </c>
      <c r="M747" s="3">
        <f t="shared" si="301"/>
        <v>16.900480612878241</v>
      </c>
      <c r="N747" s="2">
        <v>0</v>
      </c>
      <c r="O747" s="2">
        <f t="shared" si="302"/>
        <v>128.78452823069989</v>
      </c>
      <c r="P747" s="2">
        <f t="shared" si="303"/>
        <v>87.787681138854722</v>
      </c>
      <c r="Q747" s="5">
        <f t="shared" si="304"/>
        <v>1.0853923550629077</v>
      </c>
      <c r="R747" s="5">
        <f t="shared" si="305"/>
        <v>0.15987069131186027</v>
      </c>
      <c r="S747" s="4">
        <f t="shared" si="322"/>
        <v>0.13123067533860386</v>
      </c>
      <c r="T747" s="5">
        <f t="shared" si="306"/>
        <v>0.10181825498871813</v>
      </c>
      <c r="U747" s="4">
        <f t="shared" si="307"/>
        <v>0</v>
      </c>
      <c r="V747" s="4">
        <f t="shared" si="308"/>
        <v>0</v>
      </c>
      <c r="W747" s="5">
        <f t="shared" si="309"/>
        <v>0</v>
      </c>
      <c r="X747" s="5">
        <f t="shared" si="310"/>
        <v>-11.470220923248528</v>
      </c>
      <c r="Y747" s="5">
        <f t="shared" si="311"/>
        <v>9.7702192146872502</v>
      </c>
      <c r="Z747" s="5">
        <f>1</f>
        <v>1</v>
      </c>
      <c r="AA747" s="5">
        <f>IF(M747=0,0,const*($T747/omega)*O747*(wy*I747-wz*(H747-V747))/Z747)</f>
        <v>0</v>
      </c>
      <c r="AB747" s="5">
        <f>IF(M747=0,0,const*($T747/omega)*O747*(wz*(G747-U747)-wx*I747)/Z747)</f>
        <v>6.222445547296509</v>
      </c>
      <c r="AC747" s="5">
        <f>IF(M747=0,0,const*($T747/omega)*O747*(wx*(H747-V747)-wy*(G747-U747))/Z747)</f>
        <v>7.3051406055539303</v>
      </c>
      <c r="AD747" s="5">
        <f t="shared" si="297"/>
        <v>0</v>
      </c>
      <c r="AE747" s="5">
        <f t="shared" si="297"/>
        <v>-5.2477753759520187</v>
      </c>
      <c r="AF747" s="5">
        <f t="shared" si="312"/>
        <v>-15.098640179758817</v>
      </c>
      <c r="AG747">
        <f t="shared" si="323"/>
        <v>0</v>
      </c>
    </row>
    <row r="748" spans="1:33" x14ac:dyDescent="0.2">
      <c r="A748">
        <f t="shared" si="313"/>
        <v>7.1599999999998918</v>
      </c>
      <c r="B748" s="5">
        <f t="shared" si="314"/>
        <v>0</v>
      </c>
      <c r="C748" s="5">
        <f t="shared" si="315"/>
        <v>1005.1749868625118</v>
      </c>
      <c r="D748" s="5">
        <f t="shared" si="316"/>
        <v>-143.05666388910953</v>
      </c>
      <c r="E748" s="2">
        <f t="shared" si="298"/>
        <v>335.05832895417058</v>
      </c>
      <c r="F748" s="2">
        <f t="shared" si="317"/>
        <v>0</v>
      </c>
      <c r="G748" s="3">
        <f t="shared" si="318"/>
        <v>0</v>
      </c>
      <c r="H748" s="3">
        <f t="shared" si="319"/>
        <v>97.986867005851693</v>
      </c>
      <c r="I748" s="3">
        <f t="shared" si="320"/>
        <v>-83.659917605052911</v>
      </c>
      <c r="J748" s="2">
        <f t="shared" si="299"/>
        <v>128.84257029144797</v>
      </c>
      <c r="K748" s="2">
        <f t="shared" si="321"/>
        <v>87.827246279105637</v>
      </c>
      <c r="L748" s="5">
        <f t="shared" si="300"/>
        <v>27.160427670118636</v>
      </c>
      <c r="M748" s="3">
        <f t="shared" si="301"/>
        <v>16.89225589978917</v>
      </c>
      <c r="N748" s="2">
        <v>0</v>
      </c>
      <c r="O748" s="2">
        <f t="shared" si="302"/>
        <v>128.84257029144797</v>
      </c>
      <c r="P748" s="2">
        <f t="shared" si="303"/>
        <v>87.827246279105637</v>
      </c>
      <c r="Q748" s="5">
        <f t="shared" si="304"/>
        <v>1.085881531906381</v>
      </c>
      <c r="R748" s="5">
        <f t="shared" si="305"/>
        <v>0.15984502829724523</v>
      </c>
      <c r="S748" s="4">
        <f t="shared" si="322"/>
        <v>0.13110772209509708</v>
      </c>
      <c r="T748" s="5">
        <f t="shared" si="306"/>
        <v>0.10178008584815305</v>
      </c>
      <c r="U748" s="4">
        <f t="shared" si="307"/>
        <v>0</v>
      </c>
      <c r="V748" s="4">
        <f t="shared" si="308"/>
        <v>0</v>
      </c>
      <c r="W748" s="5">
        <f t="shared" si="309"/>
        <v>0</v>
      </c>
      <c r="X748" s="5">
        <f t="shared" si="310"/>
        <v>-11.467406907250631</v>
      </c>
      <c r="Y748" s="5">
        <f t="shared" si="311"/>
        <v>9.7907234542656632</v>
      </c>
      <c r="Z748" s="5">
        <f>1</f>
        <v>1</v>
      </c>
      <c r="AA748" s="5">
        <f>IF(M748=0,0,const*($T748/omega)*O748*(wy*I748-wz*(H748-V748))/Z748)</f>
        <v>0</v>
      </c>
      <c r="AB748" s="5">
        <f>IF(M748=0,0,const*($T748/omega)*O748*(wz*(G748-U748)-wx*I748)/Z748)</f>
        <v>6.2341674577304218</v>
      </c>
      <c r="AC748" s="5">
        <f>IF(M748=0,0,const*($T748/omega)*O748*(wx*(H748-V748)-wy*(G748-U748))/Z748)</f>
        <v>7.301782682319355</v>
      </c>
      <c r="AD748" s="5">
        <f t="shared" si="297"/>
        <v>0</v>
      </c>
      <c r="AE748" s="5">
        <f t="shared" si="297"/>
        <v>-5.2332394495202088</v>
      </c>
      <c r="AF748" s="5">
        <f t="shared" si="312"/>
        <v>-15.08149386341498</v>
      </c>
      <c r="AG748">
        <f t="shared" si="323"/>
        <v>0</v>
      </c>
    </row>
    <row r="749" spans="1:33" x14ac:dyDescent="0.2">
      <c r="A749">
        <f t="shared" si="313"/>
        <v>7.1699999999998916</v>
      </c>
      <c r="B749" s="5">
        <f t="shared" si="314"/>
        <v>0</v>
      </c>
      <c r="C749" s="5">
        <f t="shared" si="315"/>
        <v>1006.1545938705979</v>
      </c>
      <c r="D749" s="5">
        <f t="shared" si="316"/>
        <v>-143.89401713985322</v>
      </c>
      <c r="E749" s="2">
        <f t="shared" si="298"/>
        <v>335.38486462353262</v>
      </c>
      <c r="F749" s="2">
        <f t="shared" si="317"/>
        <v>0</v>
      </c>
      <c r="G749" s="3">
        <f t="shared" si="318"/>
        <v>0</v>
      </c>
      <c r="H749" s="3">
        <f t="shared" si="319"/>
        <v>97.934534611356497</v>
      </c>
      <c r="I749" s="3">
        <f t="shared" si="320"/>
        <v>-83.810732543687067</v>
      </c>
      <c r="J749" s="2">
        <f t="shared" si="299"/>
        <v>128.90078339192678</v>
      </c>
      <c r="K749" s="2">
        <f t="shared" si="321"/>
        <v>87.866928010856697</v>
      </c>
      <c r="L749" s="5">
        <f t="shared" si="300"/>
        <v>27.14816170350926</v>
      </c>
      <c r="M749" s="3">
        <f t="shared" si="301"/>
        <v>16.884023671537655</v>
      </c>
      <c r="N749" s="2">
        <v>0</v>
      </c>
      <c r="O749" s="2">
        <f t="shared" si="302"/>
        <v>128.90078339192678</v>
      </c>
      <c r="P749" s="2">
        <f t="shared" si="303"/>
        <v>87.866928010856697</v>
      </c>
      <c r="Q749" s="5">
        <f t="shared" si="304"/>
        <v>1.0863721502678583</v>
      </c>
      <c r="R749" s="5">
        <f t="shared" si="305"/>
        <v>0.15981933994820316</v>
      </c>
      <c r="S749" s="4">
        <f t="shared" si="322"/>
        <v>0.13098464747263222</v>
      </c>
      <c r="T749" s="5">
        <f t="shared" si="306"/>
        <v>0.10174185751219615</v>
      </c>
      <c r="U749" s="4">
        <f t="shared" si="307"/>
        <v>0</v>
      </c>
      <c r="V749" s="4">
        <f t="shared" si="308"/>
        <v>0</v>
      </c>
      <c r="W749" s="5">
        <f t="shared" si="309"/>
        <v>0</v>
      </c>
      <c r="X749" s="5">
        <f t="shared" si="310"/>
        <v>-11.464618082662838</v>
      </c>
      <c r="Y749" s="5">
        <f t="shared" si="311"/>
        <v>9.8112279152052295</v>
      </c>
      <c r="Z749" s="5">
        <f>1</f>
        <v>1</v>
      </c>
      <c r="AA749" s="5">
        <f>IF(M749=0,0,const*($T749/omega)*O749*(wy*I749-wz*(H749-V749))/Z749)</f>
        <v>0</v>
      </c>
      <c r="AB749" s="5">
        <f>IF(M749=0,0,const*($T749/omega)*O749*(wz*(G749-U749)-wx*I749)/Z749)</f>
        <v>6.2458808357737468</v>
      </c>
      <c r="AC749" s="5">
        <f>IF(M749=0,0,const*($T749/omega)*O749*(wx*(H749-V749)-wy*(G749-U749))/Z749)</f>
        <v>7.2984379723759716</v>
      </c>
      <c r="AD749" s="5">
        <f t="shared" si="297"/>
        <v>0</v>
      </c>
      <c r="AE749" s="5">
        <f t="shared" si="297"/>
        <v>-5.2187372468890914</v>
      </c>
      <c r="AF749" s="5">
        <f t="shared" si="312"/>
        <v>-15.064334112418798</v>
      </c>
      <c r="AG749">
        <f t="shared" si="323"/>
        <v>0</v>
      </c>
    </row>
    <row r="750" spans="1:33" x14ac:dyDescent="0.2">
      <c r="A750">
        <f t="shared" si="313"/>
        <v>7.1799999999998914</v>
      </c>
      <c r="B750" s="5">
        <f t="shared" si="314"/>
        <v>0</v>
      </c>
      <c r="C750" s="5">
        <f t="shared" si="315"/>
        <v>1007.1336782798491</v>
      </c>
      <c r="D750" s="5">
        <f t="shared" si="316"/>
        <v>-144.73287768199572</v>
      </c>
      <c r="E750" s="2">
        <f t="shared" si="298"/>
        <v>335.71122609328302</v>
      </c>
      <c r="F750" s="2">
        <f t="shared" si="317"/>
        <v>0</v>
      </c>
      <c r="G750" s="3">
        <f t="shared" si="318"/>
        <v>0</v>
      </c>
      <c r="H750" s="3">
        <f t="shared" si="319"/>
        <v>97.882347238887604</v>
      </c>
      <c r="I750" s="3">
        <f t="shared" si="320"/>
        <v>-83.961375884811261</v>
      </c>
      <c r="J750" s="2">
        <f t="shared" si="299"/>
        <v>128.95916617854169</v>
      </c>
      <c r="K750" s="2">
        <f t="shared" si="321"/>
        <v>87.906725411412197</v>
      </c>
      <c r="L750" s="5">
        <f t="shared" si="300"/>
        <v>27.135871105029977</v>
      </c>
      <c r="M750" s="3">
        <f t="shared" si="301"/>
        <v>16.875783965138488</v>
      </c>
      <c r="N750" s="2">
        <v>0</v>
      </c>
      <c r="O750" s="2">
        <f t="shared" si="302"/>
        <v>128.95916617854169</v>
      </c>
      <c r="P750" s="2">
        <f t="shared" si="303"/>
        <v>87.906725411412197</v>
      </c>
      <c r="Q750" s="5">
        <f t="shared" si="304"/>
        <v>1.0868641987392833</v>
      </c>
      <c r="R750" s="5">
        <f t="shared" si="305"/>
        <v>0.15979362674785558</v>
      </c>
      <c r="S750" s="4">
        <f t="shared" si="322"/>
        <v>0.13086145378587719</v>
      </c>
      <c r="T750" s="5">
        <f t="shared" si="306"/>
        <v>0.10170357060431238</v>
      </c>
      <c r="U750" s="4">
        <f t="shared" si="307"/>
        <v>0</v>
      </c>
      <c r="V750" s="4">
        <f t="shared" si="308"/>
        <v>0</v>
      </c>
      <c r="W750" s="5">
        <f t="shared" si="309"/>
        <v>0</v>
      </c>
      <c r="X750" s="5">
        <f t="shared" si="310"/>
        <v>-11.461854310586371</v>
      </c>
      <c r="Y750" s="5">
        <f t="shared" si="311"/>
        <v>9.8317325366075199</v>
      </c>
      <c r="Z750" s="5">
        <f>1</f>
        <v>1</v>
      </c>
      <c r="AA750" s="5">
        <f>IF(M750=0,0,const*($T750/omega)*O750*(wy*I750-wz*(H750-V750))/Z750)</f>
        <v>0</v>
      </c>
      <c r="AB750" s="5">
        <f>IF(M750=0,0,const*($T750/omega)*O750*(wz*(G750-U750)-wx*I750)/Z750)</f>
        <v>6.2575856406175312</v>
      </c>
      <c r="AC750" s="5">
        <f>IF(M750=0,0,const*($T750/omega)*O750*(wx*(H750-V750)-wy*(G750-U750))/Z750)</f>
        <v>7.2951063997845411</v>
      </c>
      <c r="AD750" s="5">
        <f t="shared" si="297"/>
        <v>0</v>
      </c>
      <c r="AE750" s="5">
        <f t="shared" si="297"/>
        <v>-5.2042686699688403</v>
      </c>
      <c r="AF750" s="5">
        <f t="shared" si="312"/>
        <v>-15.047161063607938</v>
      </c>
      <c r="AG750">
        <f t="shared" si="323"/>
        <v>0</v>
      </c>
    </row>
    <row r="751" spans="1:33" x14ac:dyDescent="0.2">
      <c r="A751">
        <f t="shared" si="313"/>
        <v>7.1899999999998911</v>
      </c>
      <c r="B751" s="5">
        <f t="shared" si="314"/>
        <v>0</v>
      </c>
      <c r="C751" s="5">
        <f t="shared" si="315"/>
        <v>1008.1122415388044</v>
      </c>
      <c r="D751" s="5">
        <f t="shared" si="316"/>
        <v>-145.57324379889701</v>
      </c>
      <c r="E751" s="2">
        <f t="shared" si="298"/>
        <v>336.03741384626812</v>
      </c>
      <c r="F751" s="2">
        <f t="shared" si="317"/>
        <v>0</v>
      </c>
      <c r="G751" s="3">
        <f t="shared" si="318"/>
        <v>0</v>
      </c>
      <c r="H751" s="3">
        <f t="shared" si="319"/>
        <v>97.830304552187911</v>
      </c>
      <c r="I751" s="3">
        <f t="shared" si="320"/>
        <v>-84.111847495447336</v>
      </c>
      <c r="J751" s="2">
        <f t="shared" si="299"/>
        <v>129.01771730220324</v>
      </c>
      <c r="K751" s="2">
        <f t="shared" si="321"/>
        <v>87.946637561147398</v>
      </c>
      <c r="L751" s="5">
        <f t="shared" si="300"/>
        <v>27.123556240234993</v>
      </c>
      <c r="M751" s="3">
        <f t="shared" si="301"/>
        <v>16.867536817676147</v>
      </c>
      <c r="N751" s="2">
        <v>0</v>
      </c>
      <c r="O751" s="2">
        <f t="shared" si="302"/>
        <v>129.01771730220324</v>
      </c>
      <c r="P751" s="2">
        <f t="shared" si="303"/>
        <v>87.946637561147398</v>
      </c>
      <c r="Q751" s="5">
        <f t="shared" si="304"/>
        <v>1.0873576659505679</v>
      </c>
      <c r="R751" s="5">
        <f t="shared" si="305"/>
        <v>0.15976788917672818</v>
      </c>
      <c r="S751" s="4">
        <f t="shared" si="322"/>
        <v>0.13073814333706321</v>
      </c>
      <c r="T751" s="5">
        <f t="shared" si="306"/>
        <v>0.10166522574539273</v>
      </c>
      <c r="U751" s="4">
        <f t="shared" si="307"/>
        <v>0</v>
      </c>
      <c r="V751" s="4">
        <f t="shared" si="308"/>
        <v>0</v>
      </c>
      <c r="W751" s="5">
        <f t="shared" si="309"/>
        <v>0</v>
      </c>
      <c r="X751" s="5">
        <f t="shared" si="310"/>
        <v>-11.459115452838473</v>
      </c>
      <c r="Y751" s="5">
        <f t="shared" si="311"/>
        <v>9.8522372572979755</v>
      </c>
      <c r="Z751" s="5">
        <f>1</f>
        <v>1</v>
      </c>
      <c r="AA751" s="5">
        <f>IF(M751=0,0,const*($T751/omega)*O751*(wy*I751-wz*(H751-V751))/Z751)</f>
        <v>0</v>
      </c>
      <c r="AB751" s="5">
        <f>IF(M751=0,0,const*($T751/omega)*O751*(wz*(G751-U751)-wx*I751)/Z751)</f>
        <v>6.2692818314223899</v>
      </c>
      <c r="AC751" s="5">
        <f>IF(M751=0,0,const*($T751/omega)*O751*(wx*(H751-V751)-wy*(G751-U751))/Z751)</f>
        <v>7.2917878890336798</v>
      </c>
      <c r="AD751" s="5">
        <f t="shared" si="297"/>
        <v>0</v>
      </c>
      <c r="AE751" s="5">
        <f t="shared" si="297"/>
        <v>-5.1898336214160832</v>
      </c>
      <c r="AF751" s="5">
        <f t="shared" si="312"/>
        <v>-15.029974853668342</v>
      </c>
      <c r="AG751">
        <f t="shared" si="323"/>
        <v>0</v>
      </c>
    </row>
    <row r="752" spans="1:33" x14ac:dyDescent="0.2">
      <c r="A752">
        <f t="shared" si="313"/>
        <v>7.1999999999998909</v>
      </c>
      <c r="B752" s="5">
        <f t="shared" si="314"/>
        <v>0</v>
      </c>
      <c r="C752" s="5">
        <f t="shared" si="315"/>
        <v>1009.0902850926452</v>
      </c>
      <c r="D752" s="5">
        <f t="shared" si="316"/>
        <v>-146.41511377259417</v>
      </c>
      <c r="E752" s="2">
        <f t="shared" si="298"/>
        <v>336.36342836421505</v>
      </c>
      <c r="F752" s="2">
        <f t="shared" si="317"/>
        <v>0</v>
      </c>
      <c r="G752" s="3">
        <f t="shared" si="318"/>
        <v>0</v>
      </c>
      <c r="H752" s="3">
        <f t="shared" si="319"/>
        <v>97.778406215973746</v>
      </c>
      <c r="I752" s="3">
        <f t="shared" si="320"/>
        <v>-84.262147243984018</v>
      </c>
      <c r="J752" s="2">
        <f t="shared" si="299"/>
        <v>129.07643541833193</v>
      </c>
      <c r="K752" s="2">
        <f t="shared" si="321"/>
        <v>87.986663543511867</v>
      </c>
      <c r="L752" s="5">
        <f t="shared" si="300"/>
        <v>27.111217472744428</v>
      </c>
      <c r="M752" s="3">
        <f t="shared" si="301"/>
        <v>16.85928226630314</v>
      </c>
      <c r="N752" s="2">
        <v>0</v>
      </c>
      <c r="O752" s="2">
        <f t="shared" si="302"/>
        <v>129.07643541833193</v>
      </c>
      <c r="P752" s="2">
        <f t="shared" si="303"/>
        <v>87.986663543511867</v>
      </c>
      <c r="Q752" s="5">
        <f t="shared" si="304"/>
        <v>1.0878525405696338</v>
      </c>
      <c r="R752" s="5">
        <f t="shared" si="305"/>
        <v>0.1597421277127487</v>
      </c>
      <c r="S752" s="4">
        <f t="shared" si="322"/>
        <v>0.1306147184159745</v>
      </c>
      <c r="T752" s="5">
        <f t="shared" si="306"/>
        <v>0.1016268235537484</v>
      </c>
      <c r="U752" s="4">
        <f t="shared" si="307"/>
        <v>0</v>
      </c>
      <c r="V752" s="4">
        <f t="shared" si="308"/>
        <v>0</v>
      </c>
      <c r="W752" s="5">
        <f t="shared" si="309"/>
        <v>0</v>
      </c>
      <c r="X752" s="5">
        <f t="shared" si="310"/>
        <v>-11.456401371949154</v>
      </c>
      <c r="Y752" s="5">
        <f t="shared" si="311"/>
        <v>9.8727420158302337</v>
      </c>
      <c r="Z752" s="5">
        <f>1</f>
        <v>1</v>
      </c>
      <c r="AA752" s="5">
        <f>IF(M752=0,0,const*($T752/omega)*O752*(wy*I752-wz*(H752-V752))/Z752)</f>
        <v>0</v>
      </c>
      <c r="AB752" s="5">
        <f>IF(M752=0,0,const*($T752/omega)*O752*(wz*(G752-U752)-wx*I752)/Z752)</f>
        <v>6.2809693673210241</v>
      </c>
      <c r="AC752" s="5">
        <f>IF(M752=0,0,const*($T752/omega)*O752*(wx*(H752-V752)-wy*(G752-U752))/Z752)</f>
        <v>7.2884823650378792</v>
      </c>
      <c r="AD752" s="5">
        <f t="shared" ref="AD752:AE815" si="324">W752+AA752</f>
        <v>0</v>
      </c>
      <c r="AE752" s="5">
        <f t="shared" si="324"/>
        <v>-5.1754320046281297</v>
      </c>
      <c r="AF752" s="5">
        <f t="shared" si="312"/>
        <v>-15.012775619131887</v>
      </c>
      <c r="AG752">
        <f t="shared" si="323"/>
        <v>0</v>
      </c>
    </row>
    <row r="753" spans="1:33" x14ac:dyDescent="0.2">
      <c r="A753">
        <f t="shared" si="313"/>
        <v>7.2099999999998907</v>
      </c>
      <c r="B753" s="5">
        <f t="shared" si="314"/>
        <v>0</v>
      </c>
      <c r="C753" s="5">
        <f t="shared" si="315"/>
        <v>1010.0678103832047</v>
      </c>
      <c r="D753" s="5">
        <f t="shared" si="316"/>
        <v>-147.25848588381496</v>
      </c>
      <c r="E753" s="2">
        <f t="shared" si="298"/>
        <v>336.68927012773491</v>
      </c>
      <c r="F753" s="2">
        <f t="shared" si="317"/>
        <v>0</v>
      </c>
      <c r="G753" s="3">
        <f t="shared" si="318"/>
        <v>0</v>
      </c>
      <c r="H753" s="3">
        <f t="shared" si="319"/>
        <v>97.726651895927461</v>
      </c>
      <c r="I753" s="3">
        <f t="shared" si="320"/>
        <v>-84.412275000175342</v>
      </c>
      <c r="J753" s="2">
        <f t="shared" si="299"/>
        <v>129.13531918686309</v>
      </c>
      <c r="K753" s="2">
        <f t="shared" si="321"/>
        <v>88.026802445032772</v>
      </c>
      <c r="L753" s="5">
        <f t="shared" si="300"/>
        <v>27.098855164242657</v>
      </c>
      <c r="M753" s="3">
        <f t="shared" si="301"/>
        <v>16.85102034823835</v>
      </c>
      <c r="N753" s="2">
        <v>0</v>
      </c>
      <c r="O753" s="2">
        <f t="shared" si="302"/>
        <v>129.13531918686309</v>
      </c>
      <c r="P753" s="2">
        <f t="shared" si="303"/>
        <v>88.026802445032772</v>
      </c>
      <c r="Q753" s="5">
        <f t="shared" si="304"/>
        <v>1.0883488113024544</v>
      </c>
      <c r="R753" s="5">
        <f t="shared" si="305"/>
        <v>0.15971634283124483</v>
      </c>
      <c r="S753" s="4">
        <f t="shared" si="322"/>
        <v>0.13049118129993828</v>
      </c>
      <c r="T753" s="5">
        <f t="shared" si="306"/>
        <v>0.10158836464510532</v>
      </c>
      <c r="U753" s="4">
        <f t="shared" si="307"/>
        <v>0</v>
      </c>
      <c r="V753" s="4">
        <f t="shared" si="308"/>
        <v>0</v>
      </c>
      <c r="W753" s="5">
        <f t="shared" si="309"/>
        <v>0</v>
      </c>
      <c r="X753" s="5">
        <f t="shared" si="310"/>
        <v>-11.45371193115796</v>
      </c>
      <c r="Y753" s="5">
        <f t="shared" si="311"/>
        <v>9.8932467504904444</v>
      </c>
      <c r="Z753" s="5">
        <f>1</f>
        <v>1</v>
      </c>
      <c r="AA753" s="5">
        <f>IF(M753=0,0,const*($T753/omega)*O753*(wy*I753-wz*(H753-V753))/Z753)</f>
        <v>0</v>
      </c>
      <c r="AB753" s="5">
        <f>IF(M753=0,0,const*($T753/omega)*O753*(wz*(G753-U753)-wx*I753)/Z753)</f>
        <v>6.2926482074207231</v>
      </c>
      <c r="AC753" s="5">
        <f>IF(M753=0,0,const*($T753/omega)*O753*(wx*(H753-V753)-wy*(G753-U753))/Z753)</f>
        <v>7.2851897531355423</v>
      </c>
      <c r="AD753" s="5">
        <f t="shared" si="324"/>
        <v>0</v>
      </c>
      <c r="AE753" s="5">
        <f t="shared" si="324"/>
        <v>-5.1610637237372368</v>
      </c>
      <c r="AF753" s="5">
        <f t="shared" si="312"/>
        <v>-14.995563496374011</v>
      </c>
      <c r="AG753">
        <f t="shared" si="323"/>
        <v>0</v>
      </c>
    </row>
    <row r="754" spans="1:33" x14ac:dyDescent="0.2">
      <c r="A754">
        <f t="shared" si="313"/>
        <v>7.2199999999998905</v>
      </c>
      <c r="B754" s="5">
        <f t="shared" si="314"/>
        <v>0</v>
      </c>
      <c r="C754" s="5">
        <f t="shared" si="315"/>
        <v>1011.0448188489778</v>
      </c>
      <c r="D754" s="5">
        <f t="shared" si="316"/>
        <v>-148.10335841199154</v>
      </c>
      <c r="E754" s="2">
        <f t="shared" si="298"/>
        <v>337.01493961632593</v>
      </c>
      <c r="F754" s="2">
        <f t="shared" si="317"/>
        <v>0</v>
      </c>
      <c r="G754" s="3">
        <f t="shared" si="318"/>
        <v>0</v>
      </c>
      <c r="H754" s="3">
        <f t="shared" si="319"/>
        <v>97.675041258690086</v>
      </c>
      <c r="I754" s="3">
        <f t="shared" si="320"/>
        <v>-84.562230635139088</v>
      </c>
      <c r="J754" s="2">
        <f t="shared" si="299"/>
        <v>129.19436727225096</v>
      </c>
      <c r="K754" s="2">
        <f t="shared" si="321"/>
        <v>88.067053355317626</v>
      </c>
      <c r="L754" s="5">
        <f t="shared" si="300"/>
        <v>27.086469674476842</v>
      </c>
      <c r="M754" s="3">
        <f t="shared" si="301"/>
        <v>16.842751100765419</v>
      </c>
      <c r="N754" s="2">
        <v>0</v>
      </c>
      <c r="O754" s="2">
        <f t="shared" si="302"/>
        <v>129.19436727225096</v>
      </c>
      <c r="P754" s="2">
        <f t="shared" si="303"/>
        <v>88.067053355317626</v>
      </c>
      <c r="Q754" s="5">
        <f t="shared" si="304"/>
        <v>1.0888464668930879</v>
      </c>
      <c r="R754" s="5">
        <f t="shared" si="305"/>
        <v>0.15969053500494268</v>
      </c>
      <c r="S754" s="4">
        <f t="shared" si="322"/>
        <v>0.13036753425381722</v>
      </c>
      <c r="T754" s="5">
        <f t="shared" si="306"/>
        <v>0.10154984963259896</v>
      </c>
      <c r="U754" s="4">
        <f t="shared" si="307"/>
        <v>0</v>
      </c>
      <c r="V754" s="4">
        <f t="shared" si="308"/>
        <v>0</v>
      </c>
      <c r="W754" s="5">
        <f t="shared" si="309"/>
        <v>0</v>
      </c>
      <c r="X754" s="5">
        <f t="shared" si="310"/>
        <v>-11.451046994410712</v>
      </c>
      <c r="Y754" s="5">
        <f t="shared" si="311"/>
        <v>9.9137513993015443</v>
      </c>
      <c r="Z754" s="5">
        <f>1</f>
        <v>1</v>
      </c>
      <c r="AA754" s="5">
        <f>IF(M754=0,0,const*($T754/omega)*O754*(wy*I754-wz*(H754-V754))/Z754)</f>
        <v>0</v>
      </c>
      <c r="AB754" s="5">
        <f>IF(M754=0,0,const*($T754/omega)*O754*(wz*(G754-U754)-wx*I754)/Z754)</f>
        <v>6.3043183108058285</v>
      </c>
      <c r="AC754" s="5">
        <f>IF(M754=0,0,const*($T754/omega)*O754*(wx*(H754-V754)-wy*(G754-U754))/Z754)</f>
        <v>7.2819099790869881</v>
      </c>
      <c r="AD754" s="5">
        <f t="shared" si="324"/>
        <v>0</v>
      </c>
      <c r="AE754" s="5">
        <f t="shared" si="324"/>
        <v>-5.1467286836048833</v>
      </c>
      <c r="AF754" s="5">
        <f t="shared" si="312"/>
        <v>-14.978338621611467</v>
      </c>
      <c r="AG754">
        <f t="shared" si="323"/>
        <v>0</v>
      </c>
    </row>
    <row r="755" spans="1:33" x14ac:dyDescent="0.2">
      <c r="A755">
        <f t="shared" si="313"/>
        <v>7.2299999999998903</v>
      </c>
      <c r="B755" s="5">
        <f t="shared" si="314"/>
        <v>0</v>
      </c>
      <c r="C755" s="5">
        <f t="shared" si="315"/>
        <v>1012.0213119251305</v>
      </c>
      <c r="D755" s="5">
        <f t="shared" si="316"/>
        <v>-148.94972963527402</v>
      </c>
      <c r="E755" s="2">
        <f t="shared" si="298"/>
        <v>337.34043730837681</v>
      </c>
      <c r="F755" s="2">
        <f t="shared" si="317"/>
        <v>0</v>
      </c>
      <c r="G755" s="3">
        <f t="shared" si="318"/>
        <v>0</v>
      </c>
      <c r="H755" s="3">
        <f t="shared" si="319"/>
        <v>97.623573971854043</v>
      </c>
      <c r="I755" s="3">
        <f t="shared" si="320"/>
        <v>-84.712014021355202</v>
      </c>
      <c r="J755" s="2">
        <f t="shared" si="299"/>
        <v>129.25357834347309</v>
      </c>
      <c r="K755" s="2">
        <f t="shared" si="321"/>
        <v>88.107415367057314</v>
      </c>
      <c r="L755" s="5">
        <f t="shared" si="300"/>
        <v>27.074061361255605</v>
      </c>
      <c r="M755" s="3">
        <f t="shared" si="301"/>
        <v>16.834474561231129</v>
      </c>
      <c r="N755" s="2">
        <v>0</v>
      </c>
      <c r="O755" s="2">
        <f t="shared" si="302"/>
        <v>129.25357834347309</v>
      </c>
      <c r="P755" s="2">
        <f t="shared" si="303"/>
        <v>88.107415367057314</v>
      </c>
      <c r="Q755" s="5">
        <f t="shared" si="304"/>
        <v>1.0893454961237146</v>
      </c>
      <c r="R755" s="5">
        <f t="shared" si="305"/>
        <v>0.15966470470396504</v>
      </c>
      <c r="S755" s="4">
        <f t="shared" si="322"/>
        <v>0.13024377953000182</v>
      </c>
      <c r="T755" s="5">
        <f t="shared" si="306"/>
        <v>0.10151127912676934</v>
      </c>
      <c r="U755" s="4">
        <f t="shared" si="307"/>
        <v>0</v>
      </c>
      <c r="V755" s="4">
        <f t="shared" si="308"/>
        <v>0</v>
      </c>
      <c r="W755" s="5">
        <f t="shared" si="309"/>
        <v>0</v>
      </c>
      <c r="X755" s="5">
        <f t="shared" si="310"/>
        <v>-11.448406426356266</v>
      </c>
      <c r="Y755" s="5">
        <f t="shared" si="311"/>
        <v>9.9342559000275301</v>
      </c>
      <c r="Z755" s="5">
        <f>1</f>
        <v>1</v>
      </c>
      <c r="AA755" s="5">
        <f>IF(M755=0,0,const*($T755/omega)*O755*(wy*I755-wz*(H755-V755))/Z755)</f>
        <v>0</v>
      </c>
      <c r="AB755" s="5">
        <f>IF(M755=0,0,const*($T755/omega)*O755*(wz*(G755-U755)-wx*I755)/Z755)</f>
        <v>6.3159796365402148</v>
      </c>
      <c r="AC755" s="5">
        <f>IF(M755=0,0,const*($T755/omega)*O755*(wx*(H755-V755)-wy*(G755-U755))/Z755)</f>
        <v>7.2786429690724921</v>
      </c>
      <c r="AD755" s="5">
        <f t="shared" si="324"/>
        <v>0</v>
      </c>
      <c r="AE755" s="5">
        <f t="shared" si="324"/>
        <v>-5.1324267898160514</v>
      </c>
      <c r="AF755" s="5">
        <f t="shared" si="312"/>
        <v>-14.961101130899976</v>
      </c>
      <c r="AG755">
        <f t="shared" si="323"/>
        <v>0</v>
      </c>
    </row>
    <row r="756" spans="1:33" x14ac:dyDescent="0.2">
      <c r="A756">
        <f t="shared" si="313"/>
        <v>7.2399999999998901</v>
      </c>
      <c r="B756" s="5">
        <f t="shared" si="314"/>
        <v>0</v>
      </c>
      <c r="C756" s="5">
        <f t="shared" si="315"/>
        <v>1012.9972910435094</v>
      </c>
      <c r="D756" s="5">
        <f t="shared" si="316"/>
        <v>-149.79759783054411</v>
      </c>
      <c r="E756" s="2">
        <f t="shared" si="298"/>
        <v>337.66576368116984</v>
      </c>
      <c r="F756" s="2">
        <f t="shared" si="317"/>
        <v>0</v>
      </c>
      <c r="G756" s="3">
        <f t="shared" si="318"/>
        <v>0</v>
      </c>
      <c r="H756" s="3">
        <f t="shared" si="319"/>
        <v>97.572249703955876</v>
      </c>
      <c r="I756" s="3">
        <f t="shared" si="320"/>
        <v>-84.861625032664207</v>
      </c>
      <c r="J756" s="2">
        <f t="shared" si="299"/>
        <v>129.3129510740344</v>
      </c>
      <c r="K756" s="2">
        <f t="shared" si="321"/>
        <v>88.147887576028893</v>
      </c>
      <c r="L756" s="5">
        <f t="shared" si="300"/>
        <v>27.061630580447872</v>
      </c>
      <c r="M756" s="3">
        <f t="shared" si="301"/>
        <v>16.826190767043766</v>
      </c>
      <c r="N756" s="2">
        <v>0</v>
      </c>
      <c r="O756" s="2">
        <f t="shared" si="302"/>
        <v>129.3129510740344</v>
      </c>
      <c r="P756" s="2">
        <f t="shared" si="303"/>
        <v>88.147887576028893</v>
      </c>
      <c r="Q756" s="5">
        <f t="shared" si="304"/>
        <v>1.0898458878146715</v>
      </c>
      <c r="R756" s="5">
        <f t="shared" si="305"/>
        <v>0.15963885239583034</v>
      </c>
      <c r="S756" s="4">
        <f t="shared" si="322"/>
        <v>0.13011991936840431</v>
      </c>
      <c r="T756" s="5">
        <f t="shared" si="306"/>
        <v>0.10147265373555613</v>
      </c>
      <c r="U756" s="4">
        <f t="shared" si="307"/>
        <v>0</v>
      </c>
      <c r="V756" s="4">
        <f t="shared" si="308"/>
        <v>0</v>
      </c>
      <c r="W756" s="5">
        <f t="shared" si="309"/>
        <v>0</v>
      </c>
      <c r="X756" s="5">
        <f t="shared" si="310"/>
        <v>-11.44579009234331</v>
      </c>
      <c r="Y756" s="5">
        <f t="shared" si="311"/>
        <v>9.9547601901777316</v>
      </c>
      <c r="Z756" s="5">
        <f>1</f>
        <v>1</v>
      </c>
      <c r="AA756" s="5">
        <f>IF(M756=0,0,const*($T756/omega)*O756*(wy*I756-wz*(H756-V756))/Z756)</f>
        <v>0</v>
      </c>
      <c r="AB756" s="5">
        <f>IF(M756=0,0,const*($T756/omega)*O756*(wz*(G756-U756)-wx*I756)/Z756)</f>
        <v>6.3276321436697316</v>
      </c>
      <c r="AC756" s="5">
        <f>IF(M756=0,0,const*($T756/omega)*O756*(wx*(H756-V756)-wy*(G756-U756))/Z756)</f>
        <v>7.2753886496903144</v>
      </c>
      <c r="AD756" s="5">
        <f t="shared" si="324"/>
        <v>0</v>
      </c>
      <c r="AE756" s="5">
        <f t="shared" si="324"/>
        <v>-5.1181579486735789</v>
      </c>
      <c r="AF756" s="5">
        <f t="shared" si="312"/>
        <v>-14.943851160131953</v>
      </c>
      <c r="AG756">
        <f t="shared" si="323"/>
        <v>0</v>
      </c>
    </row>
    <row r="757" spans="1:33" x14ac:dyDescent="0.2">
      <c r="A757">
        <f t="shared" si="313"/>
        <v>7.2499999999998899</v>
      </c>
      <c r="B757" s="5">
        <f t="shared" si="314"/>
        <v>0</v>
      </c>
      <c r="C757" s="5">
        <f t="shared" si="315"/>
        <v>1013.9727576326516</v>
      </c>
      <c r="D757" s="5">
        <f t="shared" si="316"/>
        <v>-150.64696127342876</v>
      </c>
      <c r="E757" s="2">
        <f t="shared" si="298"/>
        <v>337.99091921088387</v>
      </c>
      <c r="F757" s="2">
        <f t="shared" si="317"/>
        <v>0</v>
      </c>
      <c r="G757" s="3">
        <f t="shared" si="318"/>
        <v>0</v>
      </c>
      <c r="H757" s="3">
        <f t="shared" si="319"/>
        <v>97.521068124469139</v>
      </c>
      <c r="I757" s="3">
        <f t="shared" si="320"/>
        <v>-85.011063544265525</v>
      </c>
      <c r="J757" s="2">
        <f t="shared" si="299"/>
        <v>129.37248414197086</v>
      </c>
      <c r="K757" s="2">
        <f t="shared" si="321"/>
        <v>88.188469081098063</v>
      </c>
      <c r="L757" s="5">
        <f t="shared" si="300"/>
        <v>27.049177685981928</v>
      </c>
      <c r="M757" s="3">
        <f t="shared" si="301"/>
        <v>16.817899755671544</v>
      </c>
      <c r="N757" s="2">
        <v>0</v>
      </c>
      <c r="O757" s="2">
        <f t="shared" si="302"/>
        <v>129.37248414197086</v>
      </c>
      <c r="P757" s="2">
        <f t="shared" si="303"/>
        <v>88.188469081098063</v>
      </c>
      <c r="Q757" s="5">
        <f t="shared" si="304"/>
        <v>1.0903476308244835</v>
      </c>
      <c r="R757" s="5">
        <f t="shared" si="305"/>
        <v>0.15961297854545142</v>
      </c>
      <c r="S757" s="4">
        <f t="shared" si="322"/>
        <v>0.12999595599645367</v>
      </c>
      <c r="T757" s="5">
        <f t="shared" si="306"/>
        <v>0.10143397406429426</v>
      </c>
      <c r="U757" s="4">
        <f t="shared" si="307"/>
        <v>0</v>
      </c>
      <c r="V757" s="4">
        <f t="shared" si="308"/>
        <v>0</v>
      </c>
      <c r="W757" s="5">
        <f t="shared" si="309"/>
        <v>0</v>
      </c>
      <c r="X757" s="5">
        <f t="shared" si="310"/>
        <v>-11.443197858417117</v>
      </c>
      <c r="Y757" s="5">
        <f t="shared" si="311"/>
        <v>9.9752642070110227</v>
      </c>
      <c r="Z757" s="5">
        <f>1</f>
        <v>1</v>
      </c>
      <c r="AA757" s="5">
        <f>IF(M757=0,0,const*($T757/omega)*O757*(wy*I757-wz*(H757-V757))/Z757)</f>
        <v>0</v>
      </c>
      <c r="AB757" s="5">
        <f>IF(M757=0,0,const*($T757/omega)*O757*(wz*(G757-U757)-wx*I757)/Z757)</f>
        <v>6.3392757912246465</v>
      </c>
      <c r="AC757" s="5">
        <f>IF(M757=0,0,const*($T757/omega)*O757*(wx*(H757-V757)-wy*(G757-U757))/Z757)</f>
        <v>7.2721469479547363</v>
      </c>
      <c r="AD757" s="5">
        <f t="shared" si="324"/>
        <v>0</v>
      </c>
      <c r="AE757" s="5">
        <f t="shared" si="324"/>
        <v>-5.1039220671924701</v>
      </c>
      <c r="AF757" s="5">
        <f t="shared" si="312"/>
        <v>-14.926588845034239</v>
      </c>
      <c r="AG757">
        <f t="shared" si="323"/>
        <v>0</v>
      </c>
    </row>
    <row r="758" spans="1:33" x14ac:dyDescent="0.2">
      <c r="A758">
        <f t="shared" si="313"/>
        <v>7.2599999999998897</v>
      </c>
      <c r="B758" s="5">
        <f t="shared" si="314"/>
        <v>0</v>
      </c>
      <c r="C758" s="5">
        <f t="shared" si="315"/>
        <v>1014.9477131177929</v>
      </c>
      <c r="D758" s="5">
        <f t="shared" si="316"/>
        <v>-151.49781823831367</v>
      </c>
      <c r="E758" s="2">
        <f t="shared" si="298"/>
        <v>338.31590437259763</v>
      </c>
      <c r="F758" s="2">
        <f t="shared" si="317"/>
        <v>0</v>
      </c>
      <c r="G758" s="3">
        <f t="shared" si="318"/>
        <v>0</v>
      </c>
      <c r="H758" s="3">
        <f t="shared" si="319"/>
        <v>97.470028903797214</v>
      </c>
      <c r="I758" s="3">
        <f t="shared" si="320"/>
        <v>-85.160329432715869</v>
      </c>
      <c r="J758" s="2">
        <f t="shared" si="299"/>
        <v>129.43217622985313</v>
      </c>
      <c r="K758" s="2">
        <f t="shared" si="321"/>
        <v>88.229158984221627</v>
      </c>
      <c r="L758" s="5">
        <f t="shared" si="300"/>
        <v>27.036703029844588</v>
      </c>
      <c r="M758" s="3">
        <f t="shared" si="301"/>
        <v>16.809601564640985</v>
      </c>
      <c r="N758" s="2">
        <v>0</v>
      </c>
      <c r="O758" s="2">
        <f t="shared" si="302"/>
        <v>129.43217622985313</v>
      </c>
      <c r="P758" s="2">
        <f t="shared" si="303"/>
        <v>88.229158984221627</v>
      </c>
      <c r="Q758" s="5">
        <f t="shared" si="304"/>
        <v>1.0908507140498931</v>
      </c>
      <c r="R758" s="5">
        <f t="shared" si="305"/>
        <v>0.15958708361513474</v>
      </c>
      <c r="S758" s="4">
        <f t="shared" si="322"/>
        <v>0.12987189162909171</v>
      </c>
      <c r="T758" s="5">
        <f t="shared" si="306"/>
        <v>0.1013952407157095</v>
      </c>
      <c r="U758" s="4">
        <f t="shared" si="307"/>
        <v>0</v>
      </c>
      <c r="V758" s="4">
        <f t="shared" si="308"/>
        <v>0</v>
      </c>
      <c r="W758" s="5">
        <f t="shared" si="309"/>
        <v>0</v>
      </c>
      <c r="X758" s="5">
        <f t="shared" si="310"/>
        <v>-11.440629591316331</v>
      </c>
      <c r="Y758" s="5">
        <f t="shared" si="311"/>
        <v>9.995767887540044</v>
      </c>
      <c r="Z758" s="5">
        <f>1</f>
        <v>1</v>
      </c>
      <c r="AA758" s="5">
        <f>IF(M758=0,0,const*($T758/omega)*O758*(wy*I758-wz*(H758-V758))/Z758)</f>
        <v>0</v>
      </c>
      <c r="AB758" s="5">
        <f>IF(M758=0,0,const*($T758/omega)*O758*(wz*(G758-U758)-wx*I758)/Z758)</f>
        <v>6.3509105382220454</v>
      </c>
      <c r="AC758" s="5">
        <f>IF(M758=0,0,const*($T758/omega)*O758*(wx*(H758-V758)-wy*(G758-U758))/Z758)</f>
        <v>7.2689177912940792</v>
      </c>
      <c r="AD758" s="5">
        <f t="shared" si="324"/>
        <v>0</v>
      </c>
      <c r="AE758" s="5">
        <f t="shared" si="324"/>
        <v>-5.0897190530942851</v>
      </c>
      <c r="AF758" s="5">
        <f t="shared" si="312"/>
        <v>-14.909314321165876</v>
      </c>
      <c r="AG758">
        <f t="shared" si="323"/>
        <v>0</v>
      </c>
    </row>
    <row r="759" spans="1:33" x14ac:dyDescent="0.2">
      <c r="A759">
        <f t="shared" si="313"/>
        <v>7.2699999999998894</v>
      </c>
      <c r="B759" s="5">
        <f t="shared" si="314"/>
        <v>0</v>
      </c>
      <c r="C759" s="5">
        <f t="shared" si="315"/>
        <v>1015.9221589208782</v>
      </c>
      <c r="D759" s="5">
        <f t="shared" si="316"/>
        <v>-152.35016699835688</v>
      </c>
      <c r="E759" s="2">
        <f t="shared" si="298"/>
        <v>338.64071964029273</v>
      </c>
      <c r="F759" s="2">
        <f t="shared" si="317"/>
        <v>0</v>
      </c>
      <c r="G759" s="3">
        <f t="shared" si="318"/>
        <v>0</v>
      </c>
      <c r="H759" s="3">
        <f t="shared" si="319"/>
        <v>97.419131713266268</v>
      </c>
      <c r="I759" s="3">
        <f t="shared" si="320"/>
        <v>-85.309422575927528</v>
      </c>
      <c r="J759" s="2">
        <f t="shared" si="299"/>
        <v>129.49202602479002</v>
      </c>
      <c r="K759" s="2">
        <f t="shared" si="321"/>
        <v>88.269956390449906</v>
      </c>
      <c r="L759" s="5">
        <f t="shared" si="300"/>
        <v>27.024206962080573</v>
      </c>
      <c r="M759" s="3">
        <f t="shared" si="301"/>
        <v>16.801296231535357</v>
      </c>
      <c r="N759" s="2">
        <v>0</v>
      </c>
      <c r="O759" s="2">
        <f t="shared" si="302"/>
        <v>129.49202602479002</v>
      </c>
      <c r="P759" s="2">
        <f t="shared" si="303"/>
        <v>88.269956390449906</v>
      </c>
      <c r="Q759" s="5">
        <f t="shared" si="304"/>
        <v>1.0913551264258909</v>
      </c>
      <c r="R759" s="5">
        <f t="shared" si="305"/>
        <v>0.15956116806457987</v>
      </c>
      <c r="S759" s="4">
        <f t="shared" si="322"/>
        <v>0.12974772846877003</v>
      </c>
      <c r="T759" s="5">
        <f t="shared" si="306"/>
        <v>0.10135645428991438</v>
      </c>
      <c r="U759" s="4">
        <f t="shared" si="307"/>
        <v>0</v>
      </c>
      <c r="V759" s="4">
        <f t="shared" si="308"/>
        <v>0</v>
      </c>
      <c r="W759" s="5">
        <f t="shared" si="309"/>
        <v>0</v>
      </c>
      <c r="X759" s="5">
        <f t="shared" si="310"/>
        <v>-11.438085158469775</v>
      </c>
      <c r="Y759" s="5">
        <f t="shared" si="311"/>
        <v>10.016271168535415</v>
      </c>
      <c r="Z759" s="5">
        <f>1</f>
        <v>1</v>
      </c>
      <c r="AA759" s="5">
        <f>IF(M759=0,0,const*($T759/omega)*O759*(wy*I759-wz*(H759-V759))/Z759)</f>
        <v>0</v>
      </c>
      <c r="AB759" s="5">
        <f>IF(M759=0,0,const*($T759/omega)*O759*(wz*(G759-U759)-wx*I759)/Z759)</f>
        <v>6.3625363436682507</v>
      </c>
      <c r="AC759" s="5">
        <f>IF(M759=0,0,const*($T759/omega)*O759*(wx*(H759-V759)-wy*(G759-U759))/Z759)</f>
        <v>7.2657011075487485</v>
      </c>
      <c r="AD759" s="5">
        <f t="shared" si="324"/>
        <v>0</v>
      </c>
      <c r="AE759" s="5">
        <f t="shared" si="324"/>
        <v>-5.0755488148015244</v>
      </c>
      <c r="AF759" s="5">
        <f t="shared" si="312"/>
        <v>-14.892027723915838</v>
      </c>
      <c r="AG759">
        <f t="shared" si="323"/>
        <v>0</v>
      </c>
    </row>
    <row r="760" spans="1:33" x14ac:dyDescent="0.2">
      <c r="A760">
        <f t="shared" si="313"/>
        <v>7.2799999999998892</v>
      </c>
      <c r="B760" s="5">
        <f t="shared" si="314"/>
        <v>0</v>
      </c>
      <c r="C760" s="5">
        <f t="shared" si="315"/>
        <v>1016.8960964605701</v>
      </c>
      <c r="D760" s="5">
        <f t="shared" si="316"/>
        <v>-153.20400582550235</v>
      </c>
      <c r="E760" s="2">
        <f t="shared" si="298"/>
        <v>338.96536548685668</v>
      </c>
      <c r="F760" s="2">
        <f t="shared" si="317"/>
        <v>0</v>
      </c>
      <c r="G760" s="3">
        <f t="shared" si="318"/>
        <v>0</v>
      </c>
      <c r="H760" s="3">
        <f t="shared" si="319"/>
        <v>97.368376225118254</v>
      </c>
      <c r="I760" s="3">
        <f t="shared" si="320"/>
        <v>-85.458342853166684</v>
      </c>
      <c r="J760" s="2">
        <f t="shared" si="299"/>
        <v>129.55203221843166</v>
      </c>
      <c r="K760" s="2">
        <f t="shared" si="321"/>
        <v>88.310860407928871</v>
      </c>
      <c r="L760" s="5">
        <f t="shared" si="300"/>
        <v>27.011689830792008</v>
      </c>
      <c r="M760" s="3">
        <f t="shared" si="301"/>
        <v>16.792983793993077</v>
      </c>
      <c r="N760" s="2">
        <v>0</v>
      </c>
      <c r="O760" s="2">
        <f t="shared" si="302"/>
        <v>129.55203221843166</v>
      </c>
      <c r="P760" s="2">
        <f t="shared" si="303"/>
        <v>88.310860407928871</v>
      </c>
      <c r="Q760" s="5">
        <f t="shared" si="304"/>
        <v>1.0918608569257409</v>
      </c>
      <c r="R760" s="5">
        <f t="shared" si="305"/>
        <v>0.15953523235087896</v>
      </c>
      <c r="S760" s="4">
        <f t="shared" si="322"/>
        <v>0.12962346870544808</v>
      </c>
      <c r="T760" s="5">
        <f t="shared" si="306"/>
        <v>0.10131761538440434</v>
      </c>
      <c r="U760" s="4">
        <f t="shared" si="307"/>
        <v>0</v>
      </c>
      <c r="V760" s="4">
        <f t="shared" si="308"/>
        <v>0</v>
      </c>
      <c r="W760" s="5">
        <f t="shared" si="309"/>
        <v>0</v>
      </c>
      <c r="X760" s="5">
        <f t="shared" si="310"/>
        <v>-11.435564427993233</v>
      </c>
      <c r="Y760" s="5">
        <f t="shared" si="311"/>
        <v>10.036773986529894</v>
      </c>
      <c r="Z760" s="5">
        <f>1</f>
        <v>1</v>
      </c>
      <c r="AA760" s="5">
        <f>IF(M760=0,0,const*($T760/omega)*O760*(wy*I760-wz*(H760-V760))/Z760)</f>
        <v>0</v>
      </c>
      <c r="AB760" s="5">
        <f>IF(M760=0,0,const*($T760/omega)*O760*(wz*(G760-U760)-wx*I760)/Z760)</f>
        <v>6.3741531665611904</v>
      </c>
      <c r="AC760" s="5">
        <f>IF(M760=0,0,const*($T760/omega)*O760*(wx*(H760-V760)-wy*(G760-U760))/Z760)</f>
        <v>7.2624968249692765</v>
      </c>
      <c r="AD760" s="5">
        <f t="shared" si="324"/>
        <v>0</v>
      </c>
      <c r="AE760" s="5">
        <f t="shared" si="324"/>
        <v>-5.0614112614320428</v>
      </c>
      <c r="AF760" s="5">
        <f t="shared" si="312"/>
        <v>-14.874729188500829</v>
      </c>
      <c r="AG760">
        <f t="shared" si="323"/>
        <v>0</v>
      </c>
    </row>
    <row r="761" spans="1:33" x14ac:dyDescent="0.2">
      <c r="A761">
        <f t="shared" si="313"/>
        <v>7.289999999999889</v>
      </c>
      <c r="B761" s="5">
        <f t="shared" si="314"/>
        <v>0</v>
      </c>
      <c r="C761" s="5">
        <f t="shared" si="315"/>
        <v>1017.8695271522582</v>
      </c>
      <c r="D761" s="5">
        <f t="shared" si="316"/>
        <v>-154.05933299049343</v>
      </c>
      <c r="E761" s="2">
        <f t="shared" si="298"/>
        <v>339.28984238408606</v>
      </c>
      <c r="F761" s="2">
        <f t="shared" si="317"/>
        <v>0</v>
      </c>
      <c r="G761" s="3">
        <f t="shared" si="318"/>
        <v>0</v>
      </c>
      <c r="H761" s="3">
        <f t="shared" si="319"/>
        <v>97.317762112503928</v>
      </c>
      <c r="I761" s="3">
        <f t="shared" si="320"/>
        <v>-85.607090145051686</v>
      </c>
      <c r="J761" s="2">
        <f t="shared" si="299"/>
        <v>129.6121935069726</v>
      </c>
      <c r="K761" s="2">
        <f t="shared" si="321"/>
        <v>88.351870147902247</v>
      </c>
      <c r="L761" s="5">
        <f t="shared" si="300"/>
        <v>26.999151982138116</v>
      </c>
      <c r="M761" s="3">
        <f t="shared" si="301"/>
        <v>16.784664289706164</v>
      </c>
      <c r="N761" s="2">
        <v>0</v>
      </c>
      <c r="O761" s="2">
        <f t="shared" si="302"/>
        <v>129.6121935069726</v>
      </c>
      <c r="P761" s="2">
        <f t="shared" si="303"/>
        <v>88.351870147902247</v>
      </c>
      <c r="Q761" s="5">
        <f t="shared" si="304"/>
        <v>1.0923678945610078</v>
      </c>
      <c r="R761" s="5">
        <f t="shared" si="305"/>
        <v>0.15950927692851655</v>
      </c>
      <c r="S761" s="4">
        <f t="shared" si="322"/>
        <v>0.1294991145165923</v>
      </c>
      <c r="T761" s="5">
        <f t="shared" si="306"/>
        <v>0.10127872459405399</v>
      </c>
      <c r="U761" s="4">
        <f t="shared" si="307"/>
        <v>0</v>
      </c>
      <c r="V761" s="4">
        <f t="shared" si="308"/>
        <v>0</v>
      </c>
      <c r="W761" s="5">
        <f t="shared" si="309"/>
        <v>0</v>
      </c>
      <c r="X761" s="5">
        <f t="shared" si="310"/>
        <v>-11.433067268686253</v>
      </c>
      <c r="Y761" s="5">
        <f t="shared" si="311"/>
        <v>10.057276277822551</v>
      </c>
      <c r="Z761" s="5">
        <f>1</f>
        <v>1</v>
      </c>
      <c r="AA761" s="5">
        <f>IF(M761=0,0,const*($T761/omega)*O761*(wy*I761-wz*(H761-V761))/Z761)</f>
        <v>0</v>
      </c>
      <c r="AB761" s="5">
        <f>IF(M761=0,0,const*($T761/omega)*O761*(wz*(G761-U761)-wx*I761)/Z761)</f>
        <v>6.3857609658927794</v>
      </c>
      <c r="AC761" s="5">
        <f>IF(M761=0,0,const*($T761/omega)*O761*(wx*(H761-V761)-wy*(G761-U761))/Z761)</f>
        <v>7.2593048722143507</v>
      </c>
      <c r="AD761" s="5">
        <f t="shared" si="324"/>
        <v>0</v>
      </c>
      <c r="AE761" s="5">
        <f t="shared" si="324"/>
        <v>-5.0473063027934737</v>
      </c>
      <c r="AF761" s="5">
        <f t="shared" si="312"/>
        <v>-14.857418849963096</v>
      </c>
      <c r="AG761">
        <f t="shared" si="323"/>
        <v>0</v>
      </c>
    </row>
    <row r="762" spans="1:33" x14ac:dyDescent="0.2">
      <c r="A762">
        <f t="shared" si="313"/>
        <v>7.2999999999998888</v>
      </c>
      <c r="B762" s="5">
        <f t="shared" si="314"/>
        <v>0</v>
      </c>
      <c r="C762" s="5">
        <f t="shared" si="315"/>
        <v>1018.8424524080681</v>
      </c>
      <c r="D762" s="5">
        <f t="shared" si="316"/>
        <v>-154.91614676288646</v>
      </c>
      <c r="E762" s="2">
        <f t="shared" si="298"/>
        <v>339.61415080268938</v>
      </c>
      <c r="F762" s="2">
        <f t="shared" si="317"/>
        <v>0</v>
      </c>
      <c r="G762" s="3">
        <f t="shared" si="318"/>
        <v>0</v>
      </c>
      <c r="H762" s="3">
        <f t="shared" si="319"/>
        <v>97.267289049475991</v>
      </c>
      <c r="I762" s="3">
        <f t="shared" si="320"/>
        <v>-85.755664333551323</v>
      </c>
      <c r="J762" s="2">
        <f t="shared" si="299"/>
        <v>129.6725085911545</v>
      </c>
      <c r="K762" s="2">
        <f t="shared" si="321"/>
        <v>88.392984724713358</v>
      </c>
      <c r="L762" s="5">
        <f t="shared" si="300"/>
        <v>26.986593760335094</v>
      </c>
      <c r="M762" s="3">
        <f t="shared" si="301"/>
        <v>16.77633775641867</v>
      </c>
      <c r="N762" s="2">
        <v>0</v>
      </c>
      <c r="O762" s="2">
        <f t="shared" si="302"/>
        <v>129.6725085911545</v>
      </c>
      <c r="P762" s="2">
        <f t="shared" si="303"/>
        <v>88.392984724713358</v>
      </c>
      <c r="Q762" s="5">
        <f t="shared" si="304"/>
        <v>1.0928762283815792</v>
      </c>
      <c r="R762" s="5">
        <f t="shared" si="305"/>
        <v>0.15948330224936969</v>
      </c>
      <c r="S762" s="4">
        <f t="shared" si="322"/>
        <v>0.12937466806717621</v>
      </c>
      <c r="T762" s="5">
        <f t="shared" si="306"/>
        <v>0.10123978251111378</v>
      </c>
      <c r="U762" s="4">
        <f t="shared" si="307"/>
        <v>0</v>
      </c>
      <c r="V762" s="4">
        <f t="shared" si="308"/>
        <v>0</v>
      </c>
      <c r="W762" s="5">
        <f t="shared" si="309"/>
        <v>0</v>
      </c>
      <c r="X762" s="5">
        <f t="shared" si="310"/>
        <v>-11.430593550028972</v>
      </c>
      <c r="Y762" s="5">
        <f t="shared" si="311"/>
        <v>10.077777978482914</v>
      </c>
      <c r="Z762" s="5">
        <f>1</f>
        <v>1</v>
      </c>
      <c r="AA762" s="5">
        <f>IF(M762=0,0,const*($T762/omega)*O762*(wy*I762-wz*(H762-V762))/Z762)</f>
        <v>0</v>
      </c>
      <c r="AB762" s="5">
        <f>IF(M762=0,0,const*($T762/omega)*O762*(wz*(G762-U762)-wx*I762)/Z762)</f>
        <v>6.3973597006512595</v>
      </c>
      <c r="AC762" s="5">
        <f>IF(M762=0,0,const*($T762/omega)*O762*(wx*(H762-V762)-wy*(G762-U762))/Z762)</f>
        <v>7.2561251783488618</v>
      </c>
      <c r="AD762" s="5">
        <f t="shared" si="324"/>
        <v>0</v>
      </c>
      <c r="AE762" s="5">
        <f t="shared" si="324"/>
        <v>-5.0332338493777122</v>
      </c>
      <c r="AF762" s="5">
        <f t="shared" si="312"/>
        <v>-14.840096843168226</v>
      </c>
      <c r="AG762">
        <f t="shared" si="323"/>
        <v>0</v>
      </c>
    </row>
    <row r="763" spans="1:33" x14ac:dyDescent="0.2">
      <c r="A763">
        <f t="shared" si="313"/>
        <v>7.3099999999998886</v>
      </c>
      <c r="B763" s="5">
        <f t="shared" si="314"/>
        <v>0</v>
      </c>
      <c r="C763" s="5">
        <f t="shared" si="315"/>
        <v>1019.8148736368704</v>
      </c>
      <c r="D763" s="5">
        <f t="shared" si="316"/>
        <v>-155.77444541106411</v>
      </c>
      <c r="E763" s="2">
        <f t="shared" si="298"/>
        <v>339.93829121229015</v>
      </c>
      <c r="F763" s="2">
        <f t="shared" si="317"/>
        <v>0</v>
      </c>
      <c r="G763" s="3">
        <f t="shared" si="318"/>
        <v>0</v>
      </c>
      <c r="H763" s="3">
        <f t="shared" si="319"/>
        <v>97.216956710982217</v>
      </c>
      <c r="I763" s="3">
        <f t="shared" si="320"/>
        <v>-85.90406530198301</v>
      </c>
      <c r="J763" s="2">
        <f t="shared" si="299"/>
        <v>129.73297617626889</v>
      </c>
      <c r="K763" s="2">
        <f t="shared" si="321"/>
        <v>88.434203255807006</v>
      </c>
      <c r="L763" s="5">
        <f t="shared" si="300"/>
        <v>26.974015507656041</v>
      </c>
      <c r="M763" s="3">
        <f t="shared" si="301"/>
        <v>16.76800423192514</v>
      </c>
      <c r="N763" s="2">
        <v>0</v>
      </c>
      <c r="O763" s="2">
        <f t="shared" si="302"/>
        <v>129.73297617626889</v>
      </c>
      <c r="P763" s="2">
        <f t="shared" si="303"/>
        <v>88.434203255807006</v>
      </c>
      <c r="Q763" s="5">
        <f t="shared" si="304"/>
        <v>1.093385847475689</v>
      </c>
      <c r="R763" s="5">
        <f t="shared" si="305"/>
        <v>0.15945730876270808</v>
      </c>
      <c r="S763" s="4">
        <f t="shared" si="322"/>
        <v>0.12925013150968157</v>
      </c>
      <c r="T763" s="5">
        <f t="shared" si="306"/>
        <v>0.10120078972520671</v>
      </c>
      <c r="U763" s="4">
        <f t="shared" si="307"/>
        <v>0</v>
      </c>
      <c r="V763" s="4">
        <f t="shared" si="308"/>
        <v>0</v>
      </c>
      <c r="W763" s="5">
        <f t="shared" si="309"/>
        <v>0</v>
      </c>
      <c r="X763" s="5">
        <f t="shared" si="310"/>
        <v>-11.428143142178921</v>
      </c>
      <c r="Y763" s="5">
        <f t="shared" si="311"/>
        <v>10.098279024355078</v>
      </c>
      <c r="Z763" s="5">
        <f>1</f>
        <v>1</v>
      </c>
      <c r="AA763" s="5">
        <f>IF(M763=0,0,const*($T763/omega)*O763*(wy*I763-wz*(H763-V763))/Z763)</f>
        <v>0</v>
      </c>
      <c r="AB763" s="5">
        <f>IF(M763=0,0,const*($T763/omega)*O763*(wz*(G763-U763)-wx*I763)/Z763)</f>
        <v>6.4089493298235434</v>
      </c>
      <c r="AC763" s="5">
        <f>IF(M763=0,0,const*($T763/omega)*O763*(wx*(H763-V763)-wy*(G763-U763))/Z763)</f>
        <v>7.252957672841954</v>
      </c>
      <c r="AD763" s="5">
        <f t="shared" si="324"/>
        <v>0</v>
      </c>
      <c r="AE763" s="5">
        <f t="shared" si="324"/>
        <v>-5.0191938123553781</v>
      </c>
      <c r="AF763" s="5">
        <f t="shared" si="312"/>
        <v>-14.822763302802969</v>
      </c>
      <c r="AG763">
        <f t="shared" si="323"/>
        <v>0</v>
      </c>
    </row>
    <row r="764" spans="1:33" x14ac:dyDescent="0.2">
      <c r="A764">
        <f t="shared" si="313"/>
        <v>7.3199999999998884</v>
      </c>
      <c r="B764" s="5">
        <f t="shared" si="314"/>
        <v>0</v>
      </c>
      <c r="C764" s="5">
        <f t="shared" si="315"/>
        <v>1020.7867922442897</v>
      </c>
      <c r="D764" s="5">
        <f t="shared" si="316"/>
        <v>-156.63422720224909</v>
      </c>
      <c r="E764" s="2">
        <f t="shared" si="298"/>
        <v>340.26226408142992</v>
      </c>
      <c r="F764" s="2">
        <f t="shared" si="317"/>
        <v>0</v>
      </c>
      <c r="G764" s="3">
        <f t="shared" si="318"/>
        <v>0</v>
      </c>
      <c r="H764" s="3">
        <f t="shared" si="319"/>
        <v>97.16676477285867</v>
      </c>
      <c r="I764" s="3">
        <f t="shared" si="320"/>
        <v>-86.052292935011039</v>
      </c>
      <c r="J764" s="2">
        <f t="shared" si="299"/>
        <v>129.79359497215955</v>
      </c>
      <c r="K764" s="2">
        <f t="shared" si="321"/>
        <v>88.475524861731117</v>
      </c>
      <c r="L764" s="5">
        <f t="shared" si="300"/>
        <v>26.961417564431176</v>
      </c>
      <c r="M764" s="3">
        <f t="shared" si="301"/>
        <v>16.75966375406907</v>
      </c>
      <c r="N764" s="2">
        <v>0</v>
      </c>
      <c r="O764" s="2">
        <f t="shared" si="302"/>
        <v>129.79359497215955</v>
      </c>
      <c r="P764" s="2">
        <f t="shared" si="303"/>
        <v>88.475524861731117</v>
      </c>
      <c r="Q764" s="5">
        <f t="shared" si="304"/>
        <v>1.0938967409699369</v>
      </c>
      <c r="R764" s="5">
        <f t="shared" si="305"/>
        <v>0.15943129691519461</v>
      </c>
      <c r="S764" s="4">
        <f t="shared" si="322"/>
        <v>0.12912550698410027</v>
      </c>
      <c r="T764" s="5">
        <f t="shared" si="306"/>
        <v>0.10116174682332534</v>
      </c>
      <c r="U764" s="4">
        <f t="shared" si="307"/>
        <v>0</v>
      </c>
      <c r="V764" s="4">
        <f t="shared" si="308"/>
        <v>0</v>
      </c>
      <c r="W764" s="5">
        <f t="shared" si="309"/>
        <v>0</v>
      </c>
      <c r="X764" s="5">
        <f t="shared" si="310"/>
        <v>-11.425715915967857</v>
      </c>
      <c r="Y764" s="5">
        <f t="shared" si="311"/>
        <v>10.118779351061827</v>
      </c>
      <c r="Z764" s="5">
        <f>1</f>
        <v>1</v>
      </c>
      <c r="AA764" s="5">
        <f>IF(M764=0,0,const*($T764/omega)*O764*(wy*I764-wz*(H764-V764))/Z764)</f>
        <v>0</v>
      </c>
      <c r="AB764" s="5">
        <f>IF(M764=0,0,const*($T764/omega)*O764*(wz*(G764-U764)-wx*I764)/Z764)</f>
        <v>6.4205298123975254</v>
      </c>
      <c r="AC764" s="5">
        <f>IF(M764=0,0,const*($T764/omega)*O764*(wx*(H764-V764)-wy*(G764-U764))/Z764)</f>
        <v>7.2498022855650559</v>
      </c>
      <c r="AD764" s="5">
        <f t="shared" si="324"/>
        <v>0</v>
      </c>
      <c r="AE764" s="5">
        <f t="shared" si="324"/>
        <v>-5.0051861035703311</v>
      </c>
      <c r="AF764" s="5">
        <f t="shared" si="312"/>
        <v>-14.805418363373118</v>
      </c>
      <c r="AG764">
        <f t="shared" si="323"/>
        <v>0</v>
      </c>
    </row>
    <row r="765" spans="1:33" x14ac:dyDescent="0.2">
      <c r="A765">
        <f t="shared" si="313"/>
        <v>7.3299999999998882</v>
      </c>
      <c r="B765" s="5">
        <f t="shared" si="314"/>
        <v>0</v>
      </c>
      <c r="C765" s="5">
        <f t="shared" si="315"/>
        <v>1021.7582096327131</v>
      </c>
      <c r="D765" s="5">
        <f t="shared" si="316"/>
        <v>-157.49549040251736</v>
      </c>
      <c r="E765" s="2">
        <f t="shared" si="298"/>
        <v>340.58606987757105</v>
      </c>
      <c r="F765" s="2">
        <f t="shared" si="317"/>
        <v>0</v>
      </c>
      <c r="G765" s="3">
        <f t="shared" si="318"/>
        <v>0</v>
      </c>
      <c r="H765" s="3">
        <f t="shared" si="319"/>
        <v>97.116712911822972</v>
      </c>
      <c r="I765" s="3">
        <f t="shared" si="320"/>
        <v>-86.200347118644771</v>
      </c>
      <c r="J765" s="2">
        <f t="shared" si="299"/>
        <v>129.85436369322477</v>
      </c>
      <c r="K765" s="2">
        <f t="shared" si="321"/>
        <v>88.516948666138219</v>
      </c>
      <c r="L765" s="5">
        <f t="shared" si="300"/>
        <v>26.948800269048128</v>
      </c>
      <c r="M765" s="3">
        <f t="shared" si="301"/>
        <v>16.751316360741388</v>
      </c>
      <c r="N765" s="2">
        <v>0</v>
      </c>
      <c r="O765" s="2">
        <f t="shared" si="302"/>
        <v>129.85436369322477</v>
      </c>
      <c r="P765" s="2">
        <f t="shared" si="303"/>
        <v>88.516948666138219</v>
      </c>
      <c r="Q765" s="5">
        <f t="shared" si="304"/>
        <v>1.0944088980293081</v>
      </c>
      <c r="R765" s="5">
        <f t="shared" si="305"/>
        <v>0.15940526715088585</v>
      </c>
      <c r="S765" s="4">
        <f t="shared" si="322"/>
        <v>0.12900079661793759</v>
      </c>
      <c r="T765" s="5">
        <f t="shared" si="306"/>
        <v>0.10112265438982894</v>
      </c>
      <c r="U765" s="4">
        <f t="shared" si="307"/>
        <v>0</v>
      </c>
      <c r="V765" s="4">
        <f t="shared" si="308"/>
        <v>0</v>
      </c>
      <c r="W765" s="5">
        <f t="shared" si="309"/>
        <v>0</v>
      </c>
      <c r="X765" s="5">
        <f t="shared" si="310"/>
        <v>-11.423311742898591</v>
      </c>
      <c r="Y765" s="5">
        <f t="shared" si="311"/>
        <v>10.139278894008706</v>
      </c>
      <c r="Z765" s="5">
        <f>1</f>
        <v>1</v>
      </c>
      <c r="AA765" s="5">
        <f>IF(M765=0,0,const*($T765/omega)*O765*(wy*I765-wz*(H765-V765))/Z765)</f>
        <v>0</v>
      </c>
      <c r="AB765" s="5">
        <f>IF(M765=0,0,const*($T765/omega)*O765*(wz*(G765-U765)-wx*I765)/Z765)</f>
        <v>6.4321011073643906</v>
      </c>
      <c r="AC765" s="5">
        <f>IF(M765=0,0,const*($T765/omega)*O765*(wx*(H765-V765)-wy*(G765-U765))/Z765)</f>
        <v>7.2466589467899469</v>
      </c>
      <c r="AD765" s="5">
        <f t="shared" si="324"/>
        <v>0</v>
      </c>
      <c r="AE765" s="5">
        <f t="shared" si="324"/>
        <v>-4.9912106355342001</v>
      </c>
      <c r="AF765" s="5">
        <f t="shared" si="312"/>
        <v>-14.788062159201345</v>
      </c>
      <c r="AG765">
        <f t="shared" si="323"/>
        <v>0</v>
      </c>
    </row>
    <row r="766" spans="1:33" x14ac:dyDescent="0.2">
      <c r="A766">
        <f t="shared" si="313"/>
        <v>7.3399999999998879</v>
      </c>
      <c r="B766" s="5">
        <f t="shared" si="314"/>
        <v>0</v>
      </c>
      <c r="C766" s="5">
        <f t="shared" si="315"/>
        <v>1022.7291272012997</v>
      </c>
      <c r="D766" s="5">
        <f t="shared" si="316"/>
        <v>-158.35823327681177</v>
      </c>
      <c r="E766" s="2">
        <f t="shared" si="298"/>
        <v>340.90970906709987</v>
      </c>
      <c r="F766" s="2">
        <f t="shared" si="317"/>
        <v>0</v>
      </c>
      <c r="G766" s="3">
        <f t="shared" si="318"/>
        <v>0</v>
      </c>
      <c r="H766" s="3">
        <f t="shared" si="319"/>
        <v>97.066800805467636</v>
      </c>
      <c r="I766" s="3">
        <f t="shared" si="320"/>
        <v>-86.34822774023678</v>
      </c>
      <c r="J766" s="2">
        <f t="shared" si="299"/>
        <v>129.91528105841948</v>
      </c>
      <c r="K766" s="2">
        <f t="shared" si="321"/>
        <v>88.558473795786966</v>
      </c>
      <c r="L766" s="5">
        <f t="shared" si="300"/>
        <v>26.936163957952356</v>
      </c>
      <c r="M766" s="3">
        <f t="shared" si="301"/>
        <v>16.742962089878933</v>
      </c>
      <c r="N766" s="2">
        <v>0</v>
      </c>
      <c r="O766" s="2">
        <f t="shared" si="302"/>
        <v>129.91528105841948</v>
      </c>
      <c r="P766" s="2">
        <f t="shared" si="303"/>
        <v>88.558473795786966</v>
      </c>
      <c r="Q766" s="5">
        <f t="shared" si="304"/>
        <v>1.094922307857191</v>
      </c>
      <c r="R766" s="5">
        <f t="shared" si="305"/>
        <v>0.15937921991123297</v>
      </c>
      <c r="S766" s="4">
        <f t="shared" si="322"/>
        <v>0.128876002526216</v>
      </c>
      <c r="T766" s="5">
        <f t="shared" si="306"/>
        <v>0.10108351300644101</v>
      </c>
      <c r="U766" s="4">
        <f t="shared" si="307"/>
        <v>0</v>
      </c>
      <c r="V766" s="4">
        <f t="shared" si="308"/>
        <v>0</v>
      </c>
      <c r="W766" s="5">
        <f t="shared" si="309"/>
        <v>0</v>
      </c>
      <c r="X766" s="5">
        <f t="shared" si="310"/>
        <v>-11.420930495141835</v>
      </c>
      <c r="Y766" s="5">
        <f t="shared" si="311"/>
        <v>10.159777588388103</v>
      </c>
      <c r="Z766" s="5">
        <f>1</f>
        <v>1</v>
      </c>
      <c r="AA766" s="5">
        <f>IF(M766=0,0,const*($T766/omega)*O766*(wy*I766-wz*(H766-V766))/Z766)</f>
        <v>0</v>
      </c>
      <c r="AB766" s="5">
        <f>IF(M766=0,0,const*($T766/omega)*O766*(wz*(G766-U766)-wx*I766)/Z766)</f>
        <v>6.4436631737208998</v>
      </c>
      <c r="AC766" s="5">
        <f>IF(M766=0,0,const*($T766/omega)*O766*(wx*(H766-V766)-wy*(G766-U766))/Z766)</f>
        <v>7.2435275871868043</v>
      </c>
      <c r="AD766" s="5">
        <f t="shared" si="324"/>
        <v>0</v>
      </c>
      <c r="AE766" s="5">
        <f t="shared" si="324"/>
        <v>-4.9772673214209355</v>
      </c>
      <c r="AF766" s="5">
        <f t="shared" si="312"/>
        <v>-14.770694824425092</v>
      </c>
      <c r="AG766">
        <f t="shared" si="323"/>
        <v>0</v>
      </c>
    </row>
    <row r="767" spans="1:33" x14ac:dyDescent="0.2">
      <c r="A767">
        <f t="shared" si="313"/>
        <v>7.3499999999998877</v>
      </c>
      <c r="B767" s="5">
        <f t="shared" si="314"/>
        <v>0</v>
      </c>
      <c r="C767" s="5">
        <f t="shared" si="315"/>
        <v>1023.6995463459882</v>
      </c>
      <c r="D767" s="5">
        <f t="shared" si="316"/>
        <v>-159.22245408895537</v>
      </c>
      <c r="E767" s="2">
        <f t="shared" si="298"/>
        <v>341.23318211532938</v>
      </c>
      <c r="F767" s="2">
        <f t="shared" si="317"/>
        <v>0</v>
      </c>
      <c r="G767" s="3">
        <f t="shared" si="318"/>
        <v>0</v>
      </c>
      <c r="H767" s="3">
        <f t="shared" si="319"/>
        <v>97.017028132253429</v>
      </c>
      <c r="I767" s="3">
        <f t="shared" si="320"/>
        <v>-86.495934688481029</v>
      </c>
      <c r="J767" s="2">
        <f t="shared" si="299"/>
        <v>129.97634579125705</v>
      </c>
      <c r="K767" s="2">
        <f t="shared" si="321"/>
        <v>88.600099380543313</v>
      </c>
      <c r="L767" s="5">
        <f t="shared" si="300"/>
        <v>26.923508965647809</v>
      </c>
      <c r="M767" s="3">
        <f t="shared" si="301"/>
        <v>16.734600979462932</v>
      </c>
      <c r="N767" s="2">
        <v>0</v>
      </c>
      <c r="O767" s="2">
        <f t="shared" si="302"/>
        <v>129.97634579125705</v>
      </c>
      <c r="P767" s="2">
        <f t="shared" si="303"/>
        <v>88.600099380543313</v>
      </c>
      <c r="Q767" s="5">
        <f t="shared" si="304"/>
        <v>1.0954369596953926</v>
      </c>
      <c r="R767" s="5">
        <f t="shared" si="305"/>
        <v>0.1593531556350827</v>
      </c>
      <c r="S767" s="4">
        <f t="shared" si="322"/>
        <v>0.12875112681148015</v>
      </c>
      <c r="T767" s="5">
        <f t="shared" si="306"/>
        <v>0.10104432325224676</v>
      </c>
      <c r="U767" s="4">
        <f t="shared" si="307"/>
        <v>0</v>
      </c>
      <c r="V767" s="4">
        <f t="shared" si="308"/>
        <v>0</v>
      </c>
      <c r="W767" s="5">
        <f t="shared" si="309"/>
        <v>0</v>
      </c>
      <c r="X767" s="5">
        <f t="shared" si="310"/>
        <v>-11.418572045533042</v>
      </c>
      <c r="Y767" s="5">
        <f t="shared" si="311"/>
        <v>10.180275369183281</v>
      </c>
      <c r="Z767" s="5">
        <f>1</f>
        <v>1</v>
      </c>
      <c r="AA767" s="5">
        <f>IF(M767=0,0,const*($T767/omega)*O767*(wy*I767-wz*(H767-V767))/Z767)</f>
        <v>0</v>
      </c>
      <c r="AB767" s="5">
        <f>IF(M767=0,0,const*($T767/omega)*O767*(wz*(G767-U767)-wx*I767)/Z767)</f>
        <v>6.4552159704716559</v>
      </c>
      <c r="AC767" s="5">
        <f>IF(M767=0,0,const*($T767/omega)*O767*(wx*(H767-V767)-wy*(G767-U767))/Z767)</f>
        <v>7.2404081378222536</v>
      </c>
      <c r="AD767" s="5">
        <f t="shared" si="324"/>
        <v>0</v>
      </c>
      <c r="AE767" s="5">
        <f t="shared" si="324"/>
        <v>-4.9633560750613857</v>
      </c>
      <c r="AF767" s="5">
        <f t="shared" si="312"/>
        <v>-14.753316492994465</v>
      </c>
      <c r="AG767">
        <f t="shared" si="323"/>
        <v>0</v>
      </c>
    </row>
    <row r="768" spans="1:33" x14ac:dyDescent="0.2">
      <c r="A768">
        <f t="shared" si="313"/>
        <v>7.3599999999998875</v>
      </c>
      <c r="B768" s="5">
        <f t="shared" si="314"/>
        <v>0</v>
      </c>
      <c r="C768" s="5">
        <f t="shared" si="315"/>
        <v>1024.669468459507</v>
      </c>
      <c r="D768" s="5">
        <f t="shared" si="316"/>
        <v>-160.08815110166483</v>
      </c>
      <c r="E768" s="2">
        <f t="shared" si="298"/>
        <v>341.55648948650236</v>
      </c>
      <c r="F768" s="2">
        <f t="shared" si="317"/>
        <v>0</v>
      </c>
      <c r="G768" s="3">
        <f t="shared" si="318"/>
        <v>0</v>
      </c>
      <c r="H768" s="3">
        <f t="shared" si="319"/>
        <v>96.967394571502822</v>
      </c>
      <c r="I768" s="3">
        <f t="shared" si="320"/>
        <v>-86.643467853410968</v>
      </c>
      <c r="J768" s="2">
        <f t="shared" si="299"/>
        <v>130.03755661981108</v>
      </c>
      <c r="K768" s="2">
        <f t="shared" si="321"/>
        <v>88.641824553381781</v>
      </c>
      <c r="L768" s="5">
        <f t="shared" si="300"/>
        <v>26.910835624697647</v>
      </c>
      <c r="M768" s="3">
        <f t="shared" si="301"/>
        <v>16.726233067517523</v>
      </c>
      <c r="N768" s="2">
        <v>0</v>
      </c>
      <c r="O768" s="2">
        <f t="shared" si="302"/>
        <v>130.03755661981108</v>
      </c>
      <c r="P768" s="2">
        <f t="shared" si="303"/>
        <v>88.641824553381781</v>
      </c>
      <c r="Q768" s="5">
        <f t="shared" si="304"/>
        <v>1.0959528428241532</v>
      </c>
      <c r="R768" s="5">
        <f t="shared" si="305"/>
        <v>0.15932707475867869</v>
      </c>
      <c r="S768" s="4">
        <f t="shared" si="322"/>
        <v>0.12862617156380265</v>
      </c>
      <c r="T768" s="5">
        <f t="shared" si="306"/>
        <v>0.10100508570369091</v>
      </c>
      <c r="U768" s="4">
        <f t="shared" si="307"/>
        <v>0</v>
      </c>
      <c r="V768" s="4">
        <f t="shared" si="308"/>
        <v>0</v>
      </c>
      <c r="W768" s="5">
        <f t="shared" si="309"/>
        <v>0</v>
      </c>
      <c r="X768" s="5">
        <f t="shared" si="310"/>
        <v>-11.416236267569266</v>
      </c>
      <c r="Y768" s="5">
        <f t="shared" si="311"/>
        <v>10.200772171172424</v>
      </c>
      <c r="Z768" s="5">
        <f>1</f>
        <v>1</v>
      </c>
      <c r="AA768" s="5">
        <f>IF(M768=0,0,const*($T768/omega)*O768*(wy*I768-wz*(H768-V768))/Z768)</f>
        <v>0</v>
      </c>
      <c r="AB768" s="5">
        <f>IF(M768=0,0,const*($T768/omega)*O768*(wz*(G768-U768)-wx*I768)/Z768)</f>
        <v>6.4667594566313529</v>
      </c>
      <c r="AC768" s="5">
        <f>IF(M768=0,0,const*($T768/omega)*O768*(wx*(H768-V768)-wy*(G768-U768))/Z768)</f>
        <v>7.237300530157432</v>
      </c>
      <c r="AD768" s="5">
        <f t="shared" si="324"/>
        <v>0</v>
      </c>
      <c r="AE768" s="5">
        <f t="shared" si="324"/>
        <v>-4.949476810937913</v>
      </c>
      <c r="AF768" s="5">
        <f t="shared" si="312"/>
        <v>-14.735927298670141</v>
      </c>
      <c r="AG768">
        <f t="shared" si="323"/>
        <v>0</v>
      </c>
    </row>
    <row r="769" spans="1:33" x14ac:dyDescent="0.2">
      <c r="A769">
        <f t="shared" si="313"/>
        <v>7.3699999999998873</v>
      </c>
      <c r="B769" s="5">
        <f t="shared" si="314"/>
        <v>0</v>
      </c>
      <c r="C769" s="5">
        <f t="shared" si="315"/>
        <v>1025.6388949313814</v>
      </c>
      <c r="D769" s="5">
        <f t="shared" si="316"/>
        <v>-160.9553225765639</v>
      </c>
      <c r="E769" s="2">
        <f t="shared" si="298"/>
        <v>341.8796316437938</v>
      </c>
      <c r="F769" s="2">
        <f t="shared" si="317"/>
        <v>0</v>
      </c>
      <c r="G769" s="3">
        <f t="shared" si="318"/>
        <v>0</v>
      </c>
      <c r="H769" s="3">
        <f t="shared" si="319"/>
        <v>96.917899803393439</v>
      </c>
      <c r="I769" s="3">
        <f t="shared" si="320"/>
        <v>-86.790827126397673</v>
      </c>
      <c r="J769" s="2">
        <f t="shared" si="299"/>
        <v>130.09891227671682</v>
      </c>
      <c r="K769" s="2">
        <f t="shared" si="321"/>
        <v>88.683648450386372</v>
      </c>
      <c r="L769" s="5">
        <f t="shared" si="300"/>
        <v>26.898144265725143</v>
      </c>
      <c r="M769" s="3">
        <f t="shared" si="301"/>
        <v>16.717858392108262</v>
      </c>
      <c r="N769" s="2">
        <v>0</v>
      </c>
      <c r="O769" s="2">
        <f t="shared" si="302"/>
        <v>130.09891227671682</v>
      </c>
      <c r="P769" s="2">
        <f t="shared" si="303"/>
        <v>88.683648450386372</v>
      </c>
      <c r="Q769" s="5">
        <f t="shared" si="304"/>
        <v>1.0964699465621586</v>
      </c>
      <c r="R769" s="5">
        <f t="shared" si="305"/>
        <v>0.15930097771566276</v>
      </c>
      <c r="S769" s="4">
        <f t="shared" si="322"/>
        <v>0.12850113886079106</v>
      </c>
      <c r="T769" s="5">
        <f t="shared" si="306"/>
        <v>0.10096580093457591</v>
      </c>
      <c r="U769" s="4">
        <f t="shared" si="307"/>
        <v>0</v>
      </c>
      <c r="V769" s="4">
        <f t="shared" si="308"/>
        <v>0</v>
      </c>
      <c r="W769" s="5">
        <f t="shared" si="309"/>
        <v>0</v>
      </c>
      <c r="X769" s="5">
        <f t="shared" si="310"/>
        <v>-11.413923035406015</v>
      </c>
      <c r="Y769" s="5">
        <f t="shared" si="311"/>
        <v>10.221267928932631</v>
      </c>
      <c r="Z769" s="5">
        <f>1</f>
        <v>1</v>
      </c>
      <c r="AA769" s="5">
        <f>IF(M769=0,0,const*($T769/omega)*O769*(wy*I769-wz*(H769-V769))/Z769)</f>
        <v>0</v>
      </c>
      <c r="AB769" s="5">
        <f>IF(M769=0,0,const*($T769/omega)*O769*(wz*(G769-U769)-wx*I769)/Z769)</f>
        <v>6.4782935912270245</v>
      </c>
      <c r="AC769" s="5">
        <f>IF(M769=0,0,const*($T769/omega)*O769*(wx*(H769-V769)-wy*(G769-U769))/Z769)</f>
        <v>7.2342046960460458</v>
      </c>
      <c r="AD769" s="5">
        <f t="shared" si="324"/>
        <v>0</v>
      </c>
      <c r="AE769" s="5">
        <f t="shared" si="324"/>
        <v>-4.9356294441789901</v>
      </c>
      <c r="AF769" s="5">
        <f t="shared" si="312"/>
        <v>-14.718527375021324</v>
      </c>
      <c r="AG769">
        <f t="shared" si="323"/>
        <v>0</v>
      </c>
    </row>
    <row r="770" spans="1:33" x14ac:dyDescent="0.2">
      <c r="A770">
        <f t="shared" si="313"/>
        <v>7.3799999999998871</v>
      </c>
      <c r="B770" s="5">
        <f t="shared" si="314"/>
        <v>0</v>
      </c>
      <c r="C770" s="5">
        <f t="shared" si="315"/>
        <v>1026.607827147943</v>
      </c>
      <c r="D770" s="5">
        <f t="shared" si="316"/>
        <v>-161.82396677419663</v>
      </c>
      <c r="E770" s="2">
        <f t="shared" si="298"/>
        <v>342.20260904931433</v>
      </c>
      <c r="F770" s="2">
        <f t="shared" si="317"/>
        <v>0</v>
      </c>
      <c r="G770" s="3">
        <f t="shared" si="318"/>
        <v>0</v>
      </c>
      <c r="H770" s="3">
        <f t="shared" si="319"/>
        <v>96.868543508951646</v>
      </c>
      <c r="I770" s="3">
        <f t="shared" si="320"/>
        <v>-86.938012400147883</v>
      </c>
      <c r="J770" s="2">
        <f t="shared" si="299"/>
        <v>130.16041149917254</v>
      </c>
      <c r="K770" s="2">
        <f t="shared" si="321"/>
        <v>88.725570210751556</v>
      </c>
      <c r="L770" s="5">
        <f t="shared" si="300"/>
        <v>26.885435217414745</v>
      </c>
      <c r="M770" s="3">
        <f t="shared" si="301"/>
        <v>16.70947699134063</v>
      </c>
      <c r="N770" s="2">
        <v>0</v>
      </c>
      <c r="O770" s="2">
        <f t="shared" si="302"/>
        <v>130.16041149917254</v>
      </c>
      <c r="P770" s="2">
        <f t="shared" si="303"/>
        <v>88.725570210751556</v>
      </c>
      <c r="Q770" s="5">
        <f t="shared" si="304"/>
        <v>1.0969882602665515</v>
      </c>
      <c r="R770" s="5">
        <f t="shared" si="305"/>
        <v>0.1592748649370766</v>
      </c>
      <c r="S770" s="4">
        <f t="shared" si="322"/>
        <v>0.12837603076759524</v>
      </c>
      <c r="T770" s="5">
        <f t="shared" si="306"/>
        <v>0.10092646951605994</v>
      </c>
      <c r="U770" s="4">
        <f t="shared" si="307"/>
        <v>0</v>
      </c>
      <c r="V770" s="4">
        <f t="shared" si="308"/>
        <v>0</v>
      </c>
      <c r="W770" s="5">
        <f t="shared" si="309"/>
        <v>0</v>
      </c>
      <c r="X770" s="5">
        <f t="shared" si="310"/>
        <v>-11.411632223854129</v>
      </c>
      <c r="Y770" s="5">
        <f t="shared" si="311"/>
        <v>10.241762576843914</v>
      </c>
      <c r="Z770" s="5">
        <f>1</f>
        <v>1</v>
      </c>
      <c r="AA770" s="5">
        <f>IF(M770=0,0,const*($T770/omega)*O770*(wy*I770-wz*(H770-V770))/Z770)</f>
        <v>0</v>
      </c>
      <c r="AB770" s="5">
        <f>IF(M770=0,0,const*($T770/omega)*O770*(wz*(G770-U770)-wx*I770)/Z770)</f>
        <v>6.4898183333002493</v>
      </c>
      <c r="AC770" s="5">
        <f>IF(M770=0,0,const*($T770/omega)*O770*(wx*(H770-V770)-wy*(G770-U770))/Z770)</f>
        <v>7.2311205677324395</v>
      </c>
      <c r="AD770" s="5">
        <f t="shared" si="324"/>
        <v>0</v>
      </c>
      <c r="AE770" s="5">
        <f t="shared" si="324"/>
        <v>-4.9218138905538797</v>
      </c>
      <c r="AF770" s="5">
        <f t="shared" si="312"/>
        <v>-14.701116855423646</v>
      </c>
      <c r="AG770">
        <f t="shared" si="323"/>
        <v>0</v>
      </c>
    </row>
    <row r="771" spans="1:33" x14ac:dyDescent="0.2">
      <c r="A771">
        <f t="shared" si="313"/>
        <v>7.3899999999998869</v>
      </c>
      <c r="B771" s="5">
        <f t="shared" si="314"/>
        <v>0</v>
      </c>
      <c r="C771" s="5">
        <f t="shared" si="315"/>
        <v>1027.5762664923382</v>
      </c>
      <c r="D771" s="5">
        <f t="shared" si="316"/>
        <v>-162.69408195404088</v>
      </c>
      <c r="E771" s="2">
        <f t="shared" si="298"/>
        <v>342.52542216411274</v>
      </c>
      <c r="F771" s="2">
        <f t="shared" si="317"/>
        <v>0</v>
      </c>
      <c r="G771" s="3">
        <f t="shared" si="318"/>
        <v>0</v>
      </c>
      <c r="H771" s="3">
        <f t="shared" si="319"/>
        <v>96.819325370046101</v>
      </c>
      <c r="I771" s="3">
        <f t="shared" si="320"/>
        <v>-87.085023568702127</v>
      </c>
      <c r="J771" s="2">
        <f t="shared" si="299"/>
        <v>130.22205302894073</v>
      </c>
      <c r="K771" s="2">
        <f t="shared" si="321"/>
        <v>88.767588976783045</v>
      </c>
      <c r="L771" s="5">
        <f t="shared" si="300"/>
        <v>26.872708806513234</v>
      </c>
      <c r="M771" s="3">
        <f t="shared" si="301"/>
        <v>16.701088903358581</v>
      </c>
      <c r="N771" s="2">
        <v>0</v>
      </c>
      <c r="O771" s="2">
        <f t="shared" si="302"/>
        <v>130.22205302894073</v>
      </c>
      <c r="P771" s="2">
        <f t="shared" si="303"/>
        <v>88.767588976783045</v>
      </c>
      <c r="Q771" s="5">
        <f t="shared" si="304"/>
        <v>1.0975077733329419</v>
      </c>
      <c r="R771" s="5">
        <f t="shared" si="305"/>
        <v>0.15924873685136348</v>
      </c>
      <c r="S771" s="4">
        <f t="shared" si="322"/>
        <v>0.12825084933691613</v>
      </c>
      <c r="T771" s="5">
        <f t="shared" si="306"/>
        <v>0.1008870920166554</v>
      </c>
      <c r="U771" s="4">
        <f t="shared" si="307"/>
        <v>0</v>
      </c>
      <c r="V771" s="4">
        <f t="shared" si="308"/>
        <v>0</v>
      </c>
      <c r="W771" s="5">
        <f t="shared" si="309"/>
        <v>0</v>
      </c>
      <c r="X771" s="5">
        <f t="shared" si="310"/>
        <v>-11.409363708376649</v>
      </c>
      <c r="Y771" s="5">
        <f t="shared" si="311"/>
        <v>10.262256049093168</v>
      </c>
      <c r="Z771" s="5">
        <f>1</f>
        <v>1</v>
      </c>
      <c r="AA771" s="5">
        <f>IF(M771=0,0,const*($T771/omega)*O771*(wy*I771-wz*(H771-V771))/Z771)</f>
        <v>0</v>
      </c>
      <c r="AB771" s="5">
        <f>IF(M771=0,0,const*($T771/omega)*O771*(wz*(G771-U771)-wx*I771)/Z771)</f>
        <v>6.5013336419093637</v>
      </c>
      <c r="AC771" s="5">
        <f>IF(M771=0,0,const*($T771/omega)*O771*(wx*(H771-V771)-wy*(G771-U771))/Z771)</f>
        <v>7.2280480778496576</v>
      </c>
      <c r="AD771" s="5">
        <f t="shared" si="324"/>
        <v>0</v>
      </c>
      <c r="AE771" s="5">
        <f t="shared" si="324"/>
        <v>-4.9080300664672851</v>
      </c>
      <c r="AF771" s="5">
        <f t="shared" si="312"/>
        <v>-14.683695873057175</v>
      </c>
      <c r="AG771">
        <f t="shared" si="323"/>
        <v>0</v>
      </c>
    </row>
    <row r="772" spans="1:33" x14ac:dyDescent="0.2">
      <c r="A772">
        <f t="shared" si="313"/>
        <v>7.3999999999998867</v>
      </c>
      <c r="B772" s="5">
        <f t="shared" si="314"/>
        <v>0</v>
      </c>
      <c r="C772" s="5">
        <f t="shared" si="315"/>
        <v>1028.5442143445352</v>
      </c>
      <c r="D772" s="5">
        <f t="shared" si="316"/>
        <v>-163.56566637452156</v>
      </c>
      <c r="E772" s="2">
        <f t="shared" si="298"/>
        <v>342.84807144817842</v>
      </c>
      <c r="F772" s="2">
        <f t="shared" si="317"/>
        <v>0</v>
      </c>
      <c r="G772" s="3">
        <f t="shared" si="318"/>
        <v>0</v>
      </c>
      <c r="H772" s="3">
        <f t="shared" si="319"/>
        <v>96.770245069381431</v>
      </c>
      <c r="I772" s="3">
        <f t="shared" si="320"/>
        <v>-87.231860527432701</v>
      </c>
      <c r="J772" s="2">
        <f t="shared" si="299"/>
        <v>130.28383561234912</v>
      </c>
      <c r="K772" s="2">
        <f t="shared" si="321"/>
        <v>88.809703893898515</v>
      </c>
      <c r="L772" s="5">
        <f t="shared" si="300"/>
        <v>26.859965357831019</v>
      </c>
      <c r="M772" s="3">
        <f t="shared" si="301"/>
        <v>16.69269416634306</v>
      </c>
      <c r="N772" s="2">
        <v>0</v>
      </c>
      <c r="O772" s="2">
        <f t="shared" si="302"/>
        <v>130.28383561234912</v>
      </c>
      <c r="P772" s="2">
        <f t="shared" si="303"/>
        <v>88.809703893898515</v>
      </c>
      <c r="Q772" s="5">
        <f t="shared" si="304"/>
        <v>1.0980284751954157</v>
      </c>
      <c r="R772" s="5">
        <f t="shared" si="305"/>
        <v>0.15922259388437029</v>
      </c>
      <c r="S772" s="4">
        <f t="shared" si="322"/>
        <v>0.12812559660901496</v>
      </c>
      <c r="T772" s="5">
        <f t="shared" si="306"/>
        <v>0.10084766900222747</v>
      </c>
      <c r="U772" s="4">
        <f t="shared" si="307"/>
        <v>0</v>
      </c>
      <c r="V772" s="4">
        <f t="shared" si="308"/>
        <v>0</v>
      </c>
      <c r="W772" s="5">
        <f t="shared" si="309"/>
        <v>0</v>
      </c>
      <c r="X772" s="5">
        <f t="shared" si="310"/>
        <v>-11.407117365085716</v>
      </c>
      <c r="Y772" s="5">
        <f t="shared" si="311"/>
        <v>10.282748279678128</v>
      </c>
      <c r="Z772" s="5">
        <f>1</f>
        <v>1</v>
      </c>
      <c r="AA772" s="5">
        <f>IF(M772=0,0,const*($T772/omega)*O772*(wy*I772-wz*(H772-V772))/Z772)</f>
        <v>0</v>
      </c>
      <c r="AB772" s="5">
        <f>IF(M772=0,0,const*($T772/omega)*O772*(wz*(G772-U772)-wx*I772)/Z772)</f>
        <v>6.5128394761316439</v>
      </c>
      <c r="AC772" s="5">
        <f>IF(M772=0,0,const*($T772/omega)*O772*(wx*(H772-V772)-wy*(G772-U772))/Z772)</f>
        <v>7.2249871594175161</v>
      </c>
      <c r="AD772" s="5">
        <f t="shared" si="324"/>
        <v>0</v>
      </c>
      <c r="AE772" s="5">
        <f t="shared" si="324"/>
        <v>-4.8942778889540719</v>
      </c>
      <c r="AF772" s="5">
        <f t="shared" si="312"/>
        <v>-14.666264560904356</v>
      </c>
      <c r="AG772">
        <f t="shared" si="323"/>
        <v>0</v>
      </c>
    </row>
    <row r="773" spans="1:33" x14ac:dyDescent="0.2">
      <c r="A773">
        <f t="shared" si="313"/>
        <v>7.4099999999998865</v>
      </c>
      <c r="B773" s="5">
        <f t="shared" si="314"/>
        <v>0</v>
      </c>
      <c r="C773" s="5">
        <f t="shared" si="315"/>
        <v>1029.5116720813346</v>
      </c>
      <c r="D773" s="5">
        <f t="shared" si="316"/>
        <v>-164.43871829302392</v>
      </c>
      <c r="E773" s="2">
        <f t="shared" si="298"/>
        <v>343.17055736044489</v>
      </c>
      <c r="F773" s="2">
        <f t="shared" si="317"/>
        <v>0</v>
      </c>
      <c r="G773" s="3">
        <f t="shared" si="318"/>
        <v>0</v>
      </c>
      <c r="H773" s="3">
        <f t="shared" si="319"/>
        <v>96.721302290491892</v>
      </c>
      <c r="I773" s="3">
        <f t="shared" si="320"/>
        <v>-87.378523173041742</v>
      </c>
      <c r="J773" s="2">
        <f t="shared" si="299"/>
        <v>130.34575800029131</v>
      </c>
      <c r="K773" s="2">
        <f t="shared" si="321"/>
        <v>88.851914110628016</v>
      </c>
      <c r="L773" s="5">
        <f t="shared" si="300"/>
        <v>26.847205194243671</v>
      </c>
      <c r="M773" s="3">
        <f t="shared" si="301"/>
        <v>16.684292818510581</v>
      </c>
      <c r="N773" s="2">
        <v>0</v>
      </c>
      <c r="O773" s="2">
        <f t="shared" si="302"/>
        <v>130.34575800029131</v>
      </c>
      <c r="P773" s="2">
        <f t="shared" si="303"/>
        <v>88.851914110628016</v>
      </c>
      <c r="Q773" s="5">
        <f t="shared" si="304"/>
        <v>1.0985503553265388</v>
      </c>
      <c r="R773" s="5">
        <f t="shared" si="305"/>
        <v>0.15919643645934969</v>
      </c>
      <c r="S773" s="4">
        <f t="shared" si="322"/>
        <v>0.12800027461172378</v>
      </c>
      <c r="T773" s="5">
        <f t="shared" si="306"/>
        <v>0.10080820103599297</v>
      </c>
      <c r="U773" s="4">
        <f t="shared" si="307"/>
        <v>0</v>
      </c>
      <c r="V773" s="4">
        <f t="shared" si="308"/>
        <v>0</v>
      </c>
      <c r="W773" s="5">
        <f t="shared" si="309"/>
        <v>0</v>
      </c>
      <c r="X773" s="5">
        <f t="shared" si="310"/>
        <v>-11.404893070739439</v>
      </c>
      <c r="Y773" s="5">
        <f t="shared" si="311"/>
        <v>10.303239202411294</v>
      </c>
      <c r="Z773" s="5">
        <f>1</f>
        <v>1</v>
      </c>
      <c r="AA773" s="5">
        <f>IF(M773=0,0,const*($T773/omega)*O773*(wy*I773-wz*(H773-V773))/Z773)</f>
        <v>0</v>
      </c>
      <c r="AB773" s="5">
        <f>IF(M773=0,0,const*($T773/omega)*O773*(wz*(G773-U773)-wx*I773)/Z773)</f>
        <v>6.5243357950654737</v>
      </c>
      <c r="AC773" s="5">
        <f>IF(M773=0,0,const*($T773/omega)*O773*(wx*(H773-V773)-wy*(G773-U773))/Z773)</f>
        <v>7.2219377458406777</v>
      </c>
      <c r="AD773" s="5">
        <f t="shared" si="324"/>
        <v>0</v>
      </c>
      <c r="AE773" s="5">
        <f t="shared" si="324"/>
        <v>-4.880557275673965</v>
      </c>
      <c r="AF773" s="5">
        <f t="shared" si="312"/>
        <v>-14.648823051748028</v>
      </c>
      <c r="AG773">
        <f t="shared" si="323"/>
        <v>0</v>
      </c>
    </row>
    <row r="774" spans="1:33" x14ac:dyDescent="0.2">
      <c r="A774">
        <f t="shared" si="313"/>
        <v>7.4199999999998862</v>
      </c>
      <c r="B774" s="5">
        <f t="shared" si="314"/>
        <v>0</v>
      </c>
      <c r="C774" s="5">
        <f t="shared" si="315"/>
        <v>1030.4786410763757</v>
      </c>
      <c r="D774" s="5">
        <f t="shared" si="316"/>
        <v>-165.31323596590693</v>
      </c>
      <c r="E774" s="2">
        <f t="shared" si="298"/>
        <v>343.49288035879187</v>
      </c>
      <c r="F774" s="2">
        <f t="shared" si="317"/>
        <v>0</v>
      </c>
      <c r="G774" s="3">
        <f t="shared" si="318"/>
        <v>0</v>
      </c>
      <c r="H774" s="3">
        <f t="shared" si="319"/>
        <v>96.672496717735157</v>
      </c>
      <c r="I774" s="3">
        <f t="shared" si="320"/>
        <v>-87.525011403559219</v>
      </c>
      <c r="J774" s="2">
        <f t="shared" si="299"/>
        <v>130.40781894822751</v>
      </c>
      <c r="K774" s="2">
        <f t="shared" si="321"/>
        <v>88.89421877861453</v>
      </c>
      <c r="L774" s="5">
        <f t="shared" si="300"/>
        <v>26.834428636693431</v>
      </c>
      <c r="M774" s="3">
        <f t="shared" si="301"/>
        <v>16.675884898111757</v>
      </c>
      <c r="N774" s="2">
        <v>0</v>
      </c>
      <c r="O774" s="2">
        <f t="shared" si="302"/>
        <v>130.40781894822751</v>
      </c>
      <c r="P774" s="2">
        <f t="shared" si="303"/>
        <v>88.89421877861453</v>
      </c>
      <c r="Q774" s="5">
        <f t="shared" si="304"/>
        <v>1.0990734032373659</v>
      </c>
      <c r="R774" s="5">
        <f t="shared" si="305"/>
        <v>0.15917026499696232</v>
      </c>
      <c r="S774" s="4">
        <f t="shared" si="322"/>
        <v>0.12787488536045646</v>
      </c>
      <c r="T774" s="5">
        <f t="shared" si="306"/>
        <v>0.10076868867851935</v>
      </c>
      <c r="U774" s="4">
        <f t="shared" si="307"/>
        <v>0</v>
      </c>
      <c r="V774" s="4">
        <f t="shared" si="308"/>
        <v>0</v>
      </c>
      <c r="W774" s="5">
        <f t="shared" si="309"/>
        <v>0</v>
      </c>
      <c r="X774" s="5">
        <f t="shared" si="310"/>
        <v>-11.402690702738809</v>
      </c>
      <c r="Y774" s="5">
        <f t="shared" si="311"/>
        <v>10.32372875092384</v>
      </c>
      <c r="Z774" s="5">
        <f>1</f>
        <v>1</v>
      </c>
      <c r="AA774" s="5">
        <f>IF(M774=0,0,const*($T774/omega)*O774*(wy*I774-wz*(H774-V774))/Z774)</f>
        <v>0</v>
      </c>
      <c r="AB774" s="5">
        <f>IF(M774=0,0,const*($T774/omega)*O774*(wz*(G774-U774)-wx*I774)/Z774)</f>
        <v>6.5358225578325033</v>
      </c>
      <c r="AC774" s="5">
        <f>IF(M774=0,0,const*($T774/omega)*O774*(wx*(H774-V774)-wy*(G774-U774))/Z774)</f>
        <v>7.2188997709067246</v>
      </c>
      <c r="AD774" s="5">
        <f t="shared" si="324"/>
        <v>0</v>
      </c>
      <c r="AE774" s="5">
        <f t="shared" si="324"/>
        <v>-4.8668681449063058</v>
      </c>
      <c r="AF774" s="5">
        <f t="shared" si="312"/>
        <v>-14.631371478169434</v>
      </c>
      <c r="AG774">
        <f t="shared" si="323"/>
        <v>0</v>
      </c>
    </row>
    <row r="775" spans="1:33" x14ac:dyDescent="0.2">
      <c r="A775">
        <f t="shared" si="313"/>
        <v>7.429999999999886</v>
      </c>
      <c r="B775" s="5">
        <f t="shared" si="314"/>
        <v>0</v>
      </c>
      <c r="C775" s="5">
        <f t="shared" si="315"/>
        <v>1031.4451227001457</v>
      </c>
      <c r="D775" s="5">
        <f t="shared" si="316"/>
        <v>-166.18921764851643</v>
      </c>
      <c r="E775" s="2">
        <f t="shared" si="298"/>
        <v>343.81504090004859</v>
      </c>
      <c r="F775" s="2">
        <f t="shared" si="317"/>
        <v>0</v>
      </c>
      <c r="G775" s="3">
        <f t="shared" si="318"/>
        <v>0</v>
      </c>
      <c r="H775" s="3">
        <f t="shared" si="319"/>
        <v>96.623828036286099</v>
      </c>
      <c r="I775" s="3">
        <f t="shared" si="320"/>
        <v>-87.671325118340917</v>
      </c>
      <c r="J775" s="2">
        <f t="shared" si="299"/>
        <v>130.47001721618506</v>
      </c>
      <c r="K775" s="2">
        <f t="shared" si="321"/>
        <v>88.93661705261421</v>
      </c>
      <c r="L775" s="5">
        <f t="shared" si="300"/>
        <v>26.821636004191003</v>
      </c>
      <c r="M775" s="3">
        <f t="shared" si="301"/>
        <v>16.667470443429892</v>
      </c>
      <c r="N775" s="2">
        <v>0</v>
      </c>
      <c r="O775" s="2">
        <f t="shared" si="302"/>
        <v>130.47001721618506</v>
      </c>
      <c r="P775" s="2">
        <f t="shared" si="303"/>
        <v>88.93661705261421</v>
      </c>
      <c r="Q775" s="5">
        <f t="shared" si="304"/>
        <v>1.0995976084774419</v>
      </c>
      <c r="R775" s="5">
        <f t="shared" si="305"/>
        <v>0.15914407991527946</v>
      </c>
      <c r="S775" s="4">
        <f t="shared" si="322"/>
        <v>0.12774943085822066</v>
      </c>
      <c r="T775" s="5">
        <f t="shared" si="306"/>
        <v>0.10072913248772374</v>
      </c>
      <c r="U775" s="4">
        <f t="shared" si="307"/>
        <v>0</v>
      </c>
      <c r="V775" s="4">
        <f t="shared" si="308"/>
        <v>0</v>
      </c>
      <c r="W775" s="5">
        <f t="shared" si="309"/>
        <v>0</v>
      </c>
      <c r="X775" s="5">
        <f t="shared" si="310"/>
        <v>-11.400510139124611</v>
      </c>
      <c r="Y775" s="5">
        <f t="shared" si="311"/>
        <v>10.344216858669524</v>
      </c>
      <c r="Z775" s="5">
        <f>1</f>
        <v>1</v>
      </c>
      <c r="AA775" s="5">
        <f>IF(M775=0,0,const*($T775/omega)*O775*(wy*I775-wz*(H775-V775))/Z775)</f>
        <v>0</v>
      </c>
      <c r="AB775" s="5">
        <f>IF(M775=0,0,const*($T775/omega)*O775*(wz*(G775-U775)-wx*I775)/Z775)</f>
        <v>6.5472997235797816</v>
      </c>
      <c r="AC775" s="5">
        <f>IF(M775=0,0,const*($T775/omega)*O775*(wx*(H775-V775)-wy*(G775-U775))/Z775)</f>
        <v>7.2158731687842446</v>
      </c>
      <c r="AD775" s="5">
        <f t="shared" si="324"/>
        <v>0</v>
      </c>
      <c r="AE775" s="5">
        <f t="shared" si="324"/>
        <v>-4.8532104155448295</v>
      </c>
      <c r="AF775" s="5">
        <f t="shared" si="312"/>
        <v>-14.613909972546232</v>
      </c>
      <c r="AG775">
        <f t="shared" si="323"/>
        <v>0</v>
      </c>
    </row>
    <row r="776" spans="1:33" x14ac:dyDescent="0.2">
      <c r="A776">
        <f t="shared" si="313"/>
        <v>7.4399999999998858</v>
      </c>
      <c r="B776" s="5">
        <f t="shared" si="314"/>
        <v>0</v>
      </c>
      <c r="C776" s="5">
        <f t="shared" si="315"/>
        <v>1032.4111183199877</v>
      </c>
      <c r="D776" s="5">
        <f t="shared" si="316"/>
        <v>-167.06666159519847</v>
      </c>
      <c r="E776" s="2">
        <f t="shared" si="298"/>
        <v>344.13703943999593</v>
      </c>
      <c r="F776" s="2">
        <f t="shared" si="317"/>
        <v>0</v>
      </c>
      <c r="G776" s="3">
        <f t="shared" si="318"/>
        <v>0</v>
      </c>
      <c r="H776" s="3">
        <f t="shared" si="319"/>
        <v>96.575295932130658</v>
      </c>
      <c r="I776" s="3">
        <f t="shared" si="320"/>
        <v>-87.817464218066377</v>
      </c>
      <c r="J776" s="2">
        <f t="shared" si="299"/>
        <v>130.53235156875854</v>
      </c>
      <c r="K776" s="2">
        <f t="shared" si="321"/>
        <v>88.979108090496609</v>
      </c>
      <c r="L776" s="5">
        <f t="shared" si="300"/>
        <v>26.808827613817357</v>
      </c>
      <c r="M776" s="3">
        <f t="shared" si="301"/>
        <v>16.659049492779552</v>
      </c>
      <c r="N776" s="2">
        <v>0</v>
      </c>
      <c r="O776" s="2">
        <f t="shared" si="302"/>
        <v>130.53235156875854</v>
      </c>
      <c r="P776" s="2">
        <f t="shared" si="303"/>
        <v>88.979108090496609</v>
      </c>
      <c r="Q776" s="5">
        <f t="shared" si="304"/>
        <v>1.1001229606348055</v>
      </c>
      <c r="R776" s="5">
        <f t="shared" si="305"/>
        <v>0.15911788162978552</v>
      </c>
      <c r="S776" s="4">
        <f t="shared" si="322"/>
        <v>0.12762391309563068</v>
      </c>
      <c r="T776" s="5">
        <f t="shared" si="306"/>
        <v>0.10068953301887248</v>
      </c>
      <c r="U776" s="4">
        <f t="shared" si="307"/>
        <v>0</v>
      </c>
      <c r="V776" s="4">
        <f t="shared" si="308"/>
        <v>0</v>
      </c>
      <c r="W776" s="5">
        <f t="shared" si="309"/>
        <v>0</v>
      </c>
      <c r="X776" s="5">
        <f t="shared" si="310"/>
        <v>-11.398351258574317</v>
      </c>
      <c r="Y776" s="5">
        <f t="shared" si="311"/>
        <v>10.36470345892854</v>
      </c>
      <c r="Z776" s="5">
        <f>1</f>
        <v>1</v>
      </c>
      <c r="AA776" s="5">
        <f>IF(M776=0,0,const*($T776/omega)*O776*(wy*I776-wz*(H776-V776))/Z776)</f>
        <v>0</v>
      </c>
      <c r="AB776" s="5">
        <f>IF(M776=0,0,const*($T776/omega)*O776*(wz*(G776-U776)-wx*I776)/Z776)</f>
        <v>6.5587672514818776</v>
      </c>
      <c r="AC776" s="5">
        <f>IF(M776=0,0,const*($T776/omega)*O776*(wx*(H776-V776)-wy*(G776-U776))/Z776)</f>
        <v>7.2128578740209095</v>
      </c>
      <c r="AD776" s="5">
        <f t="shared" si="324"/>
        <v>0</v>
      </c>
      <c r="AE776" s="5">
        <f t="shared" si="324"/>
        <v>-4.8395840070924399</v>
      </c>
      <c r="AF776" s="5">
        <f t="shared" si="312"/>
        <v>-14.596438667050549</v>
      </c>
      <c r="AG776">
        <f t="shared" si="323"/>
        <v>0</v>
      </c>
    </row>
    <row r="777" spans="1:33" x14ac:dyDescent="0.2">
      <c r="A777">
        <f t="shared" si="313"/>
        <v>7.4499999999998856</v>
      </c>
      <c r="B777" s="5">
        <f t="shared" si="314"/>
        <v>0</v>
      </c>
      <c r="C777" s="5">
        <f t="shared" si="315"/>
        <v>1033.3766293001086</v>
      </c>
      <c r="D777" s="5">
        <f t="shared" si="316"/>
        <v>-167.94556605931248</v>
      </c>
      <c r="E777" s="2">
        <f t="shared" si="298"/>
        <v>344.45887643336954</v>
      </c>
      <c r="F777" s="2">
        <f t="shared" si="317"/>
        <v>0</v>
      </c>
      <c r="G777" s="3">
        <f t="shared" si="318"/>
        <v>0</v>
      </c>
      <c r="H777" s="3">
        <f t="shared" si="319"/>
        <v>96.526900092059734</v>
      </c>
      <c r="I777" s="3">
        <f t="shared" si="320"/>
        <v>-87.963428604736876</v>
      </c>
      <c r="J777" s="2">
        <f t="shared" si="299"/>
        <v>130.59482077511007</v>
      </c>
      <c r="K777" s="2">
        <f t="shared" si="321"/>
        <v>89.021691053244751</v>
      </c>
      <c r="L777" s="5">
        <f t="shared" si="300"/>
        <v>26.796003780725734</v>
      </c>
      <c r="M777" s="3">
        <f t="shared" si="301"/>
        <v>16.65062208450513</v>
      </c>
      <c r="N777" s="2">
        <v>0</v>
      </c>
      <c r="O777" s="2">
        <f t="shared" si="302"/>
        <v>130.59482077511007</v>
      </c>
      <c r="P777" s="2">
        <f t="shared" si="303"/>
        <v>89.021691053244751</v>
      </c>
      <c r="Q777" s="5">
        <f t="shared" si="304"/>
        <v>1.1006494493359897</v>
      </c>
      <c r="R777" s="5">
        <f t="shared" si="305"/>
        <v>0.15909167055338108</v>
      </c>
      <c r="S777" s="4">
        <f t="shared" si="322"/>
        <v>0.12749833405092093</v>
      </c>
      <c r="T777" s="5">
        <f t="shared" si="306"/>
        <v>0.10064989082458051</v>
      </c>
      <c r="U777" s="4">
        <f t="shared" si="307"/>
        <v>0</v>
      </c>
      <c r="V777" s="4">
        <f t="shared" si="308"/>
        <v>0</v>
      </c>
      <c r="W777" s="5">
        <f t="shared" si="309"/>
        <v>0</v>
      </c>
      <c r="X777" s="5">
        <f t="shared" si="310"/>
        <v>-11.39621394039904</v>
      </c>
      <c r="Y777" s="5">
        <f t="shared" si="311"/>
        <v>10.385188484811387</v>
      </c>
      <c r="Z777" s="5">
        <f>1</f>
        <v>1</v>
      </c>
      <c r="AA777" s="5">
        <f>IF(M777=0,0,const*($T777/omega)*O777*(wy*I777-wz*(H777-V777))/Z777)</f>
        <v>0</v>
      </c>
      <c r="AB777" s="5">
        <f>IF(M777=0,0,const*($T777/omega)*O777*(wz*(G777-U777)-wx*I777)/Z777)</f>
        <v>6.5702251007429773</v>
      </c>
      <c r="AC777" s="5">
        <f>IF(M777=0,0,const*($T777/omega)*O777*(wx*(H777-V777)-wy*(G777-U777))/Z777)</f>
        <v>7.2098538215415617</v>
      </c>
      <c r="AD777" s="5">
        <f t="shared" si="324"/>
        <v>0</v>
      </c>
      <c r="AE777" s="5">
        <f t="shared" si="324"/>
        <v>-4.8259888396560626</v>
      </c>
      <c r="AF777" s="5">
        <f t="shared" si="312"/>
        <v>-14.578957693647052</v>
      </c>
      <c r="AG777">
        <f t="shared" si="323"/>
        <v>0</v>
      </c>
    </row>
    <row r="778" spans="1:33" x14ac:dyDescent="0.2">
      <c r="A778">
        <f t="shared" si="313"/>
        <v>7.4599999999998854</v>
      </c>
      <c r="B778" s="5">
        <f t="shared" si="314"/>
        <v>0</v>
      </c>
      <c r="C778" s="5">
        <f t="shared" si="315"/>
        <v>1034.3416570015872</v>
      </c>
      <c r="D778" s="5">
        <f t="shared" si="316"/>
        <v>-168.82592929324454</v>
      </c>
      <c r="E778" s="2">
        <f t="shared" si="298"/>
        <v>344.78055233386243</v>
      </c>
      <c r="F778" s="2">
        <f t="shared" si="317"/>
        <v>0</v>
      </c>
      <c r="G778" s="3">
        <f t="shared" si="318"/>
        <v>0</v>
      </c>
      <c r="H778" s="3">
        <f t="shared" si="319"/>
        <v>96.478640203663176</v>
      </c>
      <c r="I778" s="3">
        <f t="shared" si="320"/>
        <v>-88.109218181673342</v>
      </c>
      <c r="J778" s="2">
        <f t="shared" si="299"/>
        <v>130.65742360896914</v>
      </c>
      <c r="K778" s="2">
        <f t="shared" si="321"/>
        <v>89.064365104955101</v>
      </c>
      <c r="L778" s="5">
        <f t="shared" si="300"/>
        <v>26.783164818143767</v>
      </c>
      <c r="M778" s="3">
        <f t="shared" si="301"/>
        <v>16.642188256979491</v>
      </c>
      <c r="N778" s="2">
        <v>0</v>
      </c>
      <c r="O778" s="2">
        <f t="shared" si="302"/>
        <v>130.65742360896914</v>
      </c>
      <c r="P778" s="2">
        <f t="shared" si="303"/>
        <v>89.064365104955101</v>
      </c>
      <c r="Q778" s="5">
        <f t="shared" si="304"/>
        <v>1.1011770642460215</v>
      </c>
      <c r="R778" s="5">
        <f t="shared" si="305"/>
        <v>0.15906544709638576</v>
      </c>
      <c r="S778" s="4">
        <f t="shared" si="322"/>
        <v>0.12737269568996054</v>
      </c>
      <c r="T778" s="5">
        <f t="shared" si="306"/>
        <v>0.1006102064548111</v>
      </c>
      <c r="U778" s="4">
        <f t="shared" si="307"/>
        <v>0</v>
      </c>
      <c r="V778" s="4">
        <f t="shared" si="308"/>
        <v>0</v>
      </c>
      <c r="W778" s="5">
        <f t="shared" si="309"/>
        <v>0</v>
      </c>
      <c r="X778" s="5">
        <f t="shared" si="310"/>
        <v>-11.394098064540438</v>
      </c>
      <c r="Y778" s="5">
        <f t="shared" si="311"/>
        <v>10.405671869262701</v>
      </c>
      <c r="Z778" s="5">
        <f>1</f>
        <v>1</v>
      </c>
      <c r="AA778" s="5">
        <f>IF(M778=0,0,const*($T778/omega)*O778*(wy*I778-wz*(H778-V778))/Z778)</f>
        <v>0</v>
      </c>
      <c r="AB778" s="5">
        <f>IF(M778=0,0,const*($T778/omega)*O778*(wz*(G778-U778)-wx*I778)/Z778)</f>
        <v>6.5816732305989802</v>
      </c>
      <c r="AC778" s="5">
        <f>IF(M778=0,0,const*($T778/omega)*O778*(wx*(H778-V778)-wy*(G778-U778))/Z778)</f>
        <v>7.2068609466463078</v>
      </c>
      <c r="AD778" s="5">
        <f t="shared" si="324"/>
        <v>0</v>
      </c>
      <c r="AE778" s="5">
        <f t="shared" si="324"/>
        <v>-4.8124248339414581</v>
      </c>
      <c r="AF778" s="5">
        <f t="shared" si="312"/>
        <v>-14.56146718409099</v>
      </c>
      <c r="AG778">
        <f t="shared" si="323"/>
        <v>0</v>
      </c>
    </row>
    <row r="779" spans="1:33" x14ac:dyDescent="0.2">
      <c r="A779">
        <f t="shared" si="313"/>
        <v>7.4699999999998852</v>
      </c>
      <c r="B779" s="5">
        <f t="shared" si="314"/>
        <v>0</v>
      </c>
      <c r="C779" s="5">
        <f t="shared" si="315"/>
        <v>1035.3062027823821</v>
      </c>
      <c r="D779" s="5">
        <f t="shared" si="316"/>
        <v>-169.70774954842048</v>
      </c>
      <c r="E779" s="2">
        <f t="shared" si="298"/>
        <v>345.10206759412739</v>
      </c>
      <c r="F779" s="2">
        <f t="shared" si="317"/>
        <v>0</v>
      </c>
      <c r="G779" s="3">
        <f t="shared" si="318"/>
        <v>0</v>
      </c>
      <c r="H779" s="3">
        <f t="shared" si="319"/>
        <v>96.430515955323756</v>
      </c>
      <c r="I779" s="3">
        <f t="shared" si="320"/>
        <v>-88.254832853514245</v>
      </c>
      <c r="J779" s="2">
        <f t="shared" si="299"/>
        <v>130.72015884863239</v>
      </c>
      <c r="K779" s="2">
        <f t="shared" si="321"/>
        <v>89.107129412837352</v>
      </c>
      <c r="L779" s="5">
        <f t="shared" si="300"/>
        <v>26.770311037375702</v>
      </c>
      <c r="M779" s="3">
        <f t="shared" si="301"/>
        <v>16.633748048602534</v>
      </c>
      <c r="N779" s="2">
        <v>0</v>
      </c>
      <c r="O779" s="2">
        <f t="shared" si="302"/>
        <v>130.72015884863239</v>
      </c>
      <c r="P779" s="2">
        <f t="shared" si="303"/>
        <v>89.107129412837352</v>
      </c>
      <c r="Q779" s="5">
        <f t="shared" si="304"/>
        <v>1.1017057950684193</v>
      </c>
      <c r="R779" s="5">
        <f t="shared" si="305"/>
        <v>0.15903921166654142</v>
      </c>
      <c r="S779" s="4">
        <f t="shared" si="322"/>
        <v>0.12724699996626845</v>
      </c>
      <c r="T779" s="5">
        <f t="shared" si="306"/>
        <v>0.1005704804568759</v>
      </c>
      <c r="U779" s="4">
        <f t="shared" si="307"/>
        <v>0</v>
      </c>
      <c r="V779" s="4">
        <f t="shared" si="308"/>
        <v>0</v>
      </c>
      <c r="W779" s="5">
        <f t="shared" si="309"/>
        <v>0</v>
      </c>
      <c r="X779" s="5">
        <f t="shared" si="310"/>
        <v>-11.392003511567658</v>
      </c>
      <c r="Y779" s="5">
        <f t="shared" si="311"/>
        <v>10.426153545065054</v>
      </c>
      <c r="Z779" s="5">
        <f>1</f>
        <v>1</v>
      </c>
      <c r="AA779" s="5">
        <f>IF(M779=0,0,const*($T779/omega)*O779*(wy*I779-wz*(H779-V779))/Z779)</f>
        <v>0</v>
      </c>
      <c r="AB779" s="5">
        <f>IF(M779=0,0,const*($T779/omega)*O779*(wz*(G779-U779)-wx*I779)/Z779)</f>
        <v>6.5931116003195616</v>
      </c>
      <c r="AC779" s="5">
        <f>IF(M779=0,0,const*($T779/omega)*O779*(wx*(H779-V779)-wy*(G779-U779))/Z779)</f>
        <v>7.2038791850086152</v>
      </c>
      <c r="AD779" s="5">
        <f t="shared" si="324"/>
        <v>0</v>
      </c>
      <c r="AE779" s="5">
        <f t="shared" si="324"/>
        <v>-4.7988919112480968</v>
      </c>
      <c r="AF779" s="5">
        <f t="shared" si="312"/>
        <v>-14.54396726992633</v>
      </c>
      <c r="AG779">
        <f t="shared" si="323"/>
        <v>0</v>
      </c>
    </row>
    <row r="780" spans="1:33" x14ac:dyDescent="0.2">
      <c r="A780">
        <f t="shared" si="313"/>
        <v>7.479999999999885</v>
      </c>
      <c r="B780" s="5">
        <f t="shared" si="314"/>
        <v>0</v>
      </c>
      <c r="C780" s="5">
        <f t="shared" si="315"/>
        <v>1036.2702679973399</v>
      </c>
      <c r="D780" s="5">
        <f t="shared" si="316"/>
        <v>-170.59102507531912</v>
      </c>
      <c r="E780" s="2">
        <f t="shared" si="298"/>
        <v>345.42342266577998</v>
      </c>
      <c r="F780" s="2">
        <f t="shared" si="317"/>
        <v>0</v>
      </c>
      <c r="G780" s="3">
        <f t="shared" si="318"/>
        <v>0</v>
      </c>
      <c r="H780" s="3">
        <f t="shared" si="319"/>
        <v>96.382527036211272</v>
      </c>
      <c r="I780" s="3">
        <f t="shared" si="320"/>
        <v>-88.400272526213513</v>
      </c>
      <c r="J780" s="2">
        <f t="shared" si="299"/>
        <v>130.78302527696329</v>
      </c>
      <c r="K780" s="2">
        <f t="shared" si="321"/>
        <v>89.149983147214229</v>
      </c>
      <c r="L780" s="5">
        <f t="shared" si="300"/>
        <v>26.757442747804767</v>
      </c>
      <c r="M780" s="3">
        <f t="shared" si="301"/>
        <v>16.625301497799839</v>
      </c>
      <c r="N780" s="2">
        <v>0</v>
      </c>
      <c r="O780" s="2">
        <f t="shared" si="302"/>
        <v>130.78302527696329</v>
      </c>
      <c r="P780" s="2">
        <f t="shared" si="303"/>
        <v>89.149983147214229</v>
      </c>
      <c r="Q780" s="5">
        <f t="shared" si="304"/>
        <v>1.1022356315451909</v>
      </c>
      <c r="R780" s="5">
        <f t="shared" si="305"/>
        <v>0.15901296466901549</v>
      </c>
      <c r="S780" s="4">
        <f t="shared" si="322"/>
        <v>0.12712124882102949</v>
      </c>
      <c r="T780" s="5">
        <f t="shared" si="306"/>
        <v>0.1005307133754348</v>
      </c>
      <c r="U780" s="4">
        <f t="shared" si="307"/>
        <v>0</v>
      </c>
      <c r="V780" s="4">
        <f t="shared" si="308"/>
        <v>0</v>
      </c>
      <c r="W780" s="5">
        <f t="shared" si="309"/>
        <v>0</v>
      </c>
      <c r="X780" s="5">
        <f t="shared" si="310"/>
        <v>-11.3899301626743</v>
      </c>
      <c r="Y780" s="5">
        <f t="shared" si="311"/>
        <v>10.446633444842773</v>
      </c>
      <c r="Z780" s="5">
        <f>1</f>
        <v>1</v>
      </c>
      <c r="AA780" s="5">
        <f>IF(M780=0,0,const*($T780/omega)*O780*(wy*I780-wz*(H780-V780))/Z780)</f>
        <v>0</v>
      </c>
      <c r="AB780" s="5">
        <f>IF(M780=0,0,const*($T780/omega)*O780*(wz*(G780-U780)-wx*I780)/Z780)</f>
        <v>6.6045401692102308</v>
      </c>
      <c r="AC780" s="5">
        <f>IF(M780=0,0,const*($T780/omega)*O780*(wx*(H780-V780)-wy*(G780-U780))/Z780)</f>
        <v>7.2009084726733992</v>
      </c>
      <c r="AD780" s="5">
        <f t="shared" si="324"/>
        <v>0</v>
      </c>
      <c r="AE780" s="5">
        <f t="shared" si="324"/>
        <v>-4.7853899934640696</v>
      </c>
      <c r="AF780" s="5">
        <f t="shared" si="312"/>
        <v>-14.526458082483828</v>
      </c>
      <c r="AG780">
        <f t="shared" si="323"/>
        <v>0</v>
      </c>
    </row>
    <row r="781" spans="1:33" x14ac:dyDescent="0.2">
      <c r="A781">
        <f t="shared" si="313"/>
        <v>7.4899999999998847</v>
      </c>
      <c r="B781" s="5">
        <f t="shared" si="314"/>
        <v>0</v>
      </c>
      <c r="C781" s="5">
        <f t="shared" si="315"/>
        <v>1037.2338539982024</v>
      </c>
      <c r="D781" s="5">
        <f t="shared" si="316"/>
        <v>-171.47575412348536</v>
      </c>
      <c r="E781" s="2">
        <f t="shared" si="298"/>
        <v>345.74461799940082</v>
      </c>
      <c r="F781" s="2">
        <f t="shared" si="317"/>
        <v>0</v>
      </c>
      <c r="G781" s="3">
        <f t="shared" si="318"/>
        <v>0</v>
      </c>
      <c r="H781" s="3">
        <f t="shared" si="319"/>
        <v>96.334673136276635</v>
      </c>
      <c r="I781" s="3">
        <f t="shared" si="320"/>
        <v>-88.545537107038356</v>
      </c>
      <c r="J781" s="2">
        <f t="shared" si="299"/>
        <v>130.84602168139148</v>
      </c>
      <c r="K781" s="2">
        <f t="shared" si="321"/>
        <v>89.192925481521115</v>
      </c>
      <c r="L781" s="5">
        <f t="shared" si="300"/>
        <v>26.74456025689565</v>
      </c>
      <c r="M781" s="3">
        <f t="shared" si="301"/>
        <v>16.616848643021267</v>
      </c>
      <c r="N781" s="2">
        <v>0</v>
      </c>
      <c r="O781" s="2">
        <f t="shared" si="302"/>
        <v>130.84602168139148</v>
      </c>
      <c r="P781" s="2">
        <f t="shared" si="303"/>
        <v>89.192925481521115</v>
      </c>
      <c r="Q781" s="5">
        <f t="shared" si="304"/>
        <v>1.102766563456828</v>
      </c>
      <c r="R781" s="5">
        <f t="shared" si="305"/>
        <v>0.15898670650640453</v>
      </c>
      <c r="S781" s="4">
        <f t="shared" si="322"/>
        <v>0.12699544418311087</v>
      </c>
      <c r="T781" s="5">
        <f t="shared" si="306"/>
        <v>0.10049090575249633</v>
      </c>
      <c r="U781" s="4">
        <f t="shared" si="307"/>
        <v>0</v>
      </c>
      <c r="V781" s="4">
        <f t="shared" si="308"/>
        <v>0</v>
      </c>
      <c r="W781" s="5">
        <f t="shared" si="309"/>
        <v>0</v>
      </c>
      <c r="X781" s="5">
        <f t="shared" si="310"/>
        <v>-11.387877899675342</v>
      </c>
      <c r="Y781" s="5">
        <f t="shared" si="311"/>
        <v>10.467111501065688</v>
      </c>
      <c r="Z781" s="5">
        <f>1</f>
        <v>1</v>
      </c>
      <c r="AA781" s="5">
        <f>IF(M781=0,0,const*($T781/omega)*O781*(wy*I781-wz*(H781-V781))/Z781)</f>
        <v>0</v>
      </c>
      <c r="AB781" s="5">
        <f>IF(M781=0,0,const*($T781/omega)*O781*(wz*(G781-U781)-wx*I781)/Z781)</f>
        <v>6.6159588966143543</v>
      </c>
      <c r="AC781" s="5">
        <f>IF(M781=0,0,const*($T781/omega)*O781*(wx*(H781-V781)-wy*(G781-U781))/Z781)</f>
        <v>7.197948746055137</v>
      </c>
      <c r="AD781" s="5">
        <f t="shared" si="324"/>
        <v>0</v>
      </c>
      <c r="AE781" s="5">
        <f t="shared" si="324"/>
        <v>-4.7719190030609875</v>
      </c>
      <c r="AF781" s="5">
        <f t="shared" si="312"/>
        <v>-14.508939752879176</v>
      </c>
      <c r="AG781">
        <f t="shared" si="323"/>
        <v>0</v>
      </c>
    </row>
    <row r="782" spans="1:33" x14ac:dyDescent="0.2">
      <c r="A782">
        <f t="shared" si="313"/>
        <v>7.4999999999998845</v>
      </c>
      <c r="B782" s="5">
        <f t="shared" si="314"/>
        <v>0</v>
      </c>
      <c r="C782" s="5">
        <f t="shared" si="315"/>
        <v>1038.196962133615</v>
      </c>
      <c r="D782" s="5">
        <f t="shared" si="316"/>
        <v>-172.36193494154338</v>
      </c>
      <c r="E782" s="2">
        <f t="shared" si="298"/>
        <v>346.06565404453835</v>
      </c>
      <c r="F782" s="2">
        <f t="shared" si="317"/>
        <v>0</v>
      </c>
      <c r="G782" s="3">
        <f t="shared" si="318"/>
        <v>0</v>
      </c>
      <c r="H782" s="3">
        <f t="shared" si="319"/>
        <v>96.28695394624603</v>
      </c>
      <c r="I782" s="3">
        <f t="shared" si="320"/>
        <v>-88.690626504567149</v>
      </c>
      <c r="J782" s="2">
        <f t="shared" si="299"/>
        <v>130.90914685391215</v>
      </c>
      <c r="K782" s="2">
        <f t="shared" si="321"/>
        <v>89.235955592305487</v>
      </c>
      <c r="L782" s="5">
        <f t="shared" si="300"/>
        <v>26.731663870197096</v>
      </c>
      <c r="M782" s="3">
        <f t="shared" si="301"/>
        <v>16.608389522739625</v>
      </c>
      <c r="N782" s="2">
        <v>0</v>
      </c>
      <c r="O782" s="2">
        <f t="shared" si="302"/>
        <v>130.90914685391215</v>
      </c>
      <c r="P782" s="2">
        <f t="shared" si="303"/>
        <v>89.235955592305487</v>
      </c>
      <c r="Q782" s="5">
        <f t="shared" si="304"/>
        <v>1.1032985806223004</v>
      </c>
      <c r="R782" s="5">
        <f t="shared" si="305"/>
        <v>0.15896043757873785</v>
      </c>
      <c r="S782" s="4">
        <f t="shared" si="322"/>
        <v>0.12686958796908004</v>
      </c>
      <c r="T782" s="5">
        <f t="shared" si="306"/>
        <v>0.10045105812741802</v>
      </c>
      <c r="U782" s="4">
        <f t="shared" si="307"/>
        <v>0</v>
      </c>
      <c r="V782" s="4">
        <f t="shared" si="308"/>
        <v>0</v>
      </c>
      <c r="W782" s="5">
        <f t="shared" si="309"/>
        <v>0</v>
      </c>
      <c r="X782" s="5">
        <f t="shared" si="310"/>
        <v>-11.385846605004128</v>
      </c>
      <c r="Y782" s="5">
        <f t="shared" si="311"/>
        <v>10.487587646052905</v>
      </c>
      <c r="Z782" s="5">
        <f>1</f>
        <v>1</v>
      </c>
      <c r="AA782" s="5">
        <f>IF(M782=0,0,const*($T782/omega)*O782*(wy*I782-wz*(H782-V782))/Z782)</f>
        <v>0</v>
      </c>
      <c r="AB782" s="5">
        <f>IF(M782=0,0,const*($T782/omega)*O782*(wz*(G782-U782)-wx*I782)/Z782)</f>
        <v>6.6273677419151982</v>
      </c>
      <c r="AC782" s="5">
        <f>IF(M782=0,0,const*($T782/omega)*O782*(wx*(H782-V782)-wy*(G782-U782))/Z782)</f>
        <v>7.1949999419359667</v>
      </c>
      <c r="AD782" s="5">
        <f t="shared" si="324"/>
        <v>0</v>
      </c>
      <c r="AE782" s="5">
        <f t="shared" si="324"/>
        <v>-4.7584788630889294</v>
      </c>
      <c r="AF782" s="5">
        <f t="shared" si="312"/>
        <v>-14.49141241201113</v>
      </c>
      <c r="AG782">
        <f t="shared" si="323"/>
        <v>0</v>
      </c>
    </row>
    <row r="783" spans="1:33" x14ac:dyDescent="0.2">
      <c r="A783">
        <f t="shared" si="313"/>
        <v>7.5099999999998843</v>
      </c>
      <c r="B783" s="5">
        <f t="shared" si="314"/>
        <v>0</v>
      </c>
      <c r="C783" s="5">
        <f t="shared" si="315"/>
        <v>1039.1595937491343</v>
      </c>
      <c r="D783" s="5">
        <f t="shared" si="316"/>
        <v>-173.24956577720965</v>
      </c>
      <c r="E783" s="2">
        <f t="shared" si="298"/>
        <v>346.38653124971142</v>
      </c>
      <c r="F783" s="2">
        <f t="shared" si="317"/>
        <v>0</v>
      </c>
      <c r="G783" s="3">
        <f t="shared" si="318"/>
        <v>0</v>
      </c>
      <c r="H783" s="3">
        <f t="shared" si="319"/>
        <v>96.239369157615144</v>
      </c>
      <c r="I783" s="3">
        <f t="shared" si="320"/>
        <v>-88.835540628687255</v>
      </c>
      <c r="J783" s="2">
        <f t="shared" si="299"/>
        <v>130.97239959108509</v>
      </c>
      <c r="K783" s="2">
        <f t="shared" si="321"/>
        <v>89.279072659226372</v>
      </c>
      <c r="L783" s="5">
        <f t="shared" si="300"/>
        <v>26.71875389134463</v>
      </c>
      <c r="M783" s="3">
        <f t="shared" si="301"/>
        <v>16.599924175449285</v>
      </c>
      <c r="N783" s="2">
        <v>0</v>
      </c>
      <c r="O783" s="2">
        <f t="shared" si="302"/>
        <v>130.97239959108509</v>
      </c>
      <c r="P783" s="2">
        <f t="shared" si="303"/>
        <v>89.279072659226372</v>
      </c>
      <c r="Q783" s="5">
        <f t="shared" si="304"/>
        <v>1.1038316728990476</v>
      </c>
      <c r="R783" s="5">
        <f t="shared" si="305"/>
        <v>0.15893415828348118</v>
      </c>
      <c r="S783" s="4">
        <f t="shared" si="322"/>
        <v>0.12674368208322262</v>
      </c>
      <c r="T783" s="5">
        <f t="shared" si="306"/>
        <v>0.10041117103690696</v>
      </c>
      <c r="U783" s="4">
        <f t="shared" si="307"/>
        <v>0</v>
      </c>
      <c r="V783" s="4">
        <f t="shared" si="308"/>
        <v>0</v>
      </c>
      <c r="W783" s="5">
        <f t="shared" si="309"/>
        <v>0</v>
      </c>
      <c r="X783" s="5">
        <f t="shared" si="310"/>
        <v>-11.383836161709318</v>
      </c>
      <c r="Y783" s="5">
        <f t="shared" si="311"/>
        <v>10.508061811976528</v>
      </c>
      <c r="Z783" s="5">
        <f>1</f>
        <v>1</v>
      </c>
      <c r="AA783" s="5">
        <f>IF(M783=0,0,const*($T783/omega)*O783*(wy*I783-wz*(H783-V783))/Z783)</f>
        <v>0</v>
      </c>
      <c r="AB783" s="5">
        <f>IF(M783=0,0,const*($T783/omega)*O783*(wz*(G783-U783)-wx*I783)/Z783)</f>
        <v>6.6387666645379033</v>
      </c>
      <c r="AC783" s="5">
        <f>IF(M783=0,0,const*($T783/omega)*O783*(wx*(H783-V783)-wy*(G783-U783))/Z783)</f>
        <v>7.1920619974637958</v>
      </c>
      <c r="AD783" s="5">
        <f t="shared" si="324"/>
        <v>0</v>
      </c>
      <c r="AE783" s="5">
        <f t="shared" si="324"/>
        <v>-4.7450694971714151</v>
      </c>
      <c r="AF783" s="5">
        <f t="shared" si="312"/>
        <v>-14.473876190559675</v>
      </c>
      <c r="AG783">
        <f t="shared" si="323"/>
        <v>0</v>
      </c>
    </row>
    <row r="784" spans="1:33" x14ac:dyDescent="0.2">
      <c r="A784">
        <f t="shared" si="313"/>
        <v>7.5199999999998841</v>
      </c>
      <c r="B784" s="5">
        <f t="shared" si="314"/>
        <v>0</v>
      </c>
      <c r="C784" s="5">
        <f t="shared" si="315"/>
        <v>1040.1217501872356</v>
      </c>
      <c r="D784" s="5">
        <f t="shared" si="316"/>
        <v>-174.13864487730606</v>
      </c>
      <c r="E784" s="2">
        <f t="shared" si="298"/>
        <v>346.7072500624119</v>
      </c>
      <c r="F784" s="2">
        <f t="shared" si="317"/>
        <v>0</v>
      </c>
      <c r="G784" s="3">
        <f t="shared" si="318"/>
        <v>0</v>
      </c>
      <c r="H784" s="3">
        <f t="shared" si="319"/>
        <v>96.191918462643429</v>
      </c>
      <c r="I784" s="3">
        <f t="shared" si="320"/>
        <v>-88.980279390592855</v>
      </c>
      <c r="J784" s="2">
        <f t="shared" si="299"/>
        <v>131.03577869403381</v>
      </c>
      <c r="K784" s="2">
        <f t="shared" si="321"/>
        <v>89.322275865053712</v>
      </c>
      <c r="L784" s="5">
        <f t="shared" si="300"/>
        <v>26.705830622063381</v>
      </c>
      <c r="M784" s="3">
        <f t="shared" si="301"/>
        <v>16.591452639664855</v>
      </c>
      <c r="N784" s="2">
        <v>0</v>
      </c>
      <c r="O784" s="2">
        <f t="shared" si="302"/>
        <v>131.03577869403381</v>
      </c>
      <c r="P784" s="2">
        <f t="shared" si="303"/>
        <v>89.322275865053712</v>
      </c>
      <c r="Q784" s="5">
        <f t="shared" si="304"/>
        <v>1.1043658301829724</v>
      </c>
      <c r="R784" s="5">
        <f t="shared" si="305"/>
        <v>0.15890786901554085</v>
      </c>
      <c r="S784" s="4">
        <f t="shared" si="322"/>
        <v>0.12661772841756141</v>
      </c>
      <c r="T784" s="5">
        <f t="shared" si="306"/>
        <v>0.10037124501502059</v>
      </c>
      <c r="U784" s="4">
        <f t="shared" si="307"/>
        <v>0</v>
      </c>
      <c r="V784" s="4">
        <f t="shared" si="308"/>
        <v>0</v>
      </c>
      <c r="W784" s="5">
        <f t="shared" si="309"/>
        <v>0</v>
      </c>
      <c r="X784" s="5">
        <f t="shared" si="310"/>
        <v>-11.381846453451894</v>
      </c>
      <c r="Y784" s="5">
        <f t="shared" si="311"/>
        <v>10.528533930865386</v>
      </c>
      <c r="Z784" s="5">
        <f>1</f>
        <v>1</v>
      </c>
      <c r="AA784" s="5">
        <f>IF(M784=0,0,const*($T784/omega)*O784*(wy*I784-wz*(H784-V784))/Z784)</f>
        <v>0</v>
      </c>
      <c r="AB784" s="5">
        <f>IF(M784=0,0,const*($T784/omega)*O784*(wz*(G784-U784)-wx*I784)/Z784)</f>
        <v>6.6501556239515018</v>
      </c>
      <c r="AC784" s="5">
        <f>IF(M784=0,0,const*($T784/omega)*O784*(wx*(H784-V784)-wy*(G784-U784))/Z784)</f>
        <v>7.1891348501504222</v>
      </c>
      <c r="AD784" s="5">
        <f t="shared" si="324"/>
        <v>0</v>
      </c>
      <c r="AE784" s="5">
        <f t="shared" si="324"/>
        <v>-4.7316908295003923</v>
      </c>
      <c r="AF784" s="5">
        <f t="shared" si="312"/>
        <v>-14.456331218984189</v>
      </c>
      <c r="AG784">
        <f t="shared" si="323"/>
        <v>0</v>
      </c>
    </row>
    <row r="785" spans="1:33" x14ac:dyDescent="0.2">
      <c r="A785">
        <f t="shared" si="313"/>
        <v>7.5299999999998839</v>
      </c>
      <c r="B785" s="5">
        <f t="shared" si="314"/>
        <v>0</v>
      </c>
      <c r="C785" s="5">
        <f t="shared" si="315"/>
        <v>1041.0834327873206</v>
      </c>
      <c r="D785" s="5">
        <f t="shared" si="316"/>
        <v>-175.02917048777292</v>
      </c>
      <c r="E785" s="2">
        <f t="shared" si="298"/>
        <v>347.02781092910686</v>
      </c>
      <c r="F785" s="2">
        <f t="shared" si="317"/>
        <v>0</v>
      </c>
      <c r="G785" s="3">
        <f t="shared" si="318"/>
        <v>0</v>
      </c>
      <c r="H785" s="3">
        <f t="shared" si="319"/>
        <v>96.144601554348426</v>
      </c>
      <c r="I785" s="3">
        <f t="shared" si="320"/>
        <v>-89.124842702782701</v>
      </c>
      <c r="J785" s="2">
        <f t="shared" si="299"/>
        <v>131.0992829684441</v>
      </c>
      <c r="K785" s="2">
        <f t="shared" si="321"/>
        <v>89.365564395667406</v>
      </c>
      <c r="L785" s="5">
        <f t="shared" si="300"/>
        <v>26.692894362171053</v>
      </c>
      <c r="M785" s="3">
        <f t="shared" si="301"/>
        <v>16.582974953919841</v>
      </c>
      <c r="N785" s="2">
        <v>0</v>
      </c>
      <c r="O785" s="2">
        <f t="shared" si="302"/>
        <v>131.0992829684441</v>
      </c>
      <c r="P785" s="2">
        <f t="shared" si="303"/>
        <v>89.365564395667406</v>
      </c>
      <c r="Q785" s="5">
        <f t="shared" si="304"/>
        <v>1.1049010424084291</v>
      </c>
      <c r="R785" s="5">
        <f t="shared" si="305"/>
        <v>0.15888157016726781</v>
      </c>
      <c r="S785" s="4">
        <f t="shared" si="322"/>
        <v>0.12649172885187634</v>
      </c>
      <c r="T785" s="5">
        <f t="shared" si="306"/>
        <v>0.10033128059316763</v>
      </c>
      <c r="U785" s="4">
        <f t="shared" si="307"/>
        <v>0</v>
      </c>
      <c r="V785" s="4">
        <f t="shared" si="308"/>
        <v>0</v>
      </c>
      <c r="W785" s="5">
        <f t="shared" si="309"/>
        <v>0</v>
      </c>
      <c r="X785" s="5">
        <f t="shared" si="310"/>
        <v>-11.379877364502118</v>
      </c>
      <c r="Y785" s="5">
        <f t="shared" si="311"/>
        <v>10.549003934608713</v>
      </c>
      <c r="Z785" s="5">
        <f>1</f>
        <v>1</v>
      </c>
      <c r="AA785" s="5">
        <f>IF(M785=0,0,const*($T785/omega)*O785*(wy*I785-wz*(H785-V785))/Z785)</f>
        <v>0</v>
      </c>
      <c r="AB785" s="5">
        <f>IF(M785=0,0,const*($T785/omega)*O785*(wz*(G785-U785)-wx*I785)/Z785)</f>
        <v>6.6615345796708576</v>
      </c>
      <c r="AC785" s="5">
        <f>IF(M785=0,0,const*($T785/omega)*O785*(wx*(H785-V785)-wy*(G785-U785))/Z785)</f>
        <v>7.1862184378696403</v>
      </c>
      <c r="AD785" s="5">
        <f t="shared" si="324"/>
        <v>0</v>
      </c>
      <c r="AE785" s="5">
        <f t="shared" si="324"/>
        <v>-4.7183427848312602</v>
      </c>
      <c r="AF785" s="5">
        <f t="shared" si="312"/>
        <v>-14.438777627521645</v>
      </c>
      <c r="AG785">
        <f t="shared" si="323"/>
        <v>0</v>
      </c>
    </row>
    <row r="786" spans="1:33" x14ac:dyDescent="0.2">
      <c r="A786">
        <f t="shared" si="313"/>
        <v>7.5399999999998837</v>
      </c>
      <c r="B786" s="5">
        <f t="shared" si="314"/>
        <v>0</v>
      </c>
      <c r="C786" s="5">
        <f t="shared" si="315"/>
        <v>1042.0446428857249</v>
      </c>
      <c r="D786" s="5">
        <f t="shared" si="316"/>
        <v>-175.92114085368212</v>
      </c>
      <c r="E786" s="2">
        <f t="shared" si="298"/>
        <v>347.34821429524163</v>
      </c>
      <c r="F786" s="2">
        <f t="shared" si="317"/>
        <v>0</v>
      </c>
      <c r="G786" s="3">
        <f t="shared" si="318"/>
        <v>0</v>
      </c>
      <c r="H786" s="3">
        <f t="shared" si="319"/>
        <v>96.097418126500116</v>
      </c>
      <c r="I786" s="3">
        <f t="shared" si="320"/>
        <v>-89.26923047905791</v>
      </c>
      <c r="J786" s="2">
        <f t="shared" si="299"/>
        <v>131.16291122456286</v>
      </c>
      <c r="K786" s="2">
        <f t="shared" si="321"/>
        <v>89.408937440056476</v>
      </c>
      <c r="L786" s="5">
        <f t="shared" si="300"/>
        <v>26.679945409580945</v>
      </c>
      <c r="M786" s="3">
        <f t="shared" si="301"/>
        <v>16.574491156765315</v>
      </c>
      <c r="N786" s="2">
        <v>0</v>
      </c>
      <c r="O786" s="2">
        <f t="shared" si="302"/>
        <v>131.16291122456286</v>
      </c>
      <c r="P786" s="2">
        <f t="shared" si="303"/>
        <v>89.408937440056476</v>
      </c>
      <c r="Q786" s="5">
        <f t="shared" si="304"/>
        <v>1.105437299548212</v>
      </c>
      <c r="R786" s="5">
        <f t="shared" si="305"/>
        <v>0.15885526212846177</v>
      </c>
      <c r="S786" s="4">
        <f t="shared" si="322"/>
        <v>0.12636568525372446</v>
      </c>
      <c r="T786" s="5">
        <f t="shared" si="306"/>
        <v>0.1002912783001091</v>
      </c>
      <c r="U786" s="4">
        <f t="shared" si="307"/>
        <v>0</v>
      </c>
      <c r="V786" s="4">
        <f t="shared" si="308"/>
        <v>0</v>
      </c>
      <c r="W786" s="5">
        <f t="shared" si="309"/>
        <v>0</v>
      </c>
      <c r="X786" s="5">
        <f t="shared" si="310"/>
        <v>-11.377928779736539</v>
      </c>
      <c r="Y786" s="5">
        <f t="shared" si="311"/>
        <v>10.569471754959824</v>
      </c>
      <c r="Z786" s="5">
        <f>1</f>
        <v>1</v>
      </c>
      <c r="AA786" s="5">
        <f>IF(M786=0,0,const*($T786/omega)*O786*(wy*I786-wz*(H786-V786))/Z786)</f>
        <v>0</v>
      </c>
      <c r="AB786" s="5">
        <f>IF(M786=0,0,const*($T786/omega)*O786*(wz*(G786-U786)-wx*I786)/Z786)</f>
        <v>6.6729034912586354</v>
      </c>
      <c r="AC786" s="5">
        <f>IF(M786=0,0,const*($T786/omega)*O786*(wx*(H786-V786)-wy*(G786-U786))/Z786)</f>
        <v>7.1833126988553699</v>
      </c>
      <c r="AD786" s="5">
        <f t="shared" si="324"/>
        <v>0</v>
      </c>
      <c r="AE786" s="5">
        <f t="shared" si="324"/>
        <v>-4.7050252884779038</v>
      </c>
      <c r="AF786" s="5">
        <f t="shared" si="312"/>
        <v>-14.421215546184804</v>
      </c>
      <c r="AG786">
        <f t="shared" si="323"/>
        <v>0</v>
      </c>
    </row>
    <row r="787" spans="1:33" x14ac:dyDescent="0.2">
      <c r="A787">
        <f t="shared" si="313"/>
        <v>7.5499999999998835</v>
      </c>
      <c r="B787" s="5">
        <f t="shared" si="314"/>
        <v>0</v>
      </c>
      <c r="C787" s="5">
        <f t="shared" si="315"/>
        <v>1043.0053818157255</v>
      </c>
      <c r="D787" s="5">
        <f t="shared" si="316"/>
        <v>-176.81455421925003</v>
      </c>
      <c r="E787" s="2">
        <f t="shared" si="298"/>
        <v>347.66846060524182</v>
      </c>
      <c r="F787" s="2">
        <f t="shared" si="317"/>
        <v>0</v>
      </c>
      <c r="G787" s="3">
        <f t="shared" si="318"/>
        <v>0</v>
      </c>
      <c r="H787" s="3">
        <f t="shared" si="319"/>
        <v>96.050367873615343</v>
      </c>
      <c r="I787" s="3">
        <f t="shared" si="320"/>
        <v>-89.413442634519754</v>
      </c>
      <c r="J787" s="2">
        <f t="shared" si="299"/>
        <v>131.22666227719651</v>
      </c>
      <c r="K787" s="2">
        <f t="shared" si="321"/>
        <v>89.452394190318003</v>
      </c>
      <c r="L787" s="5">
        <f t="shared" si="300"/>
        <v>26.666984060305168</v>
      </c>
      <c r="M787" s="3">
        <f t="shared" si="301"/>
        <v>16.566001286768604</v>
      </c>
      <c r="N787" s="2">
        <v>0</v>
      </c>
      <c r="O787" s="2">
        <f t="shared" si="302"/>
        <v>131.22666227719651</v>
      </c>
      <c r="P787" s="2">
        <f t="shared" si="303"/>
        <v>89.452394190318003</v>
      </c>
      <c r="Q787" s="5">
        <f t="shared" si="304"/>
        <v>1.1059745916135435</v>
      </c>
      <c r="R787" s="5">
        <f t="shared" si="305"/>
        <v>0.15882894528637581</v>
      </c>
      <c r="S787" s="4">
        <f t="shared" si="322"/>
        <v>0.12623959947846136</v>
      </c>
      <c r="T787" s="5">
        <f t="shared" si="306"/>
        <v>0.10025123866195965</v>
      </c>
      <c r="U787" s="4">
        <f t="shared" si="307"/>
        <v>0</v>
      </c>
      <c r="V787" s="4">
        <f t="shared" si="308"/>
        <v>0</v>
      </c>
      <c r="W787" s="5">
        <f t="shared" si="309"/>
        <v>0</v>
      </c>
      <c r="X787" s="5">
        <f t="shared" si="310"/>
        <v>-11.376000584635003</v>
      </c>
      <c r="Y787" s="5">
        <f t="shared" si="311"/>
        <v>10.589937323539777</v>
      </c>
      <c r="Z787" s="5">
        <f>1</f>
        <v>1</v>
      </c>
      <c r="AA787" s="5">
        <f>IF(M787=0,0,const*($T787/omega)*O787*(wy*I787-wz*(H787-V787))/Z787)</f>
        <v>0</v>
      </c>
      <c r="AB787" s="5">
        <f>IF(M787=0,0,const*($T787/omega)*O787*(wz*(G787-U787)-wx*I787)/Z787)</f>
        <v>6.6842623183272378</v>
      </c>
      <c r="AC787" s="5">
        <f>IF(M787=0,0,const*($T787/omega)*O787*(wx*(H787-V787)-wy*(G787-U787))/Z787)</f>
        <v>7.180417571699782</v>
      </c>
      <c r="AD787" s="5">
        <f t="shared" si="324"/>
        <v>0</v>
      </c>
      <c r="AE787" s="5">
        <f t="shared" si="324"/>
        <v>-4.6917382663077651</v>
      </c>
      <c r="AF787" s="5">
        <f t="shared" si="312"/>
        <v>-14.403645104760439</v>
      </c>
      <c r="AG787">
        <f t="shared" si="323"/>
        <v>0</v>
      </c>
    </row>
    <row r="788" spans="1:33" x14ac:dyDescent="0.2">
      <c r="A788">
        <f t="shared" si="313"/>
        <v>7.5599999999998833</v>
      </c>
      <c r="B788" s="5">
        <f t="shared" si="314"/>
        <v>0</v>
      </c>
      <c r="C788" s="5">
        <f t="shared" si="315"/>
        <v>1043.9656509075483</v>
      </c>
      <c r="D788" s="5">
        <f t="shared" si="316"/>
        <v>-177.70940882785047</v>
      </c>
      <c r="E788" s="2">
        <f t="shared" si="298"/>
        <v>347.9885503025161</v>
      </c>
      <c r="F788" s="2">
        <f t="shared" si="317"/>
        <v>0</v>
      </c>
      <c r="G788" s="3">
        <f t="shared" si="318"/>
        <v>0</v>
      </c>
      <c r="H788" s="3">
        <f t="shared" si="319"/>
        <v>96.003450490952261</v>
      </c>
      <c r="I788" s="3">
        <f t="shared" si="320"/>
        <v>-89.557479085567351</v>
      </c>
      <c r="J788" s="2">
        <f t="shared" si="299"/>
        <v>131.29053494570945</v>
      </c>
      <c r="K788" s="2">
        <f t="shared" si="321"/>
        <v>89.495933841656068</v>
      </c>
      <c r="L788" s="5">
        <f t="shared" si="300"/>
        <v>26.654010608457874</v>
      </c>
      <c r="M788" s="3">
        <f t="shared" si="301"/>
        <v>16.557505382511973</v>
      </c>
      <c r="N788" s="2">
        <v>0</v>
      </c>
      <c r="O788" s="2">
        <f t="shared" si="302"/>
        <v>131.29053494570945</v>
      </c>
      <c r="P788" s="2">
        <f t="shared" si="303"/>
        <v>89.495933841656068</v>
      </c>
      <c r="Q788" s="5">
        <f t="shared" si="304"/>
        <v>1.1065129086540595</v>
      </c>
      <c r="R788" s="5">
        <f t="shared" si="305"/>
        <v>0.15880262002572071</v>
      </c>
      <c r="S788" s="4">
        <f t="shared" si="322"/>
        <v>0.12611347336926262</v>
      </c>
      <c r="T788" s="5">
        <f t="shared" si="306"/>
        <v>0.10021116220218881</v>
      </c>
      <c r="U788" s="4">
        <f t="shared" si="307"/>
        <v>0</v>
      </c>
      <c r="V788" s="4">
        <f t="shared" si="308"/>
        <v>0</v>
      </c>
      <c r="W788" s="5">
        <f t="shared" si="309"/>
        <v>0</v>
      </c>
      <c r="X788" s="5">
        <f t="shared" si="310"/>
        <v>-11.37409266527766</v>
      </c>
      <c r="Y788" s="5">
        <f t="shared" si="311"/>
        <v>10.610400571841</v>
      </c>
      <c r="Z788" s="5">
        <f>1</f>
        <v>1</v>
      </c>
      <c r="AA788" s="5">
        <f>IF(M788=0,0,const*($T788/omega)*O788*(wy*I788-wz*(H788-V788))/Z788)</f>
        <v>0</v>
      </c>
      <c r="AB788" s="5">
        <f>IF(M788=0,0,const*($T788/omega)*O788*(wz*(G788-U788)-wx*I788)/Z788)</f>
        <v>6.6956110205407162</v>
      </c>
      <c r="AC788" s="5">
        <f>IF(M788=0,0,const*($T788/omega)*O788*(wx*(H788-V788)-wy*(G788-U788))/Z788)</f>
        <v>7.1775329953514273</v>
      </c>
      <c r="AD788" s="5">
        <f t="shared" si="324"/>
        <v>0</v>
      </c>
      <c r="AE788" s="5">
        <f t="shared" si="324"/>
        <v>-4.6784816447369435</v>
      </c>
      <c r="AF788" s="5">
        <f t="shared" si="312"/>
        <v>-14.386066432807574</v>
      </c>
      <c r="AG788">
        <f t="shared" si="323"/>
        <v>0</v>
      </c>
    </row>
    <row r="789" spans="1:33" x14ac:dyDescent="0.2">
      <c r="A789">
        <f t="shared" si="313"/>
        <v>7.569999999999883</v>
      </c>
      <c r="B789" s="5">
        <f t="shared" si="314"/>
        <v>0</v>
      </c>
      <c r="C789" s="5">
        <f t="shared" si="315"/>
        <v>1044.9254514883755</v>
      </c>
      <c r="D789" s="5">
        <f t="shared" si="316"/>
        <v>-178.60570292202777</v>
      </c>
      <c r="E789" s="2">
        <f t="shared" si="298"/>
        <v>348.30848382945851</v>
      </c>
      <c r="F789" s="2">
        <f t="shared" si="317"/>
        <v>0</v>
      </c>
      <c r="G789" s="3">
        <f t="shared" si="318"/>
        <v>0</v>
      </c>
      <c r="H789" s="3">
        <f t="shared" si="319"/>
        <v>95.95666567450489</v>
      </c>
      <c r="I789" s="3">
        <f t="shared" si="320"/>
        <v>-89.701339749895425</v>
      </c>
      <c r="J789" s="2">
        <f t="shared" si="299"/>
        <v>131.35452805402207</v>
      </c>
      <c r="K789" s="2">
        <f t="shared" si="321"/>
        <v>89.53955559238041</v>
      </c>
      <c r="L789" s="5">
        <f t="shared" si="300"/>
        <v>26.641025346258679</v>
      </c>
      <c r="M789" s="3">
        <f t="shared" si="301"/>
        <v>16.54900348259136</v>
      </c>
      <c r="N789" s="2">
        <v>0</v>
      </c>
      <c r="O789" s="2">
        <f t="shared" si="302"/>
        <v>131.35452805402207</v>
      </c>
      <c r="P789" s="2">
        <f t="shared" si="303"/>
        <v>89.53955559238041</v>
      </c>
      <c r="Q789" s="5">
        <f t="shared" si="304"/>
        <v>1.1070522407577947</v>
      </c>
      <c r="R789" s="5">
        <f t="shared" si="305"/>
        <v>0.15877628672866984</v>
      </c>
      <c r="S789" s="4">
        <f t="shared" si="322"/>
        <v>0.12598730875714664</v>
      </c>
      <c r="T789" s="5">
        <f t="shared" si="306"/>
        <v>0.10017104944162278</v>
      </c>
      <c r="U789" s="4">
        <f t="shared" si="307"/>
        <v>0</v>
      </c>
      <c r="V789" s="4">
        <f t="shared" si="308"/>
        <v>0</v>
      </c>
      <c r="W789" s="5">
        <f t="shared" si="309"/>
        <v>0</v>
      </c>
      <c r="X789" s="5">
        <f t="shared" si="310"/>
        <v>-11.372204908341981</v>
      </c>
      <c r="Y789" s="5">
        <f t="shared" si="311"/>
        <v>10.630861431230905</v>
      </c>
      <c r="Z789" s="5">
        <f>1</f>
        <v>1</v>
      </c>
      <c r="AA789" s="5">
        <f>IF(M789=0,0,const*($T789/omega)*O789*(wy*I789-wz*(H789-V789))/Z789)</f>
        <v>0</v>
      </c>
      <c r="AB789" s="5">
        <f>IF(M789=0,0,const*($T789/omega)*O789*(wz*(G789-U789)-wx*I789)/Z789)</f>
        <v>6.7069495576166807</v>
      </c>
      <c r="AC789" s="5">
        <f>IF(M789=0,0,const*($T789/omega)*O789*(wx*(H789-V789)-wy*(G789-U789))/Z789)</f>
        <v>7.1746589091133686</v>
      </c>
      <c r="AD789" s="5">
        <f t="shared" si="324"/>
        <v>0</v>
      </c>
      <c r="AE789" s="5">
        <f t="shared" si="324"/>
        <v>-4.6652553507253005</v>
      </c>
      <c r="AF789" s="5">
        <f t="shared" si="312"/>
        <v>-14.368479659655726</v>
      </c>
      <c r="AG789">
        <f t="shared" si="323"/>
        <v>0</v>
      </c>
    </row>
    <row r="790" spans="1:33" x14ac:dyDescent="0.2">
      <c r="A790">
        <f t="shared" si="313"/>
        <v>7.5799999999998828</v>
      </c>
      <c r="B790" s="5">
        <f t="shared" si="314"/>
        <v>0</v>
      </c>
      <c r="C790" s="5">
        <f t="shared" si="315"/>
        <v>1045.884784882353</v>
      </c>
      <c r="D790" s="5">
        <f t="shared" si="316"/>
        <v>-179.50343474350973</v>
      </c>
      <c r="E790" s="2">
        <f t="shared" si="298"/>
        <v>348.62826162745097</v>
      </c>
      <c r="F790" s="2">
        <f t="shared" si="317"/>
        <v>0</v>
      </c>
      <c r="G790" s="3">
        <f t="shared" si="318"/>
        <v>0</v>
      </c>
      <c r="H790" s="3">
        <f t="shared" si="319"/>
        <v>95.910013120997633</v>
      </c>
      <c r="I790" s="3">
        <f t="shared" si="320"/>
        <v>-89.845024546491985</v>
      </c>
      <c r="J790" s="2">
        <f t="shared" si="299"/>
        <v>131.41864043060895</v>
      </c>
      <c r="K790" s="2">
        <f t="shared" si="321"/>
        <v>89.583258643905211</v>
      </c>
      <c r="L790" s="5">
        <f t="shared" si="300"/>
        <v>26.628028564036132</v>
      </c>
      <c r="M790" s="3">
        <f t="shared" si="301"/>
        <v>16.540495625615037</v>
      </c>
      <c r="N790" s="2">
        <v>0</v>
      </c>
      <c r="O790" s="2">
        <f t="shared" si="302"/>
        <v>131.41864043060895</v>
      </c>
      <c r="P790" s="2">
        <f t="shared" si="303"/>
        <v>89.583258643905211</v>
      </c>
      <c r="Q790" s="5">
        <f t="shared" si="304"/>
        <v>1.1075925780511664</v>
      </c>
      <c r="R790" s="5">
        <f t="shared" si="305"/>
        <v>0.15874994577486376</v>
      </c>
      <c r="S790" s="4">
        <f t="shared" si="322"/>
        <v>0.1258611074609973</v>
      </c>
      <c r="T790" s="5">
        <f t="shared" si="306"/>
        <v>0.10013090089844584</v>
      </c>
      <c r="U790" s="4">
        <f t="shared" si="307"/>
        <v>0</v>
      </c>
      <c r="V790" s="4">
        <f t="shared" si="308"/>
        <v>0</v>
      </c>
      <c r="W790" s="5">
        <f t="shared" si="309"/>
        <v>0</v>
      </c>
      <c r="X790" s="5">
        <f t="shared" si="310"/>
        <v>-11.370337201099792</v>
      </c>
      <c r="Y790" s="5">
        <f t="shared" si="311"/>
        <v>10.651319832955474</v>
      </c>
      <c r="Z790" s="5">
        <f>1</f>
        <v>1</v>
      </c>
      <c r="AA790" s="5">
        <f>IF(M790=0,0,const*($T790/omega)*O790*(wy*I790-wz*(H790-V790))/Z790)</f>
        <v>0</v>
      </c>
      <c r="AB790" s="5">
        <f>IF(M790=0,0,const*($T790/omega)*O790*(wz*(G790-U790)-wx*I790)/Z790)</f>
        <v>6.7182778893281832</v>
      </c>
      <c r="AC790" s="5">
        <f>IF(M790=0,0,const*($T790/omega)*O790*(wx*(H790-V790)-wy*(G790-U790))/Z790)</f>
        <v>7.1717952526413233</v>
      </c>
      <c r="AD790" s="5">
        <f t="shared" si="324"/>
        <v>0</v>
      </c>
      <c r="AE790" s="5">
        <f t="shared" si="324"/>
        <v>-4.6520593117716089</v>
      </c>
      <c r="AF790" s="5">
        <f t="shared" si="312"/>
        <v>-14.350884914403203</v>
      </c>
      <c r="AG790">
        <f t="shared" si="323"/>
        <v>0</v>
      </c>
    </row>
    <row r="791" spans="1:33" x14ac:dyDescent="0.2">
      <c r="A791">
        <f t="shared" si="313"/>
        <v>7.5899999999998826</v>
      </c>
      <c r="B791" s="5">
        <f t="shared" si="314"/>
        <v>0</v>
      </c>
      <c r="C791" s="5">
        <f t="shared" si="315"/>
        <v>1046.8436524105973</v>
      </c>
      <c r="D791" s="5">
        <f t="shared" si="316"/>
        <v>-180.40260253322037</v>
      </c>
      <c r="E791" s="2">
        <f t="shared" si="298"/>
        <v>348.94788413686575</v>
      </c>
      <c r="F791" s="2">
        <f t="shared" si="317"/>
        <v>0</v>
      </c>
      <c r="G791" s="3">
        <f t="shared" si="318"/>
        <v>0</v>
      </c>
      <c r="H791" s="3">
        <f t="shared" si="319"/>
        <v>95.863492527879913</v>
      </c>
      <c r="I791" s="3">
        <f t="shared" si="320"/>
        <v>-89.988533395636011</v>
      </c>
      <c r="J791" s="2">
        <f t="shared" si="299"/>
        <v>131.48287090849661</v>
      </c>
      <c r="K791" s="2">
        <f t="shared" si="321"/>
        <v>89.62704220074751</v>
      </c>
      <c r="L791" s="5">
        <f t="shared" si="300"/>
        <v>26.615020550231321</v>
      </c>
      <c r="M791" s="3">
        <f t="shared" si="301"/>
        <v>16.531981850202367</v>
      </c>
      <c r="N791" s="2">
        <v>0</v>
      </c>
      <c r="O791" s="2">
        <f t="shared" si="302"/>
        <v>131.48287090849661</v>
      </c>
      <c r="P791" s="2">
        <f t="shared" si="303"/>
        <v>89.62704220074751</v>
      </c>
      <c r="Q791" s="5">
        <f t="shared" si="304"/>
        <v>1.1081339106989547</v>
      </c>
      <c r="R791" s="5">
        <f t="shared" si="305"/>
        <v>0.15872359754141541</v>
      </c>
      <c r="S791" s="4">
        <f t="shared" si="322"/>
        <v>0.12573487128758798</v>
      </c>
      <c r="T791" s="5">
        <f t="shared" si="306"/>
        <v>0.10009071708820247</v>
      </c>
      <c r="U791" s="4">
        <f t="shared" si="307"/>
        <v>0</v>
      </c>
      <c r="V791" s="4">
        <f t="shared" si="308"/>
        <v>0</v>
      </c>
      <c r="W791" s="5">
        <f t="shared" si="309"/>
        <v>0</v>
      </c>
      <c r="X791" s="5">
        <f t="shared" si="310"/>
        <v>-11.368489431414309</v>
      </c>
      <c r="Y791" s="5">
        <f t="shared" si="311"/>
        <v>10.671775708142841</v>
      </c>
      <c r="Z791" s="5">
        <f>1</f>
        <v>1</v>
      </c>
      <c r="AA791" s="5">
        <f>IF(M791=0,0,const*($T791/omega)*O791*(wy*I791-wz*(H791-V791))/Z791)</f>
        <v>0</v>
      </c>
      <c r="AB791" s="5">
        <f>IF(M791=0,0,const*($T791/omega)*O791*(wz*(G791-U791)-wx*I791)/Z791)</f>
        <v>6.7295959755055819</v>
      </c>
      <c r="AC791" s="5">
        <f>IF(M791=0,0,const*($T791/omega)*O791*(wx*(H791-V791)-wy*(G791-U791))/Z791)</f>
        <v>7.1689419659417988</v>
      </c>
      <c r="AD791" s="5">
        <f t="shared" si="324"/>
        <v>0</v>
      </c>
      <c r="AE791" s="5">
        <f t="shared" si="324"/>
        <v>-4.6388934559087271</v>
      </c>
      <c r="AF791" s="5">
        <f t="shared" si="312"/>
        <v>-14.333282325915359</v>
      </c>
      <c r="AG791">
        <f t="shared" si="323"/>
        <v>0</v>
      </c>
    </row>
    <row r="792" spans="1:33" x14ac:dyDescent="0.2">
      <c r="A792">
        <f t="shared" si="313"/>
        <v>7.5999999999998824</v>
      </c>
      <c r="B792" s="5">
        <f t="shared" si="314"/>
        <v>0</v>
      </c>
      <c r="C792" s="5">
        <f t="shared" si="315"/>
        <v>1047.8020553912033</v>
      </c>
      <c r="D792" s="5">
        <f t="shared" si="316"/>
        <v>-181.30320453129301</v>
      </c>
      <c r="E792" s="2">
        <f t="shared" si="298"/>
        <v>349.26735179706776</v>
      </c>
      <c r="F792" s="2">
        <f t="shared" si="317"/>
        <v>0</v>
      </c>
      <c r="G792" s="3">
        <f t="shared" si="318"/>
        <v>0</v>
      </c>
      <c r="H792" s="3">
        <f t="shared" si="319"/>
        <v>95.817103593320823</v>
      </c>
      <c r="I792" s="3">
        <f t="shared" si="320"/>
        <v>-90.131866218895169</v>
      </c>
      <c r="J792" s="2">
        <f t="shared" si="299"/>
        <v>131.54721832526141</v>
      </c>
      <c r="K792" s="2">
        <f t="shared" si="321"/>
        <v>89.670905470525838</v>
      </c>
      <c r="L792" s="5">
        <f t="shared" si="300"/>
        <v>26.602001591401528</v>
      </c>
      <c r="M792" s="3">
        <f t="shared" si="301"/>
        <v>16.523462194982532</v>
      </c>
      <c r="N792" s="2">
        <v>0</v>
      </c>
      <c r="O792" s="2">
        <f t="shared" si="302"/>
        <v>131.54721832526141</v>
      </c>
      <c r="P792" s="2">
        <f t="shared" si="303"/>
        <v>89.670905470525838</v>
      </c>
      <c r="Q792" s="5">
        <f t="shared" si="304"/>
        <v>1.1086762289042864</v>
      </c>
      <c r="R792" s="5">
        <f t="shared" si="305"/>
        <v>0.15869724240291497</v>
      </c>
      <c r="S792" s="4">
        <f t="shared" si="322"/>
        <v>0.12560860203160587</v>
      </c>
      <c r="T792" s="5">
        <f t="shared" si="306"/>
        <v>0.10005049852379923</v>
      </c>
      <c r="U792" s="4">
        <f t="shared" si="307"/>
        <v>0</v>
      </c>
      <c r="V792" s="4">
        <f t="shared" si="308"/>
        <v>0</v>
      </c>
      <c r="W792" s="5">
        <f t="shared" si="309"/>
        <v>0</v>
      </c>
      <c r="X792" s="5">
        <f t="shared" si="310"/>
        <v>-11.366661487737186</v>
      </c>
      <c r="Y792" s="5">
        <f t="shared" si="311"/>
        <v>10.692228987806843</v>
      </c>
      <c r="Z792" s="5">
        <f>1</f>
        <v>1</v>
      </c>
      <c r="AA792" s="5">
        <f>IF(M792=0,0,const*($T792/omega)*O792*(wy*I792-wz*(H792-V792))/Z792)</f>
        <v>0</v>
      </c>
      <c r="AB792" s="5">
        <f>IF(M792=0,0,const*($T792/omega)*O792*(wz*(G792-U792)-wx*I792)/Z792)</f>
        <v>6.7409037760384072</v>
      </c>
      <c r="AC792" s="5">
        <f>IF(M792=0,0,const*($T792/omega)*O792*(wx*(H792-V792)-wy*(G792-U792))/Z792)</f>
        <v>7.1660989893702531</v>
      </c>
      <c r="AD792" s="5">
        <f t="shared" si="324"/>
        <v>0</v>
      </c>
      <c r="AE792" s="5">
        <f t="shared" si="324"/>
        <v>-4.6257577116987791</v>
      </c>
      <c r="AF792" s="5">
        <f t="shared" si="312"/>
        <v>-14.315672022822902</v>
      </c>
      <c r="AG792">
        <f t="shared" si="323"/>
        <v>0</v>
      </c>
    </row>
    <row r="793" spans="1:33" x14ac:dyDescent="0.2">
      <c r="A793">
        <f t="shared" si="313"/>
        <v>7.6099999999998822</v>
      </c>
      <c r="B793" s="5">
        <f t="shared" si="314"/>
        <v>0</v>
      </c>
      <c r="C793" s="5">
        <f t="shared" si="315"/>
        <v>1048.759995139251</v>
      </c>
      <c r="D793" s="5">
        <f t="shared" si="316"/>
        <v>-182.2052389770831</v>
      </c>
      <c r="E793" s="2">
        <f t="shared" si="298"/>
        <v>349.58666504641701</v>
      </c>
      <c r="F793" s="2">
        <f t="shared" si="317"/>
        <v>0</v>
      </c>
      <c r="G793" s="3">
        <f t="shared" si="318"/>
        <v>0</v>
      </c>
      <c r="H793" s="3">
        <f t="shared" si="319"/>
        <v>95.770846016203834</v>
      </c>
      <c r="I793" s="3">
        <f t="shared" si="320"/>
        <v>-90.275022939123403</v>
      </c>
      <c r="J793" s="2">
        <f t="shared" si="299"/>
        <v>131.61168152302699</v>
      </c>
      <c r="K793" s="2">
        <f t="shared" si="321"/>
        <v>89.714847663958409</v>
      </c>
      <c r="L793" s="5">
        <f t="shared" si="300"/>
        <v>26.588971972224101</v>
      </c>
      <c r="M793" s="3">
        <f t="shared" si="301"/>
        <v>16.514936698593267</v>
      </c>
      <c r="N793" s="2">
        <v>0</v>
      </c>
      <c r="O793" s="2">
        <f t="shared" si="302"/>
        <v>131.61168152302699</v>
      </c>
      <c r="P793" s="2">
        <f t="shared" si="303"/>
        <v>89.714847663958409</v>
      </c>
      <c r="Q793" s="5">
        <f t="shared" si="304"/>
        <v>1.1092195229086124</v>
      </c>
      <c r="R793" s="5">
        <f t="shared" si="305"/>
        <v>0.15867088073143526</v>
      </c>
      <c r="S793" s="4">
        <f t="shared" si="322"/>
        <v>0.12548230147567704</v>
      </c>
      <c r="T793" s="5">
        <f t="shared" si="306"/>
        <v>0.10001024571550693</v>
      </c>
      <c r="U793" s="4">
        <f t="shared" si="307"/>
        <v>0</v>
      </c>
      <c r="V793" s="4">
        <f t="shared" si="308"/>
        <v>0</v>
      </c>
      <c r="W793" s="5">
        <f t="shared" si="309"/>
        <v>0</v>
      </c>
      <c r="X793" s="5">
        <f t="shared" si="310"/>
        <v>-11.364853259105571</v>
      </c>
      <c r="Y793" s="5">
        <f t="shared" si="311"/>
        <v>10.712679602850541</v>
      </c>
      <c r="Z793" s="5">
        <f>1</f>
        <v>1</v>
      </c>
      <c r="AA793" s="5">
        <f>IF(M793=0,0,const*($T793/omega)*O793*(wy*I793-wz*(H793-V793))/Z793)</f>
        <v>0</v>
      </c>
      <c r="AB793" s="5">
        <f>IF(M793=0,0,const*($T793/omega)*O793*(wz*(G793-U793)-wx*I793)/Z793)</f>
        <v>6.7522012508771843</v>
      </c>
      <c r="AC793" s="5">
        <f>IF(M793=0,0,const*($T793/omega)*O793*(wx*(H793-V793)-wy*(G793-U793))/Z793)</f>
        <v>7.1632662636292332</v>
      </c>
      <c r="AD793" s="5">
        <f t="shared" si="324"/>
        <v>0</v>
      </c>
      <c r="AE793" s="5">
        <f t="shared" si="324"/>
        <v>-4.6126520082283866</v>
      </c>
      <c r="AF793" s="5">
        <f t="shared" si="312"/>
        <v>-14.298054133520225</v>
      </c>
      <c r="AG793">
        <f t="shared" si="323"/>
        <v>0</v>
      </c>
    </row>
    <row r="794" spans="1:33" x14ac:dyDescent="0.2">
      <c r="A794">
        <f t="shared" si="313"/>
        <v>7.619999999999882</v>
      </c>
      <c r="B794" s="5">
        <f t="shared" si="314"/>
        <v>0</v>
      </c>
      <c r="C794" s="5">
        <f t="shared" si="315"/>
        <v>1049.7174729668125</v>
      </c>
      <c r="D794" s="5">
        <f t="shared" si="316"/>
        <v>-183.10870410918102</v>
      </c>
      <c r="E794" s="2">
        <f t="shared" si="298"/>
        <v>349.9058243222708</v>
      </c>
      <c r="F794" s="2">
        <f t="shared" si="317"/>
        <v>0</v>
      </c>
      <c r="G794" s="3">
        <f t="shared" si="318"/>
        <v>0</v>
      </c>
      <c r="H794" s="3">
        <f t="shared" si="319"/>
        <v>95.724719496121551</v>
      </c>
      <c r="I794" s="3">
        <f t="shared" si="320"/>
        <v>-90.418003480458609</v>
      </c>
      <c r="J794" s="2">
        <f t="shared" si="299"/>
        <v>131.67625934846183</v>
      </c>
      <c r="K794" s="2">
        <f t="shared" si="321"/>
        <v>89.758867994861504</v>
      </c>
      <c r="L794" s="5">
        <f t="shared" si="300"/>
        <v>26.575931975500236</v>
      </c>
      <c r="M794" s="3">
        <f t="shared" si="301"/>
        <v>16.506405399679604</v>
      </c>
      <c r="N794" s="2">
        <v>0</v>
      </c>
      <c r="O794" s="2">
        <f t="shared" si="302"/>
        <v>131.67625934846183</v>
      </c>
      <c r="P794" s="2">
        <f t="shared" si="303"/>
        <v>89.758867994861504</v>
      </c>
      <c r="Q794" s="5">
        <f t="shared" si="304"/>
        <v>1.1097637829916869</v>
      </c>
      <c r="R794" s="5">
        <f t="shared" si="305"/>
        <v>0.158644512896537</v>
      </c>
      <c r="S794" s="4">
        <f t="shared" si="322"/>
        <v>0.1253559713903919</v>
      </c>
      <c r="T794" s="5">
        <f t="shared" si="306"/>
        <v>9.9969959170962963E-2</v>
      </c>
      <c r="U794" s="4">
        <f t="shared" si="307"/>
        <v>0</v>
      </c>
      <c r="V794" s="4">
        <f t="shared" si="308"/>
        <v>0</v>
      </c>
      <c r="W794" s="5">
        <f t="shared" si="309"/>
        <v>0</v>
      </c>
      <c r="X794" s="5">
        <f t="shared" si="310"/>
        <v>-11.363064635139159</v>
      </c>
      <c r="Y794" s="5">
        <f t="shared" si="311"/>
        <v>10.733127484069739</v>
      </c>
      <c r="Z794" s="5">
        <f>1</f>
        <v>1</v>
      </c>
      <c r="AA794" s="5">
        <f>IF(M794=0,0,const*($T794/omega)*O794*(wy*I794-wz*(H794-V794))/Z794)</f>
        <v>0</v>
      </c>
      <c r="AB794" s="5">
        <f>IF(M794=0,0,const*($T794/omega)*O794*(wz*(G794-U794)-wx*I794)/Z794)</f>
        <v>6.7634883600352627</v>
      </c>
      <c r="AC794" s="5">
        <f>IF(M794=0,0,const*($T794/omega)*O794*(wx*(H794-V794)-wy*(G794-U794))/Z794)</f>
        <v>7.1604437297665369</v>
      </c>
      <c r="AD794" s="5">
        <f t="shared" si="324"/>
        <v>0</v>
      </c>
      <c r="AE794" s="5">
        <f t="shared" si="324"/>
        <v>-4.599576275103896</v>
      </c>
      <c r="AF794" s="5">
        <f t="shared" si="312"/>
        <v>-14.280428786163725</v>
      </c>
      <c r="AG794">
        <f t="shared" si="323"/>
        <v>0</v>
      </c>
    </row>
    <row r="795" spans="1:33" x14ac:dyDescent="0.2">
      <c r="A795">
        <f t="shared" si="313"/>
        <v>7.6299999999998818</v>
      </c>
      <c r="B795" s="5">
        <f t="shared" si="314"/>
        <v>0</v>
      </c>
      <c r="C795" s="5">
        <f t="shared" si="315"/>
        <v>1050.67449018296</v>
      </c>
      <c r="D795" s="5">
        <f t="shared" si="316"/>
        <v>-184.01359816542492</v>
      </c>
      <c r="E795" s="2">
        <f t="shared" si="298"/>
        <v>350.22483006098668</v>
      </c>
      <c r="F795" s="2">
        <f t="shared" si="317"/>
        <v>0</v>
      </c>
      <c r="G795" s="3">
        <f t="shared" si="318"/>
        <v>0</v>
      </c>
      <c r="H795" s="3">
        <f t="shared" si="319"/>
        <v>95.678723733370518</v>
      </c>
      <c r="I795" s="3">
        <f t="shared" si="320"/>
        <v>-90.560807768320245</v>
      </c>
      <c r="J795" s="2">
        <f t="shared" si="299"/>
        <v>131.74095065277649</v>
      </c>
      <c r="K795" s="2">
        <f t="shared" si="321"/>
        <v>89.802965680147565</v>
      </c>
      <c r="L795" s="5">
        <f t="shared" si="300"/>
        <v>26.562881882159068</v>
      </c>
      <c r="M795" s="3">
        <f t="shared" si="301"/>
        <v>16.497868336892651</v>
      </c>
      <c r="N795" s="2">
        <v>0</v>
      </c>
      <c r="O795" s="2">
        <f t="shared" si="302"/>
        <v>131.74095065277649</v>
      </c>
      <c r="P795" s="2">
        <f t="shared" si="303"/>
        <v>89.802965680147565</v>
      </c>
      <c r="Q795" s="5">
        <f t="shared" si="304"/>
        <v>1.1103089994715454</v>
      </c>
      <c r="R795" s="5">
        <f t="shared" si="305"/>
        <v>0.15861813926527429</v>
      </c>
      <c r="S795" s="4">
        <f t="shared" si="322"/>
        <v>0.1252296135343316</v>
      </c>
      <c r="T795" s="5">
        <f t="shared" si="306"/>
        <v>9.9929639395173728E-2</v>
      </c>
      <c r="U795" s="4">
        <f t="shared" si="307"/>
        <v>0</v>
      </c>
      <c r="V795" s="4">
        <f t="shared" si="308"/>
        <v>0</v>
      </c>
      <c r="W795" s="5">
        <f t="shared" si="309"/>
        <v>0</v>
      </c>
      <c r="X795" s="5">
        <f t="shared" si="310"/>
        <v>-11.361295506037285</v>
      </c>
      <c r="Y795" s="5">
        <f t="shared" si="311"/>
        <v>10.75357256215648</v>
      </c>
      <c r="Z795" s="5">
        <f>1</f>
        <v>1</v>
      </c>
      <c r="AA795" s="5">
        <f>IF(M795=0,0,const*($T795/omega)*O795*(wy*I795-wz*(H795-V795))/Z795)</f>
        <v>0</v>
      </c>
      <c r="AB795" s="5">
        <f>IF(M795=0,0,const*($T795/omega)*O795*(wz*(G795-U795)-wx*I795)/Z795)</f>
        <v>6.7747650635906176</v>
      </c>
      <c r="AC795" s="5">
        <f>IF(M795=0,0,const*($T795/omega)*O795*(wx*(H795-V795)-wy*(G795-U795))/Z795)</f>
        <v>7.1576313291733813</v>
      </c>
      <c r="AD795" s="5">
        <f t="shared" si="324"/>
        <v>0</v>
      </c>
      <c r="AE795" s="5">
        <f t="shared" si="324"/>
        <v>-4.5865304424466675</v>
      </c>
      <c r="AF795" s="5">
        <f t="shared" si="312"/>
        <v>-14.262796108670138</v>
      </c>
      <c r="AG795">
        <f t="shared" si="323"/>
        <v>0</v>
      </c>
    </row>
    <row r="796" spans="1:33" x14ac:dyDescent="0.2">
      <c r="A796">
        <f t="shared" si="313"/>
        <v>7.6399999999998816</v>
      </c>
      <c r="B796" s="5">
        <f t="shared" si="314"/>
        <v>0</v>
      </c>
      <c r="C796" s="5">
        <f t="shared" si="315"/>
        <v>1051.6310480937714</v>
      </c>
      <c r="D796" s="5">
        <f t="shared" si="316"/>
        <v>-184.91991938291358</v>
      </c>
      <c r="E796" s="2">
        <f t="shared" si="298"/>
        <v>350.54368269792377</v>
      </c>
      <c r="F796" s="2">
        <f t="shared" si="317"/>
        <v>0</v>
      </c>
      <c r="G796" s="3">
        <f t="shared" si="318"/>
        <v>0</v>
      </c>
      <c r="H796" s="3">
        <f t="shared" si="319"/>
        <v>95.632858428946051</v>
      </c>
      <c r="I796" s="3">
        <f t="shared" si="320"/>
        <v>-90.703435729406948</v>
      </c>
      <c r="J796" s="2">
        <f t="shared" si="299"/>
        <v>131.80575429172086</v>
      </c>
      <c r="K796" s="2">
        <f t="shared" si="321"/>
        <v>89.84713993982335</v>
      </c>
      <c r="L796" s="5">
        <f t="shared" si="300"/>
        <v>26.549821971261679</v>
      </c>
      <c r="M796" s="3">
        <f t="shared" si="301"/>
        <v>16.489325548888324</v>
      </c>
      <c r="N796" s="2">
        <v>0</v>
      </c>
      <c r="O796" s="2">
        <f t="shared" si="302"/>
        <v>131.80575429172086</v>
      </c>
      <c r="P796" s="2">
        <f t="shared" si="303"/>
        <v>89.84713993982335</v>
      </c>
      <c r="Q796" s="5">
        <f t="shared" si="304"/>
        <v>1.1108551627044803</v>
      </c>
      <c r="R796" s="5">
        <f t="shared" si="305"/>
        <v>0.15859176020220023</v>
      </c>
      <c r="S796" s="4">
        <f t="shared" si="322"/>
        <v>0.12510322965409462</v>
      </c>
      <c r="T796" s="5">
        <f t="shared" si="306"/>
        <v>9.9889286890517209E-2</v>
      </c>
      <c r="U796" s="4">
        <f t="shared" si="307"/>
        <v>0</v>
      </c>
      <c r="V796" s="4">
        <f t="shared" si="308"/>
        <v>0</v>
      </c>
      <c r="W796" s="5">
        <f t="shared" si="309"/>
        <v>0</v>
      </c>
      <c r="X796" s="5">
        <f t="shared" si="310"/>
        <v>-11.35954576257598</v>
      </c>
      <c r="Y796" s="5">
        <f t="shared" si="311"/>
        <v>10.774014767702502</v>
      </c>
      <c r="Z796" s="5">
        <f>1</f>
        <v>1</v>
      </c>
      <c r="AA796" s="5">
        <f>IF(M796=0,0,const*($T796/omega)*O796*(wy*I796-wz*(H796-V796))/Z796)</f>
        <v>0</v>
      </c>
      <c r="AB796" s="5">
        <f>IF(M796=0,0,const*($T796/omega)*O796*(wz*(G796-U796)-wx*I796)/Z796)</f>
        <v>6.7860313216876307</v>
      </c>
      <c r="AC796" s="5">
        <f>IF(M796=0,0,const*($T796/omega)*O796*(wx*(H796-V796)-wy*(G796-U796))/Z796)</f>
        <v>7.1548290035825532</v>
      </c>
      <c r="AD796" s="5">
        <f t="shared" si="324"/>
        <v>0</v>
      </c>
      <c r="AE796" s="5">
        <f t="shared" si="324"/>
        <v>-4.5735144408883492</v>
      </c>
      <c r="AF796" s="5">
        <f t="shared" si="312"/>
        <v>-14.245156228714944</v>
      </c>
      <c r="AG796">
        <f t="shared" si="323"/>
        <v>0</v>
      </c>
    </row>
    <row r="797" spans="1:33" x14ac:dyDescent="0.2">
      <c r="A797">
        <f t="shared" si="313"/>
        <v>7.6499999999998813</v>
      </c>
      <c r="B797" s="5">
        <f t="shared" si="314"/>
        <v>0</v>
      </c>
      <c r="C797" s="5">
        <f t="shared" si="315"/>
        <v>1052.5871480023386</v>
      </c>
      <c r="D797" s="5">
        <f t="shared" si="316"/>
        <v>-185.82766599801909</v>
      </c>
      <c r="E797" s="2">
        <f t="shared" si="298"/>
        <v>350.86238266744618</v>
      </c>
      <c r="F797" s="2">
        <f t="shared" si="317"/>
        <v>0</v>
      </c>
      <c r="G797" s="3">
        <f t="shared" si="318"/>
        <v>0</v>
      </c>
      <c r="H797" s="3">
        <f t="shared" si="319"/>
        <v>95.587123284537171</v>
      </c>
      <c r="I797" s="3">
        <f t="shared" si="320"/>
        <v>-90.845887291694098</v>
      </c>
      <c r="J797" s="2">
        <f t="shared" si="299"/>
        <v>131.87066912558112</v>
      </c>
      <c r="K797" s="2">
        <f t="shared" si="321"/>
        <v>89.891389996987797</v>
      </c>
      <c r="L797" s="5">
        <f t="shared" si="300"/>
        <v>26.536752520005294</v>
      </c>
      <c r="M797" s="3">
        <f t="shared" si="301"/>
        <v>16.48077707432617</v>
      </c>
      <c r="N797" s="2">
        <v>0</v>
      </c>
      <c r="O797" s="2">
        <f t="shared" si="302"/>
        <v>131.87066912558112</v>
      </c>
      <c r="P797" s="2">
        <f t="shared" si="303"/>
        <v>89.891389996987797</v>
      </c>
      <c r="Q797" s="5">
        <f t="shared" si="304"/>
        <v>1.1114022630850158</v>
      </c>
      <c r="R797" s="5">
        <f t="shared" si="305"/>
        <v>0.1585653760693726</v>
      </c>
      <c r="S797" s="4">
        <f t="shared" si="322"/>
        <v>0.12497682148432447</v>
      </c>
      <c r="T797" s="5">
        <f t="shared" si="306"/>
        <v>9.9848902156745745E-2</v>
      </c>
      <c r="U797" s="4">
        <f t="shared" si="307"/>
        <v>0</v>
      </c>
      <c r="V797" s="4">
        <f t="shared" si="308"/>
        <v>0</v>
      </c>
      <c r="W797" s="5">
        <f t="shared" si="309"/>
        <v>0</v>
      </c>
      <c r="X797" s="5">
        <f t="shared" si="310"/>
        <v>-11.357815296105089</v>
      </c>
      <c r="Y797" s="5">
        <f t="shared" si="311"/>
        <v>10.794454031202704</v>
      </c>
      <c r="Z797" s="5">
        <f>1</f>
        <v>1</v>
      </c>
      <c r="AA797" s="5">
        <f>IF(M797=0,0,const*($T797/omega)*O797*(wy*I797-wz*(H797-V797))/Z797)</f>
        <v>0</v>
      </c>
      <c r="AB797" s="5">
        <f>IF(M797=0,0,const*($T797/omega)*O797*(wz*(G797-U797)-wx*I797)/Z797)</f>
        <v>6.7972870945388673</v>
      </c>
      <c r="AC797" s="5">
        <f>IF(M797=0,0,const*($T797/omega)*O797*(wx*(H797-V797)-wy*(G797-U797))/Z797)</f>
        <v>7.1520366950665943</v>
      </c>
      <c r="AD797" s="5">
        <f t="shared" si="324"/>
        <v>0</v>
      </c>
      <c r="AE797" s="5">
        <f t="shared" si="324"/>
        <v>-4.5605282015662221</v>
      </c>
      <c r="AF797" s="5">
        <f t="shared" si="312"/>
        <v>-14.2275092737307</v>
      </c>
      <c r="AG797">
        <f t="shared" si="323"/>
        <v>0</v>
      </c>
    </row>
    <row r="798" spans="1:33" x14ac:dyDescent="0.2">
      <c r="A798">
        <f t="shared" si="313"/>
        <v>7.6599999999998811</v>
      </c>
      <c r="B798" s="5">
        <f t="shared" si="314"/>
        <v>0</v>
      </c>
      <c r="C798" s="5">
        <f t="shared" si="315"/>
        <v>1053.5427912087739</v>
      </c>
      <c r="D798" s="5">
        <f t="shared" si="316"/>
        <v>-186.73683624639972</v>
      </c>
      <c r="E798" s="2">
        <f t="shared" si="298"/>
        <v>351.18093040292462</v>
      </c>
      <c r="F798" s="2">
        <f t="shared" si="317"/>
        <v>0</v>
      </c>
      <c r="G798" s="3">
        <f t="shared" si="318"/>
        <v>0</v>
      </c>
      <c r="H798" s="3">
        <f t="shared" si="319"/>
        <v>95.541518002521514</v>
      </c>
      <c r="I798" s="3">
        <f t="shared" si="320"/>
        <v>-90.988162384431405</v>
      </c>
      <c r="J798" s="2">
        <f t="shared" si="299"/>
        <v>131.93569401917662</v>
      </c>
      <c r="K798" s="2">
        <f t="shared" si="321"/>
        <v>89.935715077829997</v>
      </c>
      <c r="L798" s="5">
        <f t="shared" si="300"/>
        <v>26.523673803727554</v>
      </c>
      <c r="M798" s="3">
        <f t="shared" si="301"/>
        <v>16.472222951868126</v>
      </c>
      <c r="N798" s="2">
        <v>0</v>
      </c>
      <c r="O798" s="2">
        <f t="shared" si="302"/>
        <v>131.93569401917662</v>
      </c>
      <c r="P798" s="2">
        <f t="shared" si="303"/>
        <v>89.935715077829997</v>
      </c>
      <c r="Q798" s="5">
        <f t="shared" si="304"/>
        <v>1.1119502910458816</v>
      </c>
      <c r="R798" s="5">
        <f t="shared" si="305"/>
        <v>0.15853898722635973</v>
      </c>
      <c r="S798" s="4">
        <f t="shared" si="322"/>
        <v>0.12485039074773743</v>
      </c>
      <c r="T798" s="5">
        <f t="shared" si="306"/>
        <v>9.9808485690988824E-2</v>
      </c>
      <c r="U798" s="4">
        <f t="shared" si="307"/>
        <v>0</v>
      </c>
      <c r="V798" s="4">
        <f t="shared" si="308"/>
        <v>0</v>
      </c>
      <c r="W798" s="5">
        <f t="shared" si="309"/>
        <v>0</v>
      </c>
      <c r="X798" s="5">
        <f t="shared" si="310"/>
        <v>-11.356103998545338</v>
      </c>
      <c r="Y798" s="5">
        <f t="shared" si="311"/>
        <v>10.814890283058556</v>
      </c>
      <c r="Z798" s="5">
        <f>1</f>
        <v>1</v>
      </c>
      <c r="AA798" s="5">
        <f>IF(M798=0,0,const*($T798/omega)*O798*(wy*I798-wz*(H798-V798))/Z798)</f>
        <v>0</v>
      </c>
      <c r="AB798" s="5">
        <f>IF(M798=0,0,const*($T798/omega)*O798*(wz*(G798-U798)-wx*I798)/Z798)</f>
        <v>6.8085323424268269</v>
      </c>
      <c r="AC798" s="5">
        <f>IF(M798=0,0,const*($T798/omega)*O798*(wx*(H798-V798)-wy*(G798-U798))/Z798)</f>
        <v>7.1492543460359688</v>
      </c>
      <c r="AD798" s="5">
        <f t="shared" si="324"/>
        <v>0</v>
      </c>
      <c r="AE798" s="5">
        <f t="shared" si="324"/>
        <v>-4.5475716561185111</v>
      </c>
      <c r="AF798" s="5">
        <f t="shared" si="312"/>
        <v>-14.209855370905473</v>
      </c>
      <c r="AG798">
        <f t="shared" si="323"/>
        <v>0</v>
      </c>
    </row>
    <row r="799" spans="1:33" x14ac:dyDescent="0.2">
      <c r="A799">
        <f t="shared" si="313"/>
        <v>7.6699999999998809</v>
      </c>
      <c r="B799" s="5">
        <f t="shared" si="314"/>
        <v>0</v>
      </c>
      <c r="C799" s="5">
        <f t="shared" si="315"/>
        <v>1054.4979790102163</v>
      </c>
      <c r="D799" s="5">
        <f t="shared" si="316"/>
        <v>-187.64742836301258</v>
      </c>
      <c r="E799" s="2">
        <f t="shared" si="298"/>
        <v>351.49932633673876</v>
      </c>
      <c r="F799" s="2">
        <f t="shared" si="317"/>
        <v>0</v>
      </c>
      <c r="G799" s="3">
        <f t="shared" si="318"/>
        <v>0</v>
      </c>
      <c r="H799" s="3">
        <f t="shared" si="319"/>
        <v>95.496042285960328</v>
      </c>
      <c r="I799" s="3">
        <f t="shared" si="320"/>
        <v>-91.130260938140466</v>
      </c>
      <c r="J799" s="2">
        <f t="shared" si="299"/>
        <v>132.0008278418567</v>
      </c>
      <c r="K799" s="2">
        <f t="shared" si="321"/>
        <v>89.980114411626928</v>
      </c>
      <c r="L799" s="5">
        <f t="shared" si="300"/>
        <v>26.510586095910856</v>
      </c>
      <c r="M799" s="3">
        <f t="shared" si="301"/>
        <v>16.463663220177317</v>
      </c>
      <c r="N799" s="2">
        <v>0</v>
      </c>
      <c r="O799" s="2">
        <f t="shared" si="302"/>
        <v>132.0008278418567</v>
      </c>
      <c r="P799" s="2">
        <f t="shared" si="303"/>
        <v>89.980114411626928</v>
      </c>
      <c r="Q799" s="5">
        <f t="shared" si="304"/>
        <v>1.112499237057986</v>
      </c>
      <c r="R799" s="5">
        <f t="shared" si="305"/>
        <v>0.15851259403024645</v>
      </c>
      <c r="S799" s="4">
        <f t="shared" si="322"/>
        <v>0.12472393915515115</v>
      </c>
      <c r="T799" s="5">
        <f t="shared" si="306"/>
        <v>9.9768037987756117E-2</v>
      </c>
      <c r="U799" s="4">
        <f t="shared" si="307"/>
        <v>0</v>
      </c>
      <c r="V799" s="4">
        <f t="shared" si="308"/>
        <v>0</v>
      </c>
      <c r="W799" s="5">
        <f t="shared" si="309"/>
        <v>0</v>
      </c>
      <c r="X799" s="5">
        <f t="shared" si="310"/>
        <v>-11.354411762385466</v>
      </c>
      <c r="Y799" s="5">
        <f t="shared" si="311"/>
        <v>10.835323453581523</v>
      </c>
      <c r="Z799" s="5">
        <f>1</f>
        <v>1</v>
      </c>
      <c r="AA799" s="5">
        <f>IF(M799=0,0,const*($T799/omega)*O799*(wy*I799-wz*(H799-V799))/Z799)</f>
        <v>0</v>
      </c>
      <c r="AB799" s="5">
        <f>IF(M799=0,0,const*($T799/omega)*O799*(wz*(G799-U799)-wx*I799)/Z799)</f>
        <v>6.8197670257056826</v>
      </c>
      <c r="AC799" s="5">
        <f>IF(M799=0,0,const*($T799/omega)*O799*(wx*(H799-V799)-wy*(G799-U799))/Z799)</f>
        <v>7.1464818992372443</v>
      </c>
      <c r="AD799" s="5">
        <f t="shared" si="324"/>
        <v>0</v>
      </c>
      <c r="AE799" s="5">
        <f t="shared" si="324"/>
        <v>-4.5346447366797831</v>
      </c>
      <c r="AF799" s="5">
        <f t="shared" si="312"/>
        <v>-14.192194647181232</v>
      </c>
      <c r="AG799">
        <f t="shared" si="323"/>
        <v>0</v>
      </c>
    </row>
    <row r="800" spans="1:33" x14ac:dyDescent="0.2">
      <c r="A800">
        <f t="shared" si="313"/>
        <v>7.6799999999998807</v>
      </c>
      <c r="B800" s="5">
        <f t="shared" si="314"/>
        <v>0</v>
      </c>
      <c r="C800" s="5">
        <f t="shared" si="315"/>
        <v>1055.4527127008391</v>
      </c>
      <c r="D800" s="5">
        <f t="shared" si="316"/>
        <v>-188.55944058212634</v>
      </c>
      <c r="E800" s="2">
        <f t="shared" ref="E800:E863" si="325">SQRT(B800^2+C800^2)/3</f>
        <v>351.81757090027969</v>
      </c>
      <c r="F800" s="2">
        <f t="shared" si="317"/>
        <v>0</v>
      </c>
      <c r="G800" s="3">
        <f t="shared" si="318"/>
        <v>0</v>
      </c>
      <c r="H800" s="3">
        <f t="shared" si="319"/>
        <v>95.450695838593532</v>
      </c>
      <c r="I800" s="3">
        <f t="shared" si="320"/>
        <v>-91.272182884612278</v>
      </c>
      <c r="J800" s="2">
        <f t="shared" ref="J800:J863" si="326">SQRT(G800^2+H800^2+I800^2)</f>
        <v>132.06606946749724</v>
      </c>
      <c r="K800" s="2">
        <f t="shared" si="321"/>
        <v>90.024587230741133</v>
      </c>
      <c r="L800" s="5">
        <f t="shared" ref="L800:L863" si="327">1/(0.00002*J800/(circ/(2*PI()*12)))</f>
        <v>26.497489668186805</v>
      </c>
      <c r="M800" s="3">
        <f t="shared" ref="M800:M863" si="328">romega*EXP(-A800/L800)</f>
        <v>16.455097917916877</v>
      </c>
      <c r="N800" s="2">
        <v>0</v>
      </c>
      <c r="O800" s="2">
        <f t="shared" ref="O800:O863" si="329">IF(D800&gt;=hwind,SQRT((G800-vxw)^2+(H800-vyw)^2+I800^2),J800)</f>
        <v>132.06606946749724</v>
      </c>
      <c r="P800" s="2">
        <f t="shared" ref="P800:P863" si="330">J800/1.467</f>
        <v>90.024587230741133</v>
      </c>
      <c r="Q800" s="5">
        <f t="shared" ref="Q800:Q863" si="331">(P800/100)*Re_100*0.00001</f>
        <v>1.1130490916303868</v>
      </c>
      <c r="R800" s="5">
        <f t="shared" ref="R800:R863" si="332">IF(Q800&lt;=ReLow,CdL,IF(Q800&lt;ReHigh,CdL+(CdH-CdL)*(Q800-ReLow)/(ReHigh-ReLow),CdH))+CdS*S800</f>
        <v>0.15848619683564019</v>
      </c>
      <c r="S800" s="4">
        <f t="shared" si="322"/>
        <v>0.12459746840551379</v>
      </c>
      <c r="T800" s="5">
        <f t="shared" ref="T800:T863" si="333">ClAmp*S800^0.4</f>
        <v>9.9727559538940705E-2</v>
      </c>
      <c r="U800" s="4">
        <f t="shared" ref="U800:U863" si="334">IF(D800&gt;=hwind,vxw,0)</f>
        <v>0</v>
      </c>
      <c r="V800" s="4">
        <f t="shared" ref="V800:V863" si="335">IF(D800&gt;=hwind,vyw,0)</f>
        <v>0</v>
      </c>
      <c r="W800" s="5">
        <f t="shared" ref="W800:W863" si="336">-const*$R800*$O800*(G800-U800)</f>
        <v>0</v>
      </c>
      <c r="X800" s="5">
        <f t="shared" ref="X800:X863" si="337">-const*$R800*$O800*(H800-V800)</f>
        <v>-11.352738480679333</v>
      </c>
      <c r="Y800" s="5">
        <f t="shared" ref="Y800:Y863" si="338">-const*$R800*$O800*I800</f>
        <v>10.855753472996449</v>
      </c>
      <c r="Z800" s="5">
        <f>1</f>
        <v>1</v>
      </c>
      <c r="AA800" s="5">
        <f>IF(M800=0,0,const*($T800/omega)*O800*(wy*I800-wz*(H800-V800))/Z800)</f>
        <v>0</v>
      </c>
      <c r="AB800" s="5">
        <f>IF(M800=0,0,const*($T800/omega)*O800*(wz*(G800-U800)-wx*I800)/Z800)</f>
        <v>6.830991104803001</v>
      </c>
      <c r="AC800" s="5">
        <f>IF(M800=0,0,const*($T800/omega)*O800*(wx*(H800-V800)-wy*(G800-U800))/Z800)</f>
        <v>7.143719297751284</v>
      </c>
      <c r="AD800" s="5">
        <f t="shared" si="324"/>
        <v>0</v>
      </c>
      <c r="AE800" s="5">
        <f t="shared" si="324"/>
        <v>-4.5217473758763322</v>
      </c>
      <c r="AF800" s="5">
        <f t="shared" ref="AF800:AF863" si="339">Y800+AC800-32.174</f>
        <v>-14.174527229252266</v>
      </c>
      <c r="AG800">
        <f t="shared" si="323"/>
        <v>0</v>
      </c>
    </row>
    <row r="801" spans="1:33" x14ac:dyDescent="0.2">
      <c r="A801">
        <f t="shared" ref="A801:A864" si="340">A800+dt</f>
        <v>7.6899999999998805</v>
      </c>
      <c r="B801" s="5">
        <f t="shared" ref="B801:B864" si="341">B800+G800*dt+0.5*AD800*dt*dt</f>
        <v>0</v>
      </c>
      <c r="C801" s="5">
        <f t="shared" ref="C801:C864" si="342">C800+H800*dt+0.5*AE800*dt*dt</f>
        <v>1056.4069935718562</v>
      </c>
      <c r="D801" s="5">
        <f t="shared" ref="D801:D864" si="343">D800+I800*dt+0.5*AF800*dt*dt</f>
        <v>-189.47287113733393</v>
      </c>
      <c r="E801" s="2">
        <f t="shared" si="325"/>
        <v>352.13566452395207</v>
      </c>
      <c r="F801" s="2">
        <f t="shared" ref="F801:F864" si="344">ATAN2(C801,B801)*180/PI()</f>
        <v>0</v>
      </c>
      <c r="G801" s="3">
        <f t="shared" ref="G801:G864" si="345">G800+AD800*dt</f>
        <v>0</v>
      </c>
      <c r="H801" s="3">
        <f t="shared" ref="H801:H864" si="346">H800+AE800*dt</f>
        <v>95.405478364834764</v>
      </c>
      <c r="I801" s="3">
        <f t="shared" ref="I801:I864" si="347">I800+AF800*dt</f>
        <v>-91.413928156904802</v>
      </c>
      <c r="J801" s="2">
        <f t="shared" si="326"/>
        <v>132.13141777449718</v>
      </c>
      <c r="K801" s="2">
        <f t="shared" ref="K801:K864" si="348">J801/1.467</f>
        <v>90.069132770618381</v>
      </c>
      <c r="L801" s="5">
        <f t="shared" si="327"/>
        <v>26.484384790340723</v>
      </c>
      <c r="M801" s="3">
        <f t="shared" si="328"/>
        <v>16.446527083748745</v>
      </c>
      <c r="N801" s="2">
        <v>0</v>
      </c>
      <c r="O801" s="2">
        <f t="shared" si="329"/>
        <v>132.13141777449718</v>
      </c>
      <c r="P801" s="2">
        <f t="shared" si="330"/>
        <v>90.069132770618381</v>
      </c>
      <c r="Q801" s="5">
        <f t="shared" si="331"/>
        <v>1.1135998453102616</v>
      </c>
      <c r="R801" s="5">
        <f t="shared" si="332"/>
        <v>0.15845979599467711</v>
      </c>
      <c r="S801" s="4">
        <f t="shared" ref="S801:S864" si="349">(M801/O801)</f>
        <v>0.12447098018593353</v>
      </c>
      <c r="T801" s="5">
        <f t="shared" si="333"/>
        <v>9.9687050833822108E-2</v>
      </c>
      <c r="U801" s="4">
        <f t="shared" si="334"/>
        <v>0</v>
      </c>
      <c r="V801" s="4">
        <f t="shared" si="335"/>
        <v>0</v>
      </c>
      <c r="W801" s="5">
        <f t="shared" si="336"/>
        <v>0</v>
      </c>
      <c r="X801" s="5">
        <f t="shared" si="337"/>
        <v>-11.351084047043049</v>
      </c>
      <c r="Y801" s="5">
        <f t="shared" si="338"/>
        <v>10.876180271444925</v>
      </c>
      <c r="Z801" s="5">
        <f>1</f>
        <v>1</v>
      </c>
      <c r="AA801" s="5">
        <f>IF(M801=0,0,const*($T801/omega)*O801*(wy*I801-wz*(H801-V801))/Z801)</f>
        <v>0</v>
      </c>
      <c r="AB801" s="5">
        <f>IF(M801=0,0,const*($T801/omega)*O801*(wz*(G801-U801)-wx*I801)/Z801)</f>
        <v>6.8422045402214433</v>
      </c>
      <c r="AC801" s="5">
        <f>IF(M801=0,0,const*($T801/omega)*O801*(wx*(H801-V801)-wy*(G801-U801))/Z801)</f>
        <v>7.1409664849914245</v>
      </c>
      <c r="AD801" s="5">
        <f t="shared" si="324"/>
        <v>0</v>
      </c>
      <c r="AE801" s="5">
        <f t="shared" si="324"/>
        <v>-4.5088795068216054</v>
      </c>
      <c r="AF801" s="5">
        <f t="shared" si="339"/>
        <v>-14.156853243563649</v>
      </c>
      <c r="AG801">
        <f t="shared" si="323"/>
        <v>0</v>
      </c>
    </row>
    <row r="802" spans="1:33" x14ac:dyDescent="0.2">
      <c r="A802">
        <f t="shared" si="340"/>
        <v>7.6999999999998803</v>
      </c>
      <c r="B802" s="5">
        <f t="shared" si="341"/>
        <v>0</v>
      </c>
      <c r="C802" s="5">
        <f t="shared" si="342"/>
        <v>1057.3608229115293</v>
      </c>
      <c r="D802" s="5">
        <f t="shared" si="343"/>
        <v>-190.38771826156514</v>
      </c>
      <c r="E802" s="2">
        <f t="shared" si="325"/>
        <v>352.45360763717645</v>
      </c>
      <c r="F802" s="2">
        <f t="shared" si="344"/>
        <v>0</v>
      </c>
      <c r="G802" s="3">
        <f t="shared" si="345"/>
        <v>0</v>
      </c>
      <c r="H802" s="3">
        <f t="shared" si="346"/>
        <v>95.360389569766554</v>
      </c>
      <c r="I802" s="3">
        <f t="shared" si="347"/>
        <v>-91.555496689340444</v>
      </c>
      <c r="J802" s="2">
        <f t="shared" si="326"/>
        <v>132.19687164577485</v>
      </c>
      <c r="K802" s="2">
        <f t="shared" si="348"/>
        <v>90.113750269785172</v>
      </c>
      <c r="L802" s="5">
        <f t="shared" si="327"/>
        <v>26.471271730316278</v>
      </c>
      <c r="M802" s="3">
        <f t="shared" si="328"/>
        <v>16.437950756332508</v>
      </c>
      <c r="N802" s="2">
        <v>0</v>
      </c>
      <c r="O802" s="2">
        <f t="shared" si="329"/>
        <v>132.19687164577485</v>
      </c>
      <c r="P802" s="2">
        <f t="shared" si="330"/>
        <v>90.113750269785172</v>
      </c>
      <c r="Q802" s="5">
        <f t="shared" si="331"/>
        <v>1.1141514886828787</v>
      </c>
      <c r="R802" s="5">
        <f t="shared" si="332"/>
        <v>0.1584333918570284</v>
      </c>
      <c r="S802" s="4">
        <f t="shared" si="349"/>
        <v>0.12434447617170888</v>
      </c>
      <c r="T802" s="5">
        <f t="shared" si="333"/>
        <v>9.9646512359069947E-2</v>
      </c>
      <c r="U802" s="4">
        <f t="shared" si="334"/>
        <v>0</v>
      </c>
      <c r="V802" s="4">
        <f t="shared" si="335"/>
        <v>0</v>
      </c>
      <c r="W802" s="5">
        <f t="shared" si="336"/>
        <v>0</v>
      </c>
      <c r="X802" s="5">
        <f t="shared" si="337"/>
        <v>-11.349448355652097</v>
      </c>
      <c r="Y802" s="5">
        <f t="shared" si="338"/>
        <v>10.896603778988627</v>
      </c>
      <c r="Z802" s="5">
        <f>1</f>
        <v>1</v>
      </c>
      <c r="AA802" s="5">
        <f>IF(M802=0,0,const*($T802/omega)*O802*(wy*I802-wz*(H802-V802))/Z802)</f>
        <v>0</v>
      </c>
      <c r="AB802" s="5">
        <f>IF(M802=0,0,const*($T802/omega)*O802*(wz*(G802-U802)-wx*I802)/Z802)</f>
        <v>6.8534072925404583</v>
      </c>
      <c r="AC802" s="5">
        <f>IF(M802=0,0,const*($T802/omega)*O802*(wx*(H802-V802)-wy*(G802-U802))/Z802)</f>
        <v>7.1382234047016802</v>
      </c>
      <c r="AD802" s="5">
        <f t="shared" si="324"/>
        <v>0</v>
      </c>
      <c r="AE802" s="5">
        <f t="shared" si="324"/>
        <v>-4.4960410631116385</v>
      </c>
      <c r="AF802" s="5">
        <f t="shared" si="339"/>
        <v>-14.139172816309692</v>
      </c>
      <c r="AG802">
        <f t="shared" ref="AG802:AG865" si="350">IF($D802*$D803&lt;0,1,0)</f>
        <v>0</v>
      </c>
    </row>
    <row r="803" spans="1:33" x14ac:dyDescent="0.2">
      <c r="A803">
        <f t="shared" si="340"/>
        <v>7.7099999999998801</v>
      </c>
      <c r="B803" s="5">
        <f t="shared" si="341"/>
        <v>0</v>
      </c>
      <c r="C803" s="5">
        <f t="shared" si="342"/>
        <v>1058.3142020051737</v>
      </c>
      <c r="D803" s="5">
        <f t="shared" si="343"/>
        <v>-191.30398018709937</v>
      </c>
      <c r="E803" s="2">
        <f t="shared" si="325"/>
        <v>352.77140066839121</v>
      </c>
      <c r="F803" s="2">
        <f t="shared" si="344"/>
        <v>0</v>
      </c>
      <c r="G803" s="3">
        <f t="shared" si="345"/>
        <v>0</v>
      </c>
      <c r="H803" s="3">
        <f t="shared" si="346"/>
        <v>95.315429159135434</v>
      </c>
      <c r="I803" s="3">
        <f t="shared" si="347"/>
        <v>-91.696888417503544</v>
      </c>
      <c r="J803" s="2">
        <f t="shared" si="326"/>
        <v>132.26242996876422</v>
      </c>
      <c r="K803" s="2">
        <f t="shared" si="348"/>
        <v>90.158438969846088</v>
      </c>
      <c r="L803" s="5">
        <f t="shared" si="327"/>
        <v>26.458150754220146</v>
      </c>
      <c r="M803" s="3">
        <f t="shared" si="328"/>
        <v>16.429368974324216</v>
      </c>
      <c r="N803" s="2">
        <v>0</v>
      </c>
      <c r="O803" s="2">
        <f t="shared" si="329"/>
        <v>132.26242996876422</v>
      </c>
      <c r="P803" s="2">
        <f t="shared" si="330"/>
        <v>90.158438969846088</v>
      </c>
      <c r="Q803" s="5">
        <f t="shared" si="331"/>
        <v>1.1147040123715621</v>
      </c>
      <c r="R803" s="5">
        <f t="shared" si="332"/>
        <v>0.15840698476990669</v>
      </c>
      <c r="S803" s="4">
        <f t="shared" si="349"/>
        <v>0.12421795802635911</v>
      </c>
      <c r="T803" s="5">
        <f t="shared" si="333"/>
        <v>9.960594459874729E-2</v>
      </c>
      <c r="U803" s="4">
        <f t="shared" si="334"/>
        <v>0</v>
      </c>
      <c r="V803" s="4">
        <f t="shared" si="335"/>
        <v>0</v>
      </c>
      <c r="W803" s="5">
        <f t="shared" si="336"/>
        <v>0</v>
      </c>
      <c r="X803" s="5">
        <f t="shared" si="337"/>
        <v>-11.347831301238493</v>
      </c>
      <c r="Y803" s="5">
        <f t="shared" si="338"/>
        <v>10.917023925612661</v>
      </c>
      <c r="Z803" s="5">
        <f>1</f>
        <v>1</v>
      </c>
      <c r="AA803" s="5">
        <f>IF(M803=0,0,const*($T803/omega)*O803*(wy*I803-wz*(H803-V803))/Z803)</f>
        <v>0</v>
      </c>
      <c r="AB803" s="5">
        <f>IF(M803=0,0,const*($T803/omega)*O803*(wz*(G803-U803)-wx*I803)/Z803)</f>
        <v>6.8645993224179573</v>
      </c>
      <c r="AC803" s="5">
        <f>IF(M803=0,0,const*($T803/omega)*O803*(wx*(H803-V803)-wy*(G803-U803))/Z803)</f>
        <v>7.1354900009549453</v>
      </c>
      <c r="AD803" s="5">
        <f t="shared" si="324"/>
        <v>0</v>
      </c>
      <c r="AE803" s="5">
        <f t="shared" si="324"/>
        <v>-4.4832319788205357</v>
      </c>
      <c r="AF803" s="5">
        <f t="shared" si="339"/>
        <v>-14.121486073432393</v>
      </c>
      <c r="AG803">
        <f t="shared" si="350"/>
        <v>0</v>
      </c>
    </row>
    <row r="804" spans="1:33" x14ac:dyDescent="0.2">
      <c r="A804">
        <f t="shared" si="340"/>
        <v>7.7199999999998798</v>
      </c>
      <c r="B804" s="5">
        <f t="shared" si="341"/>
        <v>0</v>
      </c>
      <c r="C804" s="5">
        <f t="shared" si="342"/>
        <v>1059.2671321351661</v>
      </c>
      <c r="D804" s="5">
        <f t="shared" si="343"/>
        <v>-192.2216551455781</v>
      </c>
      <c r="E804" s="2">
        <f t="shared" si="325"/>
        <v>353.08904404505535</v>
      </c>
      <c r="F804" s="2">
        <f t="shared" si="344"/>
        <v>0</v>
      </c>
      <c r="G804" s="3">
        <f t="shared" si="345"/>
        <v>0</v>
      </c>
      <c r="H804" s="3">
        <f t="shared" si="346"/>
        <v>95.270596839347235</v>
      </c>
      <c r="I804" s="3">
        <f t="shared" si="347"/>
        <v>-91.838103278237867</v>
      </c>
      <c r="J804" s="2">
        <f t="shared" si="326"/>
        <v>132.32809163541097</v>
      </c>
      <c r="K804" s="2">
        <f t="shared" si="348"/>
        <v>90.203198115481229</v>
      </c>
      <c r="L804" s="5">
        <f t="shared" si="327"/>
        <v>26.44502212632684</v>
      </c>
      <c r="M804" s="3">
        <f t="shared" si="328"/>
        <v>16.420781776375243</v>
      </c>
      <c r="N804" s="2">
        <v>0</v>
      </c>
      <c r="O804" s="2">
        <f t="shared" si="329"/>
        <v>132.32809163541097</v>
      </c>
      <c r="P804" s="2">
        <f t="shared" si="330"/>
        <v>90.203198115481229</v>
      </c>
      <c r="Q804" s="5">
        <f t="shared" si="331"/>
        <v>1.1152574070376622</v>
      </c>
      <c r="R804" s="5">
        <f t="shared" si="332"/>
        <v>0.15838057507807263</v>
      </c>
      <c r="S804" s="4">
        <f t="shared" si="349"/>
        <v>0.1240914274016557</v>
      </c>
      <c r="T804" s="5">
        <f t="shared" si="333"/>
        <v>9.9565348034314313E-2</v>
      </c>
      <c r="U804" s="4">
        <f t="shared" si="334"/>
        <v>0</v>
      </c>
      <c r="V804" s="4">
        <f t="shared" si="335"/>
        <v>0</v>
      </c>
      <c r="W804" s="5">
        <f t="shared" si="336"/>
        <v>0</v>
      </c>
      <c r="X804" s="5">
        <f t="shared" si="337"/>
        <v>-11.346232779087929</v>
      </c>
      <c r="Y804" s="5">
        <f t="shared" si="338"/>
        <v>10.937440641228848</v>
      </c>
      <c r="Z804" s="5">
        <f>1</f>
        <v>1</v>
      </c>
      <c r="AA804" s="5">
        <f>IF(M804=0,0,const*($T804/omega)*O804*(wy*I804-wz*(H804-V804))/Z804)</f>
        <v>0</v>
      </c>
      <c r="AB804" s="5">
        <f>IF(M804=0,0,const*($T804/omega)*O804*(wz*(G804-U804)-wx*I804)/Z804)</f>
        <v>6.8757805905919582</v>
      </c>
      <c r="AC804" s="5">
        <f>IF(M804=0,0,const*($T804/omega)*O804*(wx*(H804-V804)-wy*(G804-U804))/Z804)</f>
        <v>7.1327662181511924</v>
      </c>
      <c r="AD804" s="5">
        <f t="shared" si="324"/>
        <v>0</v>
      </c>
      <c r="AE804" s="5">
        <f t="shared" si="324"/>
        <v>-4.4704521884959707</v>
      </c>
      <c r="AF804" s="5">
        <f t="shared" si="339"/>
        <v>-14.10379314061996</v>
      </c>
      <c r="AG804">
        <f t="shared" si="350"/>
        <v>0</v>
      </c>
    </row>
    <row r="805" spans="1:33" x14ac:dyDescent="0.2">
      <c r="A805">
        <f t="shared" si="340"/>
        <v>7.7299999999998796</v>
      </c>
      <c r="B805" s="5">
        <f t="shared" si="341"/>
        <v>0</v>
      </c>
      <c r="C805" s="5">
        <f t="shared" si="342"/>
        <v>1060.2196145809501</v>
      </c>
      <c r="D805" s="5">
        <f t="shared" si="343"/>
        <v>-193.1407413680175</v>
      </c>
      <c r="E805" s="2">
        <f t="shared" si="325"/>
        <v>353.40653819365002</v>
      </c>
      <c r="F805" s="2">
        <f t="shared" si="344"/>
        <v>0</v>
      </c>
      <c r="G805" s="3">
        <f t="shared" si="345"/>
        <v>0</v>
      </c>
      <c r="H805" s="3">
        <f t="shared" si="346"/>
        <v>95.225892317462268</v>
      </c>
      <c r="I805" s="3">
        <f t="shared" si="347"/>
        <v>-91.979141209644069</v>
      </c>
      <c r="J805" s="2">
        <f t="shared" si="326"/>
        <v>132.39385554216841</v>
      </c>
      <c r="K805" s="2">
        <f t="shared" si="348"/>
        <v>90.248026954443361</v>
      </c>
      <c r="L805" s="5">
        <f t="shared" si="327"/>
        <v>26.431886109083504</v>
      </c>
      <c r="M805" s="3">
        <f t="shared" si="328"/>
        <v>16.412189201131131</v>
      </c>
      <c r="N805" s="2">
        <v>0</v>
      </c>
      <c r="O805" s="2">
        <f t="shared" si="329"/>
        <v>132.39385554216841</v>
      </c>
      <c r="P805" s="2">
        <f t="shared" si="330"/>
        <v>90.248026954443361</v>
      </c>
      <c r="Q805" s="5">
        <f t="shared" si="331"/>
        <v>1.1158116633805184</v>
      </c>
      <c r="R805" s="5">
        <f t="shared" si="332"/>
        <v>0.15835416312384135</v>
      </c>
      <c r="S805" s="4">
        <f t="shared" si="349"/>
        <v>0.12396488593765387</v>
      </c>
      <c r="T805" s="5">
        <f t="shared" si="333"/>
        <v>9.9524723144632163E-2</v>
      </c>
      <c r="U805" s="4">
        <f t="shared" si="334"/>
        <v>0</v>
      </c>
      <c r="V805" s="4">
        <f t="shared" si="335"/>
        <v>0</v>
      </c>
      <c r="W805" s="5">
        <f t="shared" si="336"/>
        <v>0</v>
      </c>
      <c r="X805" s="5">
        <f t="shared" si="337"/>
        <v>-11.344652685036932</v>
      </c>
      <c r="Y805" s="5">
        <f t="shared" si="338"/>
        <v>10.957853855679026</v>
      </c>
      <c r="Z805" s="5">
        <f>1</f>
        <v>1</v>
      </c>
      <c r="AA805" s="5">
        <f>IF(M805=0,0,const*($T805/omega)*O805*(wy*I805-wz*(H805-V805))/Z805)</f>
        <v>0</v>
      </c>
      <c r="AB805" s="5">
        <f>IF(M805=0,0,const*($T805/omega)*O805*(wz*(G805-U805)-wx*I805)/Z805)</f>
        <v>6.8869510578822357</v>
      </c>
      <c r="AC805" s="5">
        <f>IF(M805=0,0,const*($T805/omega)*O805*(wx*(H805-V805)-wy*(G805-U805))/Z805)</f>
        <v>7.1300520010156809</v>
      </c>
      <c r="AD805" s="5">
        <f t="shared" si="324"/>
        <v>0</v>
      </c>
      <c r="AE805" s="5">
        <f t="shared" si="324"/>
        <v>-4.4577016271546963</v>
      </c>
      <c r="AF805" s="5">
        <f t="shared" si="339"/>
        <v>-14.086094143305292</v>
      </c>
      <c r="AG805">
        <f t="shared" si="350"/>
        <v>0</v>
      </c>
    </row>
    <row r="806" spans="1:33" x14ac:dyDescent="0.2">
      <c r="A806">
        <f t="shared" si="340"/>
        <v>7.7399999999998794</v>
      </c>
      <c r="B806" s="5">
        <f t="shared" si="341"/>
        <v>0</v>
      </c>
      <c r="C806" s="5">
        <f t="shared" si="342"/>
        <v>1061.1716506190435</v>
      </c>
      <c r="D806" s="5">
        <f t="shared" si="343"/>
        <v>-194.0612370848211</v>
      </c>
      <c r="E806" s="2">
        <f t="shared" si="325"/>
        <v>353.72388353968114</v>
      </c>
      <c r="F806" s="2">
        <f t="shared" si="344"/>
        <v>0</v>
      </c>
      <c r="G806" s="3">
        <f t="shared" si="345"/>
        <v>0</v>
      </c>
      <c r="H806" s="3">
        <f t="shared" si="346"/>
        <v>95.181315301190722</v>
      </c>
      <c r="I806" s="3">
        <f t="shared" si="347"/>
        <v>-92.120002151077117</v>
      </c>
      <c r="J806" s="2">
        <f t="shared" si="326"/>
        <v>132.45972058999345</v>
      </c>
      <c r="K806" s="2">
        <f t="shared" si="348"/>
        <v>90.292924737555182</v>
      </c>
      <c r="L806" s="5">
        <f t="shared" si="327"/>
        <v>26.418742963114852</v>
      </c>
      <c r="M806" s="3">
        <f t="shared" si="328"/>
        <v>16.403591287230444</v>
      </c>
      <c r="N806" s="2">
        <v>0</v>
      </c>
      <c r="O806" s="2">
        <f t="shared" si="329"/>
        <v>132.45972058999345</v>
      </c>
      <c r="P806" s="2">
        <f t="shared" si="330"/>
        <v>90.292924737555182</v>
      </c>
      <c r="Q806" s="5">
        <f t="shared" si="331"/>
        <v>1.1163667721374266</v>
      </c>
      <c r="R806" s="5">
        <f t="shared" si="332"/>
        <v>0.15832774924708931</v>
      </c>
      <c r="S806" s="4">
        <f t="shared" si="349"/>
        <v>0.12383833526272468</v>
      </c>
      <c r="T806" s="5">
        <f t="shared" si="333"/>
        <v>9.9484070405966699E-2</v>
      </c>
      <c r="U806" s="4">
        <f t="shared" si="334"/>
        <v>0</v>
      </c>
      <c r="V806" s="4">
        <f t="shared" si="335"/>
        <v>0</v>
      </c>
      <c r="W806" s="5">
        <f t="shared" si="336"/>
        <v>0</v>
      </c>
      <c r="X806" s="5">
        <f t="shared" si="337"/>
        <v>-11.34309091547005</v>
      </c>
      <c r="Y806" s="5">
        <f t="shared" si="338"/>
        <v>10.978263498738309</v>
      </c>
      <c r="Z806" s="5">
        <f>1</f>
        <v>1</v>
      </c>
      <c r="AA806" s="5">
        <f>IF(M806=0,0,const*($T806/omega)*O806*(wy*I806-wz*(H806-V806))/Z806)</f>
        <v>0</v>
      </c>
      <c r="AB806" s="5">
        <f>IF(M806=0,0,const*($T806/omega)*O806*(wz*(G806-U806)-wx*I806)/Z806)</f>
        <v>6.8981106851919352</v>
      </c>
      <c r="AC806" s="5">
        <f>IF(M806=0,0,const*($T806/omega)*O806*(wx*(H806-V806)-wy*(G806-U806))/Z806)</f>
        <v>7.1273472945971852</v>
      </c>
      <c r="AD806" s="5">
        <f t="shared" si="324"/>
        <v>0</v>
      </c>
      <c r="AE806" s="5">
        <f t="shared" si="324"/>
        <v>-4.444980230278115</v>
      </c>
      <c r="AF806" s="5">
        <f t="shared" si="339"/>
        <v>-14.068389206664506</v>
      </c>
      <c r="AG806">
        <f t="shared" si="350"/>
        <v>0</v>
      </c>
    </row>
    <row r="807" spans="1:33" x14ac:dyDescent="0.2">
      <c r="A807">
        <f t="shared" si="340"/>
        <v>7.7499999999998792</v>
      </c>
      <c r="B807" s="5">
        <f t="shared" si="341"/>
        <v>0</v>
      </c>
      <c r="C807" s="5">
        <f t="shared" si="342"/>
        <v>1062.1232415230438</v>
      </c>
      <c r="D807" s="5">
        <f t="shared" si="343"/>
        <v>-194.98314052579221</v>
      </c>
      <c r="E807" s="2">
        <f t="shared" si="325"/>
        <v>354.04108050768127</v>
      </c>
      <c r="F807" s="2">
        <f t="shared" si="344"/>
        <v>0</v>
      </c>
      <c r="G807" s="3">
        <f t="shared" si="345"/>
        <v>0</v>
      </c>
      <c r="H807" s="3">
        <f t="shared" si="346"/>
        <v>95.136865498887943</v>
      </c>
      <c r="I807" s="3">
        <f t="shared" si="347"/>
        <v>-92.260686043143764</v>
      </c>
      <c r="J807" s="2">
        <f t="shared" si="326"/>
        <v>132.52568568434211</v>
      </c>
      <c r="K807" s="2">
        <f t="shared" si="348"/>
        <v>90.337890718706277</v>
      </c>
      <c r="L807" s="5">
        <f t="shared" si="327"/>
        <v>26.405592947228229</v>
      </c>
      <c r="M807" s="3">
        <f t="shared" si="328"/>
        <v>16.394988073303651</v>
      </c>
      <c r="N807" s="2">
        <v>0</v>
      </c>
      <c r="O807" s="2">
        <f t="shared" si="329"/>
        <v>132.52568568434211</v>
      </c>
      <c r="P807" s="2">
        <f t="shared" si="330"/>
        <v>90.337890718706277</v>
      </c>
      <c r="Q807" s="5">
        <f t="shared" si="331"/>
        <v>1.1169227240836013</v>
      </c>
      <c r="R807" s="5">
        <f t="shared" si="332"/>
        <v>0.15830133378526107</v>
      </c>
      <c r="S807" s="4">
        <f t="shared" si="349"/>
        <v>0.12371177699358786</v>
      </c>
      <c r="T807" s="5">
        <f t="shared" si="333"/>
        <v>9.9443390291992687E-2</v>
      </c>
      <c r="U807" s="4">
        <f t="shared" si="334"/>
        <v>0</v>
      </c>
      <c r="V807" s="4">
        <f t="shared" si="335"/>
        <v>0</v>
      </c>
      <c r="W807" s="5">
        <f t="shared" si="336"/>
        <v>0</v>
      </c>
      <c r="X807" s="5">
        <f t="shared" si="337"/>
        <v>-11.341547367317009</v>
      </c>
      <c r="Y807" s="5">
        <f t="shared" si="338"/>
        <v>10.998669500118327</v>
      </c>
      <c r="Z807" s="5">
        <f>1</f>
        <v>1</v>
      </c>
      <c r="AA807" s="5">
        <f>IF(M807=0,0,const*($T807/omega)*O807*(wy*I807-wz*(H807-V807))/Z807)</f>
        <v>0</v>
      </c>
      <c r="AB807" s="5">
        <f>IF(M807=0,0,const*($T807/omega)*O807*(wz*(G807-U807)-wx*I807)/Z807)</f>
        <v>6.9092594335091952</v>
      </c>
      <c r="AC807" s="5">
        <f>IF(M807=0,0,const*($T807/omega)*O807*(wx*(H807-V807)-wy*(G807-U807))/Z807)</f>
        <v>7.1246520442662078</v>
      </c>
      <c r="AD807" s="5">
        <f t="shared" si="324"/>
        <v>0</v>
      </c>
      <c r="AE807" s="5">
        <f t="shared" si="324"/>
        <v>-4.4322879338078138</v>
      </c>
      <c r="AF807" s="5">
        <f t="shared" si="339"/>
        <v>-14.050678455615465</v>
      </c>
      <c r="AG807">
        <f t="shared" si="350"/>
        <v>0</v>
      </c>
    </row>
    <row r="808" spans="1:33" x14ac:dyDescent="0.2">
      <c r="A808">
        <f t="shared" si="340"/>
        <v>7.759999999999879</v>
      </c>
      <c r="B808" s="5">
        <f t="shared" si="341"/>
        <v>0</v>
      </c>
      <c r="C808" s="5">
        <f t="shared" si="342"/>
        <v>1063.0743885636361</v>
      </c>
      <c r="D808" s="5">
        <f t="shared" si="343"/>
        <v>-195.90644992014643</v>
      </c>
      <c r="E808" s="2">
        <f t="shared" si="325"/>
        <v>354.35812952121205</v>
      </c>
      <c r="F808" s="2">
        <f t="shared" si="344"/>
        <v>0</v>
      </c>
      <c r="G808" s="3">
        <f t="shared" si="345"/>
        <v>0</v>
      </c>
      <c r="H808" s="3">
        <f t="shared" si="346"/>
        <v>95.09254261954986</v>
      </c>
      <c r="I808" s="3">
        <f t="shared" si="347"/>
        <v>-92.401192827699916</v>
      </c>
      <c r="J808" s="2">
        <f t="shared" si="326"/>
        <v>132.59174973516522</v>
      </c>
      <c r="K808" s="2">
        <f t="shared" si="348"/>
        <v>90.382924154850187</v>
      </c>
      <c r="L808" s="5">
        <f t="shared" si="327"/>
        <v>26.392436318418635</v>
      </c>
      <c r="M808" s="3">
        <f t="shared" si="328"/>
        <v>16.386379597972009</v>
      </c>
      <c r="N808" s="2">
        <v>0</v>
      </c>
      <c r="O808" s="2">
        <f t="shared" si="329"/>
        <v>132.59174973516522</v>
      </c>
      <c r="P808" s="2">
        <f t="shared" si="330"/>
        <v>90.382924154850187</v>
      </c>
      <c r="Q808" s="5">
        <f t="shared" si="331"/>
        <v>1.1174795100321389</v>
      </c>
      <c r="R808" s="5">
        <f t="shared" si="332"/>
        <v>0.15827491707337621</v>
      </c>
      <c r="S808" s="4">
        <f t="shared" si="349"/>
        <v>0.12358521273534494</v>
      </c>
      <c r="T808" s="5">
        <f t="shared" si="333"/>
        <v>9.940268327379774E-2</v>
      </c>
      <c r="U808" s="4">
        <f t="shared" si="334"/>
        <v>0</v>
      </c>
      <c r="V808" s="4">
        <f t="shared" si="335"/>
        <v>0</v>
      </c>
      <c r="W808" s="5">
        <f t="shared" si="336"/>
        <v>0</v>
      </c>
      <c r="X808" s="5">
        <f t="shared" si="337"/>
        <v>-11.340021938049929</v>
      </c>
      <c r="Y808" s="5">
        <f t="shared" si="338"/>
        <v>11.019071789470456</v>
      </c>
      <c r="Z808" s="5">
        <f>1</f>
        <v>1</v>
      </c>
      <c r="AA808" s="5">
        <f>IF(M808=0,0,const*($T808/omega)*O808*(wy*I808-wz*(H808-V808))/Z808)</f>
        <v>0</v>
      </c>
      <c r="AB808" s="5">
        <f>IF(M808=0,0,const*($T808/omega)*O808*(wz*(G808-U808)-wx*I808)/Z808)</f>
        <v>6.920397263908713</v>
      </c>
      <c r="AC808" s="5">
        <f>IF(M808=0,0,const*($T808/omega)*O808*(wx*(H808-V808)-wy*(G808-U808))/Z808)</f>
        <v>7.1219661957131972</v>
      </c>
      <c r="AD808" s="5">
        <f t="shared" si="324"/>
        <v>0</v>
      </c>
      <c r="AE808" s="5">
        <f t="shared" si="324"/>
        <v>-4.4196246741412164</v>
      </c>
      <c r="AF808" s="5">
        <f t="shared" si="339"/>
        <v>-14.032962014816349</v>
      </c>
      <c r="AG808">
        <f t="shared" si="350"/>
        <v>0</v>
      </c>
    </row>
    <row r="809" spans="1:33" x14ac:dyDescent="0.2">
      <c r="A809">
        <f t="shared" si="340"/>
        <v>7.7699999999998788</v>
      </c>
      <c r="B809" s="5">
        <f t="shared" si="341"/>
        <v>0</v>
      </c>
      <c r="C809" s="5">
        <f t="shared" si="342"/>
        <v>1064.0250930085979</v>
      </c>
      <c r="D809" s="5">
        <f t="shared" si="343"/>
        <v>-196.83116349652417</v>
      </c>
      <c r="E809" s="2">
        <f t="shared" si="325"/>
        <v>354.67503100286598</v>
      </c>
      <c r="F809" s="2">
        <f t="shared" si="344"/>
        <v>0</v>
      </c>
      <c r="G809" s="3">
        <f t="shared" si="345"/>
        <v>0</v>
      </c>
      <c r="H809" s="3">
        <f t="shared" si="346"/>
        <v>95.048346372808453</v>
      </c>
      <c r="I809" s="3">
        <f t="shared" si="347"/>
        <v>-92.541522447848081</v>
      </c>
      <c r="J809" s="2">
        <f t="shared" si="326"/>
        <v>132.65791165690396</v>
      </c>
      <c r="K809" s="2">
        <f t="shared" si="348"/>
        <v>90.428024306001333</v>
      </c>
      <c r="L809" s="5">
        <f t="shared" si="327"/>
        <v>26.379273331873886</v>
      </c>
      <c r="M809" s="3">
        <f t="shared" si="328"/>
        <v>16.37776589984643</v>
      </c>
      <c r="N809" s="2">
        <v>0</v>
      </c>
      <c r="O809" s="2">
        <f t="shared" si="329"/>
        <v>132.65791165690396</v>
      </c>
      <c r="P809" s="2">
        <f t="shared" si="330"/>
        <v>90.428024306001333</v>
      </c>
      <c r="Q809" s="5">
        <f t="shared" si="331"/>
        <v>1.1180371208339803</v>
      </c>
      <c r="R809" s="5">
        <f t="shared" si="332"/>
        <v>0.15824849944403624</v>
      </c>
      <c r="S809" s="4">
        <f t="shared" si="349"/>
        <v>0.12345864408151247</v>
      </c>
      <c r="T809" s="5">
        <f t="shared" si="333"/>
        <v>9.9361949819886719E-2</v>
      </c>
      <c r="U809" s="4">
        <f t="shared" si="334"/>
        <v>0</v>
      </c>
      <c r="V809" s="4">
        <f t="shared" si="335"/>
        <v>0</v>
      </c>
      <c r="W809" s="5">
        <f t="shared" si="336"/>
        <v>0</v>
      </c>
      <c r="X809" s="5">
        <f t="shared" si="337"/>
        <v>-11.338514525680496</v>
      </c>
      <c r="Y809" s="5">
        <f t="shared" si="338"/>
        <v>11.039470296389013</v>
      </c>
      <c r="Z809" s="5">
        <f>1</f>
        <v>1</v>
      </c>
      <c r="AA809" s="5">
        <f>IF(M809=0,0,const*($T809/omega)*O809*(wy*I809-wz*(H809-V809))/Z809)</f>
        <v>0</v>
      </c>
      <c r="AB809" s="5">
        <f>IF(M809=0,0,const*($T809/omega)*O809*(wz*(G809-U809)-wx*I809)/Z809)</f>
        <v>6.9315241375533487</v>
      </c>
      <c r="AC809" s="5">
        <f>IF(M809=0,0,const*($T809/omega)*O809*(wx*(H809-V809)-wy*(G809-U809))/Z809)</f>
        <v>7.1192896949468025</v>
      </c>
      <c r="AD809" s="5">
        <f t="shared" si="324"/>
        <v>0</v>
      </c>
      <c r="AE809" s="5">
        <f t="shared" si="324"/>
        <v>-4.4069903881271477</v>
      </c>
      <c r="AF809" s="5">
        <f t="shared" si="339"/>
        <v>-14.015240008664186</v>
      </c>
      <c r="AG809">
        <f t="shared" si="350"/>
        <v>0</v>
      </c>
    </row>
    <row r="810" spans="1:33" x14ac:dyDescent="0.2">
      <c r="A810">
        <f t="shared" si="340"/>
        <v>7.7799999999998786</v>
      </c>
      <c r="B810" s="5">
        <f t="shared" si="341"/>
        <v>0</v>
      </c>
      <c r="C810" s="5">
        <f t="shared" si="342"/>
        <v>1064.9753561228065</v>
      </c>
      <c r="D810" s="5">
        <f t="shared" si="343"/>
        <v>-197.75727948300309</v>
      </c>
      <c r="E810" s="2">
        <f t="shared" si="325"/>
        <v>354.99178537426883</v>
      </c>
      <c r="F810" s="2">
        <f t="shared" si="344"/>
        <v>0</v>
      </c>
      <c r="G810" s="3">
        <f t="shared" si="345"/>
        <v>0</v>
      </c>
      <c r="H810" s="3">
        <f t="shared" si="346"/>
        <v>95.004276468927188</v>
      </c>
      <c r="I810" s="3">
        <f t="shared" si="347"/>
        <v>-92.68167484793473</v>
      </c>
      <c r="J810" s="2">
        <f t="shared" si="326"/>
        <v>132.72417036848506</v>
      </c>
      <c r="K810" s="2">
        <f t="shared" si="348"/>
        <v>90.4731904352318</v>
      </c>
      <c r="L810" s="5">
        <f t="shared" si="327"/>
        <v>26.366104240979872</v>
      </c>
      <c r="M810" s="3">
        <f t="shared" si="328"/>
        <v>16.369147017526402</v>
      </c>
      <c r="N810" s="2">
        <v>0</v>
      </c>
      <c r="O810" s="2">
        <f t="shared" si="329"/>
        <v>132.72417036848506</v>
      </c>
      <c r="P810" s="2">
        <f t="shared" si="330"/>
        <v>90.4731904352318</v>
      </c>
      <c r="Q810" s="5">
        <f t="shared" si="331"/>
        <v>1.1185955473778708</v>
      </c>
      <c r="R810" s="5">
        <f t="shared" si="332"/>
        <v>0.15822208122743187</v>
      </c>
      <c r="S810" s="4">
        <f t="shared" si="349"/>
        <v>0.12333207261405647</v>
      </c>
      <c r="T810" s="5">
        <f t="shared" si="333"/>
        <v>9.9321190396185935E-2</v>
      </c>
      <c r="U810" s="4">
        <f t="shared" si="334"/>
        <v>0</v>
      </c>
      <c r="V810" s="4">
        <f t="shared" si="335"/>
        <v>0</v>
      </c>
      <c r="W810" s="5">
        <f t="shared" si="336"/>
        <v>0</v>
      </c>
      <c r="X810" s="5">
        <f t="shared" si="337"/>
        <v>-11.337025028757195</v>
      </c>
      <c r="Y810" s="5">
        <f t="shared" si="338"/>
        <v>11.059864950414452</v>
      </c>
      <c r="Z810" s="5">
        <f>1</f>
        <v>1</v>
      </c>
      <c r="AA810" s="5">
        <f>IF(M810=0,0,const*($T810/omega)*O810*(wy*I810-wz*(H810-V810))/Z810)</f>
        <v>0</v>
      </c>
      <c r="AB810" s="5">
        <f>IF(M810=0,0,const*($T810/omega)*O810*(wz*(G810-U810)-wx*I810)/Z810)</f>
        <v>6.9426400156956589</v>
      </c>
      <c r="AC810" s="5">
        <f>IF(M810=0,0,const*($T810/omega)*O810*(wx*(H810-V810)-wy*(G810-U810))/Z810)</f>
        <v>7.1166224882920863</v>
      </c>
      <c r="AD810" s="5">
        <f t="shared" si="324"/>
        <v>0</v>
      </c>
      <c r="AE810" s="5">
        <f t="shared" si="324"/>
        <v>-4.3943850130615356</v>
      </c>
      <c r="AF810" s="5">
        <f t="shared" si="339"/>
        <v>-13.997512561293462</v>
      </c>
      <c r="AG810">
        <f t="shared" si="350"/>
        <v>0</v>
      </c>
    </row>
    <row r="811" spans="1:33" x14ac:dyDescent="0.2">
      <c r="A811">
        <f t="shared" si="340"/>
        <v>7.7899999999998784</v>
      </c>
      <c r="B811" s="5">
        <f t="shared" si="341"/>
        <v>0</v>
      </c>
      <c r="C811" s="5">
        <f t="shared" si="342"/>
        <v>1065.925179168245</v>
      </c>
      <c r="D811" s="5">
        <f t="shared" si="343"/>
        <v>-198.68479610711051</v>
      </c>
      <c r="E811" s="2">
        <f t="shared" si="325"/>
        <v>355.30839305608168</v>
      </c>
      <c r="F811" s="2">
        <f t="shared" si="344"/>
        <v>0</v>
      </c>
      <c r="G811" s="3">
        <f t="shared" si="345"/>
        <v>0</v>
      </c>
      <c r="H811" s="3">
        <f t="shared" si="346"/>
        <v>94.960332618796571</v>
      </c>
      <c r="I811" s="3">
        <f t="shared" si="347"/>
        <v>-92.821649973547665</v>
      </c>
      <c r="J811" s="2">
        <f t="shared" si="326"/>
        <v>132.79052479331602</v>
      </c>
      <c r="K811" s="2">
        <f t="shared" si="348"/>
        <v>90.518421808668037</v>
      </c>
      <c r="L811" s="5">
        <f t="shared" si="327"/>
        <v>26.352929297325822</v>
      </c>
      <c r="M811" s="3">
        <f t="shared" si="328"/>
        <v>16.360522989598881</v>
      </c>
      <c r="N811" s="2">
        <v>0</v>
      </c>
      <c r="O811" s="2">
        <f t="shared" si="329"/>
        <v>132.79052479331602</v>
      </c>
      <c r="P811" s="2">
        <f t="shared" si="330"/>
        <v>90.518421808668037</v>
      </c>
      <c r="Q811" s="5">
        <f t="shared" si="331"/>
        <v>1.1191547805903193</v>
      </c>
      <c r="R811" s="5">
        <f t="shared" si="332"/>
        <v>0.15819566275135014</v>
      </c>
      <c r="S811" s="4">
        <f t="shared" si="349"/>
        <v>0.12320549990342672</v>
      </c>
      <c r="T811" s="5">
        <f t="shared" si="333"/>
        <v>9.9280405466047786E-2</v>
      </c>
      <c r="U811" s="4">
        <f t="shared" si="334"/>
        <v>0</v>
      </c>
      <c r="V811" s="4">
        <f t="shared" si="335"/>
        <v>0</v>
      </c>
      <c r="W811" s="5">
        <f t="shared" si="336"/>
        <v>0</v>
      </c>
      <c r="X811" s="5">
        <f t="shared" si="337"/>
        <v>-11.335553346362509</v>
      </c>
      <c r="Y811" s="5">
        <f t="shared" si="338"/>
        <v>11.080255681036515</v>
      </c>
      <c r="Z811" s="5">
        <f>1</f>
        <v>1</v>
      </c>
      <c r="AA811" s="5">
        <f>IF(M811=0,0,const*($T811/omega)*O811*(wy*I811-wz*(H811-V811))/Z811)</f>
        <v>0</v>
      </c>
      <c r="AB811" s="5">
        <f>IF(M811=0,0,const*($T811/omega)*O811*(wz*(G811-U811)-wx*I811)/Z811)</f>
        <v>6.9537448596794498</v>
      </c>
      <c r="AC811" s="5">
        <f>IF(M811=0,0,const*($T811/omega)*O811*(wx*(H811-V811)-wy*(G811-U811))/Z811)</f>
        <v>7.1139645223887786</v>
      </c>
      <c r="AD811" s="5">
        <f t="shared" si="324"/>
        <v>0</v>
      </c>
      <c r="AE811" s="5">
        <f t="shared" si="324"/>
        <v>-4.3818084866830596</v>
      </c>
      <c r="AF811" s="5">
        <f t="shared" si="339"/>
        <v>-13.979779796574704</v>
      </c>
      <c r="AG811">
        <f t="shared" si="350"/>
        <v>0</v>
      </c>
    </row>
    <row r="812" spans="1:33" x14ac:dyDescent="0.2">
      <c r="A812">
        <f t="shared" si="340"/>
        <v>7.7999999999998781</v>
      </c>
      <c r="B812" s="5">
        <f t="shared" si="341"/>
        <v>0</v>
      </c>
      <c r="C812" s="5">
        <f t="shared" si="342"/>
        <v>1066.8745634040088</v>
      </c>
      <c r="D812" s="5">
        <f t="shared" si="343"/>
        <v>-199.61371159583581</v>
      </c>
      <c r="E812" s="2">
        <f t="shared" si="325"/>
        <v>355.62485446800292</v>
      </c>
      <c r="F812" s="2">
        <f t="shared" si="344"/>
        <v>0</v>
      </c>
      <c r="G812" s="3">
        <f t="shared" si="345"/>
        <v>0</v>
      </c>
      <c r="H812" s="3">
        <f t="shared" si="346"/>
        <v>94.916514533929742</v>
      </c>
      <c r="I812" s="3">
        <f t="shared" si="347"/>
        <v>-92.961447771513406</v>
      </c>
      <c r="J812" s="2">
        <f t="shared" si="326"/>
        <v>132.8569738592804</v>
      </c>
      <c r="K812" s="2">
        <f t="shared" si="348"/>
        <v>90.563717695487654</v>
      </c>
      <c r="L812" s="5">
        <f t="shared" si="327"/>
        <v>26.339748750709678</v>
      </c>
      <c r="M812" s="3">
        <f t="shared" si="328"/>
        <v>16.351893854637218</v>
      </c>
      <c r="N812" s="2">
        <v>0</v>
      </c>
      <c r="O812" s="2">
        <f t="shared" si="329"/>
        <v>132.8569738592804</v>
      </c>
      <c r="P812" s="2">
        <f t="shared" si="330"/>
        <v>90.563717695487654</v>
      </c>
      <c r="Q812" s="5">
        <f t="shared" si="331"/>
        <v>1.1197148114355588</v>
      </c>
      <c r="R812" s="5">
        <f t="shared" si="332"/>
        <v>0.1581692443411816</v>
      </c>
      <c r="S812" s="4">
        <f t="shared" si="349"/>
        <v>0.12307892750859158</v>
      </c>
      <c r="T812" s="5">
        <f t="shared" si="333"/>
        <v>9.9239595490255142E-2</v>
      </c>
      <c r="U812" s="4">
        <f t="shared" si="334"/>
        <v>0</v>
      </c>
      <c r="V812" s="4">
        <f t="shared" si="335"/>
        <v>0</v>
      </c>
      <c r="W812" s="5">
        <f t="shared" si="336"/>
        <v>0</v>
      </c>
      <c r="X812" s="5">
        <f t="shared" si="337"/>
        <v>-11.334099378110158</v>
      </c>
      <c r="Y812" s="5">
        <f t="shared" si="338"/>
        <v>11.100642417697378</v>
      </c>
      <c r="Z812" s="5">
        <f>1</f>
        <v>1</v>
      </c>
      <c r="AA812" s="5">
        <f>IF(M812=0,0,const*($T812/omega)*O812*(wy*I812-wz*(H812-V812))/Z812)</f>
        <v>0</v>
      </c>
      <c r="AB812" s="5">
        <f>IF(M812=0,0,const*($T812/omega)*O812*(wz*(G812-U812)-wx*I812)/Z812)</f>
        <v>6.964838630941304</v>
      </c>
      <c r="AC812" s="5">
        <f>IF(M812=0,0,const*($T812/omega)*O812*(wx*(H812-V812)-wy*(G812-U812))/Z812)</f>
        <v>7.1113157441895263</v>
      </c>
      <c r="AD812" s="5">
        <f t="shared" si="324"/>
        <v>0</v>
      </c>
      <c r="AE812" s="5">
        <f t="shared" si="324"/>
        <v>-4.3692607471688545</v>
      </c>
      <c r="AF812" s="5">
        <f t="shared" si="339"/>
        <v>-13.962041838113095</v>
      </c>
      <c r="AG812">
        <f t="shared" si="350"/>
        <v>0</v>
      </c>
    </row>
    <row r="813" spans="1:33" x14ac:dyDescent="0.2">
      <c r="A813">
        <f t="shared" si="340"/>
        <v>7.8099999999998779</v>
      </c>
      <c r="B813" s="5">
        <f t="shared" si="341"/>
        <v>0</v>
      </c>
      <c r="C813" s="5">
        <f t="shared" si="342"/>
        <v>1067.8235100863108</v>
      </c>
      <c r="D813" s="5">
        <f t="shared" si="343"/>
        <v>-200.54402417564285</v>
      </c>
      <c r="E813" s="2">
        <f t="shared" si="325"/>
        <v>355.94117002877027</v>
      </c>
      <c r="F813" s="2">
        <f t="shared" si="344"/>
        <v>0</v>
      </c>
      <c r="G813" s="3">
        <f t="shared" si="345"/>
        <v>0</v>
      </c>
      <c r="H813" s="3">
        <f t="shared" si="346"/>
        <v>94.872821926458059</v>
      </c>
      <c r="I813" s="3">
        <f t="shared" si="347"/>
        <v>-93.101068189894534</v>
      </c>
      <c r="J813" s="2">
        <f t="shared" si="326"/>
        <v>132.92351649873251</v>
      </c>
      <c r="K813" s="2">
        <f t="shared" si="348"/>
        <v>90.609077367915816</v>
      </c>
      <c r="L813" s="5">
        <f t="shared" si="327"/>
        <v>26.326562849143532</v>
      </c>
      <c r="M813" s="3">
        <f t="shared" si="328"/>
        <v>16.343259651200075</v>
      </c>
      <c r="N813" s="2">
        <v>0</v>
      </c>
      <c r="O813" s="2">
        <f t="shared" si="329"/>
        <v>132.92351649873251</v>
      </c>
      <c r="P813" s="2">
        <f t="shared" si="330"/>
        <v>90.609077367915816</v>
      </c>
      <c r="Q813" s="5">
        <f t="shared" si="331"/>
        <v>1.1202756309155015</v>
      </c>
      <c r="R813" s="5">
        <f t="shared" si="332"/>
        <v>0.15814282631992782</v>
      </c>
      <c r="S813" s="4">
        <f t="shared" si="349"/>
        <v>0.12295235697707348</v>
      </c>
      <c r="T813" s="5">
        <f t="shared" si="333"/>
        <v>9.9198760927026244E-2</v>
      </c>
      <c r="U813" s="4">
        <f t="shared" si="334"/>
        <v>0</v>
      </c>
      <c r="V813" s="4">
        <f t="shared" si="335"/>
        <v>0</v>
      </c>
      <c r="W813" s="5">
        <f t="shared" si="336"/>
        <v>0</v>
      </c>
      <c r="X813" s="5">
        <f t="shared" si="337"/>
        <v>-11.332663024142324</v>
      </c>
      <c r="Y813" s="5">
        <f t="shared" si="338"/>
        <v>11.121025089794765</v>
      </c>
      <c r="Z813" s="5">
        <f>1</f>
        <v>1</v>
      </c>
      <c r="AA813" s="5">
        <f>IF(M813=0,0,const*($T813/omega)*O813*(wy*I813-wz*(H813-V813))/Z813)</f>
        <v>0</v>
      </c>
      <c r="AB813" s="5">
        <f>IF(M813=0,0,const*($T813/omega)*O813*(wz*(G813-U813)-wx*I813)/Z813)</f>
        <v>6.9759212910120887</v>
      </c>
      <c r="AC813" s="5">
        <f>IF(M813=0,0,const*($T813/omega)*O813*(wx*(H813-V813)-wy*(G813-U813))/Z813)</f>
        <v>7.1086761009581387</v>
      </c>
      <c r="AD813" s="5">
        <f t="shared" si="324"/>
        <v>0</v>
      </c>
      <c r="AE813" s="5">
        <f t="shared" si="324"/>
        <v>-4.3567417331302352</v>
      </c>
      <c r="AF813" s="5">
        <f t="shared" si="339"/>
        <v>-13.944298809247094</v>
      </c>
      <c r="AG813">
        <f t="shared" si="350"/>
        <v>0</v>
      </c>
    </row>
    <row r="814" spans="1:33" x14ac:dyDescent="0.2">
      <c r="A814">
        <f t="shared" si="340"/>
        <v>7.8199999999998777</v>
      </c>
      <c r="B814" s="5">
        <f t="shared" si="341"/>
        <v>0</v>
      </c>
      <c r="C814" s="5">
        <f t="shared" si="342"/>
        <v>1068.7720204684886</v>
      </c>
      <c r="D814" s="5">
        <f t="shared" si="343"/>
        <v>-201.47573207248226</v>
      </c>
      <c r="E814" s="2">
        <f t="shared" si="325"/>
        <v>356.25734015616285</v>
      </c>
      <c r="F814" s="2">
        <f t="shared" si="344"/>
        <v>0</v>
      </c>
      <c r="G814" s="3">
        <f t="shared" si="345"/>
        <v>0</v>
      </c>
      <c r="H814" s="3">
        <f t="shared" si="346"/>
        <v>94.829254509126756</v>
      </c>
      <c r="I814" s="3">
        <f t="shared" si="347"/>
        <v>-93.240511177987003</v>
      </c>
      <c r="J814" s="2">
        <f t="shared" si="326"/>
        <v>132.9901516484926</v>
      </c>
      <c r="K814" s="2">
        <f t="shared" si="348"/>
        <v>90.654500101221942</v>
      </c>
      <c r="L814" s="5">
        <f t="shared" si="327"/>
        <v>26.313371838859119</v>
      </c>
      <c r="M814" s="3">
        <f t="shared" si="328"/>
        <v>16.334620417830365</v>
      </c>
      <c r="N814" s="2">
        <v>0</v>
      </c>
      <c r="O814" s="2">
        <f t="shared" si="329"/>
        <v>132.9901516484926</v>
      </c>
      <c r="P814" s="2">
        <f t="shared" si="330"/>
        <v>90.654500101221942</v>
      </c>
      <c r="Q814" s="5">
        <f t="shared" si="331"/>
        <v>1.1208372300696992</v>
      </c>
      <c r="R814" s="5">
        <f t="shared" si="332"/>
        <v>0.15811640900820878</v>
      </c>
      <c r="S814" s="4">
        <f t="shared" si="349"/>
        <v>0.12282578984498446</v>
      </c>
      <c r="T814" s="5">
        <f t="shared" si="333"/>
        <v>9.9157902232019299E-2</v>
      </c>
      <c r="U814" s="4">
        <f t="shared" si="334"/>
        <v>0</v>
      </c>
      <c r="V814" s="4">
        <f t="shared" si="335"/>
        <v>0</v>
      </c>
      <c r="W814" s="5">
        <f t="shared" si="336"/>
        <v>0</v>
      </c>
      <c r="X814" s="5">
        <f t="shared" si="337"/>
        <v>-11.331244185126906</v>
      </c>
      <c r="Y814" s="5">
        <f t="shared" si="338"/>
        <v>11.141403626685062</v>
      </c>
      <c r="Z814" s="5">
        <f>1</f>
        <v>1</v>
      </c>
      <c r="AA814" s="5">
        <f>IF(M814=0,0,const*($T814/omega)*O814*(wy*I814-wz*(H814-V814))/Z814)</f>
        <v>0</v>
      </c>
      <c r="AB814" s="5">
        <f>IF(M814=0,0,const*($T814/omega)*O814*(wz*(G814-U814)-wx*I814)/Z814)</f>
        <v>6.986992801518455</v>
      </c>
      <c r="AC814" s="5">
        <f>IF(M814=0,0,const*($T814/omega)*O814*(wx*(H814-V814)-wy*(G814-U814))/Z814)</f>
        <v>7.1060455402678597</v>
      </c>
      <c r="AD814" s="5">
        <f t="shared" si="324"/>
        <v>0</v>
      </c>
      <c r="AE814" s="5">
        <f t="shared" si="324"/>
        <v>-4.3442513836084506</v>
      </c>
      <c r="AF814" s="5">
        <f t="shared" si="339"/>
        <v>-13.926550833047077</v>
      </c>
      <c r="AG814">
        <f t="shared" si="350"/>
        <v>0</v>
      </c>
    </row>
    <row r="815" spans="1:33" x14ac:dyDescent="0.2">
      <c r="A815">
        <f t="shared" si="340"/>
        <v>7.8299999999998775</v>
      </c>
      <c r="B815" s="5">
        <f t="shared" si="341"/>
        <v>0</v>
      </c>
      <c r="C815" s="5">
        <f t="shared" si="342"/>
        <v>1069.7200958010108</v>
      </c>
      <c r="D815" s="5">
        <f t="shared" si="343"/>
        <v>-202.40883351180378</v>
      </c>
      <c r="E815" s="2">
        <f t="shared" si="325"/>
        <v>356.57336526700357</v>
      </c>
      <c r="F815" s="2">
        <f t="shared" si="344"/>
        <v>0</v>
      </c>
      <c r="G815" s="3">
        <f t="shared" si="345"/>
        <v>0</v>
      </c>
      <c r="H815" s="3">
        <f t="shared" si="346"/>
        <v>94.785811995290672</v>
      </c>
      <c r="I815" s="3">
        <f t="shared" si="347"/>
        <v>-93.37977668631747</v>
      </c>
      <c r="J815" s="2">
        <f t="shared" si="326"/>
        <v>133.05687824984136</v>
      </c>
      <c r="K815" s="2">
        <f t="shared" si="348"/>
        <v>90.699985173715987</v>
      </c>
      <c r="L815" s="5">
        <f t="shared" si="327"/>
        <v>26.300175964313372</v>
      </c>
      <c r="M815" s="3">
        <f t="shared" si="328"/>
        <v>16.325976193054199</v>
      </c>
      <c r="N815" s="2">
        <v>0</v>
      </c>
      <c r="O815" s="2">
        <f t="shared" si="329"/>
        <v>133.05687824984136</v>
      </c>
      <c r="P815" s="2">
        <f t="shared" si="330"/>
        <v>90.699985173715987</v>
      </c>
      <c r="Q815" s="5">
        <f t="shared" si="331"/>
        <v>1.1213995999752946</v>
      </c>
      <c r="R815" s="5">
        <f t="shared" si="332"/>
        <v>0.15808999272427046</v>
      </c>
      <c r="S815" s="4">
        <f t="shared" si="349"/>
        <v>0.12269922763706252</v>
      </c>
      <c r="T815" s="5">
        <f t="shared" si="333"/>
        <v>9.9117019858337513E-2</v>
      </c>
      <c r="U815" s="4">
        <f t="shared" si="334"/>
        <v>0</v>
      </c>
      <c r="V815" s="4">
        <f t="shared" si="335"/>
        <v>0</v>
      </c>
      <c r="W815" s="5">
        <f t="shared" si="336"/>
        <v>0</v>
      </c>
      <c r="X815" s="5">
        <f t="shared" si="337"/>
        <v>-11.329842762254772</v>
      </c>
      <c r="Y815" s="5">
        <f t="shared" si="338"/>
        <v>11.161777957686382</v>
      </c>
      <c r="Z815" s="5">
        <f>1</f>
        <v>1</v>
      </c>
      <c r="AA815" s="5">
        <f>IF(M815=0,0,const*($T815/omega)*O815*(wy*I815-wz*(H815-V815))/Z815)</f>
        <v>0</v>
      </c>
      <c r="AB815" s="5">
        <f>IF(M815=0,0,const*($T815/omega)*O815*(wz*(G815-U815)-wx*I815)/Z815)</f>
        <v>6.9980531241843069</v>
      </c>
      <c r="AC815" s="5">
        <f>IF(M815=0,0,const*($T815/omega)*O815*(wx*(H815-V815)-wy*(G815-U815))/Z815)</f>
        <v>7.1034240099996193</v>
      </c>
      <c r="AD815" s="5">
        <f t="shared" si="324"/>
        <v>0</v>
      </c>
      <c r="AE815" s="5">
        <f t="shared" si="324"/>
        <v>-4.3317896380704655</v>
      </c>
      <c r="AF815" s="5">
        <f t="shared" si="339"/>
        <v>-13.908798032313996</v>
      </c>
      <c r="AG815">
        <f t="shared" si="350"/>
        <v>0</v>
      </c>
    </row>
    <row r="816" spans="1:33" x14ac:dyDescent="0.2">
      <c r="A816">
        <f t="shared" si="340"/>
        <v>7.8399999999998773</v>
      </c>
      <c r="B816" s="5">
        <f t="shared" si="341"/>
        <v>0</v>
      </c>
      <c r="C816" s="5">
        <f t="shared" si="342"/>
        <v>1070.6677373314817</v>
      </c>
      <c r="D816" s="5">
        <f t="shared" si="343"/>
        <v>-203.34332671856856</v>
      </c>
      <c r="E816" s="2">
        <f t="shared" si="325"/>
        <v>356.88924577716057</v>
      </c>
      <c r="F816" s="2">
        <f t="shared" si="344"/>
        <v>0</v>
      </c>
      <c r="G816" s="3">
        <f t="shared" si="345"/>
        <v>0</v>
      </c>
      <c r="H816" s="3">
        <f t="shared" si="346"/>
        <v>94.742494098909972</v>
      </c>
      <c r="I816" s="3">
        <f t="shared" si="347"/>
        <v>-93.51886466664061</v>
      </c>
      <c r="J816" s="2">
        <f t="shared" si="326"/>
        <v>133.12369524851476</v>
      </c>
      <c r="K816" s="2">
        <f t="shared" si="348"/>
        <v>90.745531866744898</v>
      </c>
      <c r="L816" s="5">
        <f t="shared" si="327"/>
        <v>26.286975468194054</v>
      </c>
      <c r="M816" s="3">
        <f t="shared" si="328"/>
        <v>16.317327015379817</v>
      </c>
      <c r="N816" s="2">
        <v>0</v>
      </c>
      <c r="O816" s="2">
        <f t="shared" si="329"/>
        <v>133.12369524851476</v>
      </c>
      <c r="P816" s="2">
        <f t="shared" si="330"/>
        <v>90.745531866744898</v>
      </c>
      <c r="Q816" s="5">
        <f t="shared" si="331"/>
        <v>1.1219627317469811</v>
      </c>
      <c r="R816" s="5">
        <f t="shared" si="332"/>
        <v>0.15806357778399238</v>
      </c>
      <c r="S816" s="4">
        <f t="shared" si="349"/>
        <v>0.12257267186670787</v>
      </c>
      <c r="T816" s="5">
        <f t="shared" si="333"/>
        <v>9.9076114256534009E-2</v>
      </c>
      <c r="U816" s="4">
        <f t="shared" si="334"/>
        <v>0</v>
      </c>
      <c r="V816" s="4">
        <f t="shared" si="335"/>
        <v>0</v>
      </c>
      <c r="W816" s="5">
        <f t="shared" si="336"/>
        <v>0</v>
      </c>
      <c r="X816" s="5">
        <f t="shared" si="337"/>
        <v>-11.328458657237032</v>
      </c>
      <c r="Y816" s="5">
        <f t="shared" si="338"/>
        <v>11.182148012081646</v>
      </c>
      <c r="Z816" s="5">
        <f>1</f>
        <v>1</v>
      </c>
      <c r="AA816" s="5">
        <f>IF(M816=0,0,const*($T816/omega)*O816*(wy*I816-wz*(H816-V816))/Z816)</f>
        <v>0</v>
      </c>
      <c r="AB816" s="5">
        <f>IF(M816=0,0,const*($T816/omega)*O816*(wz*(G816-U816)-wx*I816)/Z816)</f>
        <v>7.0091022208322729</v>
      </c>
      <c r="AC816" s="5">
        <f>IF(M816=0,0,const*($T816/omega)*O816*(wx*(H816-V816)-wy*(G816-U816))/Z816)</f>
        <v>7.1008114583403108</v>
      </c>
      <c r="AD816" s="5">
        <f t="shared" ref="AD816:AE879" si="351">W816+AA816</f>
        <v>0</v>
      </c>
      <c r="AE816" s="5">
        <f t="shared" si="351"/>
        <v>-4.3193564364047594</v>
      </c>
      <c r="AF816" s="5">
        <f t="shared" si="339"/>
        <v>-13.891040529578042</v>
      </c>
      <c r="AG816">
        <f t="shared" si="350"/>
        <v>0</v>
      </c>
    </row>
    <row r="817" spans="1:33" x14ac:dyDescent="0.2">
      <c r="A817">
        <f t="shared" si="340"/>
        <v>7.8499999999998771</v>
      </c>
      <c r="B817" s="5">
        <f t="shared" si="341"/>
        <v>0</v>
      </c>
      <c r="C817" s="5">
        <f t="shared" si="342"/>
        <v>1071.614946304649</v>
      </c>
      <c r="D817" s="5">
        <f t="shared" si="343"/>
        <v>-204.27920991726145</v>
      </c>
      <c r="E817" s="2">
        <f t="shared" si="325"/>
        <v>357.20498210154966</v>
      </c>
      <c r="F817" s="2">
        <f t="shared" si="344"/>
        <v>0</v>
      </c>
      <c r="G817" s="3">
        <f t="shared" si="345"/>
        <v>0</v>
      </c>
      <c r="H817" s="3">
        <f t="shared" si="346"/>
        <v>94.699300534545927</v>
      </c>
      <c r="I817" s="3">
        <f t="shared" si="347"/>
        <v>-93.657775071936385</v>
      </c>
      <c r="J817" s="2">
        <f t="shared" si="326"/>
        <v>133.19060159469839</v>
      </c>
      <c r="K817" s="2">
        <f t="shared" si="348"/>
        <v>90.79113946468874</v>
      </c>
      <c r="L817" s="5">
        <f t="shared" si="327"/>
        <v>26.273770591425436</v>
      </c>
      <c r="M817" s="3">
        <f t="shared" si="328"/>
        <v>16.30867292329658</v>
      </c>
      <c r="N817" s="2">
        <v>0</v>
      </c>
      <c r="O817" s="2">
        <f t="shared" si="329"/>
        <v>133.19060159469839</v>
      </c>
      <c r="P817" s="2">
        <f t="shared" si="330"/>
        <v>90.79113946468874</v>
      </c>
      <c r="Q817" s="5">
        <f t="shared" si="331"/>
        <v>1.1225266165369523</v>
      </c>
      <c r="R817" s="5">
        <f t="shared" si="332"/>
        <v>0.15803716450089536</v>
      </c>
      <c r="S817" s="4">
        <f t="shared" si="349"/>
        <v>0.12244612403602013</v>
      </c>
      <c r="T817" s="5">
        <f t="shared" si="333"/>
        <v>9.9035185874617016E-2</v>
      </c>
      <c r="U817" s="4">
        <f t="shared" si="334"/>
        <v>0</v>
      </c>
      <c r="V817" s="4">
        <f t="shared" si="335"/>
        <v>0</v>
      </c>
      <c r="W817" s="5">
        <f t="shared" si="336"/>
        <v>0</v>
      </c>
      <c r="X817" s="5">
        <f t="shared" si="337"/>
        <v>-11.327091772302287</v>
      </c>
      <c r="Y817" s="5">
        <f t="shared" si="338"/>
        <v>11.202513719121587</v>
      </c>
      <c r="Z817" s="5">
        <f>1</f>
        <v>1</v>
      </c>
      <c r="AA817" s="5">
        <f>IF(M817=0,0,const*($T817/omega)*O817*(wy*I817-wz*(H817-V817))/Z817)</f>
        <v>0</v>
      </c>
      <c r="AB817" s="5">
        <f>IF(M817=0,0,const*($T817/omega)*O817*(wz*(G817-U817)-wx*I817)/Z817)</f>
        <v>7.0201400533851519</v>
      </c>
      <c r="AC817" s="5">
        <f>IF(M817=0,0,const*($T817/omega)*O817*(wx*(H817-V817)-wy*(G817-U817))/Z817)</f>
        <v>7.0982078337810641</v>
      </c>
      <c r="AD817" s="5">
        <f t="shared" si="351"/>
        <v>0</v>
      </c>
      <c r="AE817" s="5">
        <f t="shared" si="351"/>
        <v>-4.3069517189171354</v>
      </c>
      <c r="AF817" s="5">
        <f t="shared" si="339"/>
        <v>-13.873278447097348</v>
      </c>
      <c r="AG817">
        <f t="shared" si="350"/>
        <v>0</v>
      </c>
    </row>
    <row r="818" spans="1:33" x14ac:dyDescent="0.2">
      <c r="A818">
        <f t="shared" si="340"/>
        <v>7.8599999999998769</v>
      </c>
      <c r="B818" s="5">
        <f t="shared" si="341"/>
        <v>0</v>
      </c>
      <c r="C818" s="5">
        <f t="shared" si="342"/>
        <v>1072.5617239624085</v>
      </c>
      <c r="D818" s="5">
        <f t="shared" si="343"/>
        <v>-205.21648133190317</v>
      </c>
      <c r="E818" s="2">
        <f t="shared" si="325"/>
        <v>357.52057465413617</v>
      </c>
      <c r="F818" s="2">
        <f t="shared" si="344"/>
        <v>0</v>
      </c>
      <c r="G818" s="3">
        <f t="shared" si="345"/>
        <v>0</v>
      </c>
      <c r="H818" s="3">
        <f t="shared" si="346"/>
        <v>94.65623101735676</v>
      </c>
      <c r="I818" s="3">
        <f t="shared" si="347"/>
        <v>-93.796507856407359</v>
      </c>
      <c r="J818" s="2">
        <f t="shared" si="326"/>
        <v>133.25759624302211</v>
      </c>
      <c r="K818" s="2">
        <f t="shared" si="348"/>
        <v>90.836807254957122</v>
      </c>
      <c r="L818" s="5">
        <f t="shared" si="327"/>
        <v>26.260561573174051</v>
      </c>
      <c r="M818" s="3">
        <f t="shared" si="328"/>
        <v>16.300013955273911</v>
      </c>
      <c r="N818" s="2">
        <v>0</v>
      </c>
      <c r="O818" s="2">
        <f t="shared" si="329"/>
        <v>133.25759624302211</v>
      </c>
      <c r="P818" s="2">
        <f t="shared" si="330"/>
        <v>90.836807254957122</v>
      </c>
      <c r="Q818" s="5">
        <f t="shared" si="331"/>
        <v>1.1230912455348581</v>
      </c>
      <c r="R818" s="5">
        <f t="shared" si="332"/>
        <v>0.15801075318614929</v>
      </c>
      <c r="S818" s="4">
        <f t="shared" si="349"/>
        <v>0.12231958563583534</v>
      </c>
      <c r="T818" s="5">
        <f t="shared" si="333"/>
        <v>9.899423515805493E-2</v>
      </c>
      <c r="U818" s="4">
        <f t="shared" si="334"/>
        <v>0</v>
      </c>
      <c r="V818" s="4">
        <f t="shared" si="335"/>
        <v>0</v>
      </c>
      <c r="W818" s="5">
        <f t="shared" si="336"/>
        <v>0</v>
      </c>
      <c r="X818" s="5">
        <f t="shared" si="337"/>
        <v>-11.325742010193947</v>
      </c>
      <c r="Y818" s="5">
        <f t="shared" si="338"/>
        <v>11.222875008027804</v>
      </c>
      <c r="Z818" s="5">
        <f>1</f>
        <v>1</v>
      </c>
      <c r="AA818" s="5">
        <f>IF(M818=0,0,const*($T818/omega)*O818*(wy*I818-wz*(H818-V818))/Z818)</f>
        <v>0</v>
      </c>
      <c r="AB818" s="5">
        <f>IF(M818=0,0,const*($T818/omega)*O818*(wz*(G818-U818)-wx*I818)/Z818)</f>
        <v>7.0311665838673356</v>
      </c>
      <c r="AC818" s="5">
        <f>IF(M818=0,0,const*($T818/omega)*O818*(wx*(H818-V818)-wy*(G818-U818))/Z818)</f>
        <v>7.0956130851155299</v>
      </c>
      <c r="AD818" s="5">
        <f t="shared" si="351"/>
        <v>0</v>
      </c>
      <c r="AE818" s="5">
        <f t="shared" si="351"/>
        <v>-4.2945754263266114</v>
      </c>
      <c r="AF818" s="5">
        <f t="shared" si="339"/>
        <v>-13.855511906856666</v>
      </c>
      <c r="AG818">
        <f t="shared" si="350"/>
        <v>0</v>
      </c>
    </row>
    <row r="819" spans="1:33" x14ac:dyDescent="0.2">
      <c r="A819">
        <f t="shared" si="340"/>
        <v>7.8699999999998766</v>
      </c>
      <c r="B819" s="5">
        <f t="shared" si="341"/>
        <v>0</v>
      </c>
      <c r="C819" s="5">
        <f t="shared" si="342"/>
        <v>1073.5080715438105</v>
      </c>
      <c r="D819" s="5">
        <f t="shared" si="343"/>
        <v>-206.1551391860626</v>
      </c>
      <c r="E819" s="2">
        <f t="shared" si="325"/>
        <v>357.83602384793681</v>
      </c>
      <c r="F819" s="2">
        <f t="shared" si="344"/>
        <v>0</v>
      </c>
      <c r="G819" s="3">
        <f t="shared" si="345"/>
        <v>0</v>
      </c>
      <c r="H819" s="3">
        <f t="shared" si="346"/>
        <v>94.613285263093488</v>
      </c>
      <c r="I819" s="3">
        <f t="shared" si="347"/>
        <v>-93.93506297547593</v>
      </c>
      <c r="J819" s="2">
        <f t="shared" si="326"/>
        <v>133.3246781525541</v>
      </c>
      <c r="K819" s="2">
        <f t="shared" si="348"/>
        <v>90.882534527985072</v>
      </c>
      <c r="L819" s="5">
        <f t="shared" si="327"/>
        <v>26.247348650854484</v>
      </c>
      <c r="M819" s="3">
        <f t="shared" si="328"/>
        <v>16.291350149760298</v>
      </c>
      <c r="N819" s="2">
        <v>0</v>
      </c>
      <c r="O819" s="2">
        <f t="shared" si="329"/>
        <v>133.3246781525541</v>
      </c>
      <c r="P819" s="2">
        <f t="shared" si="330"/>
        <v>90.882534527985072</v>
      </c>
      <c r="Q819" s="5">
        <f t="shared" si="331"/>
        <v>1.1236566099677552</v>
      </c>
      <c r="R819" s="5">
        <f t="shared" si="332"/>
        <v>0.15798434414858106</v>
      </c>
      <c r="S819" s="4">
        <f t="shared" si="349"/>
        <v>0.12219305814576388</v>
      </c>
      <c r="T819" s="5">
        <f t="shared" si="333"/>
        <v>9.8953262549781776E-2</v>
      </c>
      <c r="U819" s="4">
        <f t="shared" si="334"/>
        <v>0</v>
      </c>
      <c r="V819" s="4">
        <f t="shared" si="335"/>
        <v>0</v>
      </c>
      <c r="W819" s="5">
        <f t="shared" si="336"/>
        <v>0</v>
      </c>
      <c r="X819" s="5">
        <f t="shared" si="337"/>
        <v>-11.324409274167499</v>
      </c>
      <c r="Y819" s="5">
        <f t="shared" si="338"/>
        <v>11.243231807995743</v>
      </c>
      <c r="Z819" s="5">
        <f>1</f>
        <v>1</v>
      </c>
      <c r="AA819" s="5">
        <f>IF(M819=0,0,const*($T819/omega)*O819*(wy*I819-wz*(H819-V819))/Z819)</f>
        <v>0</v>
      </c>
      <c r="AB819" s="5">
        <f>IF(M819=0,0,const*($T819/omega)*O819*(wz*(G819-U819)-wx*I819)/Z819)</f>
        <v>7.042181774406238</v>
      </c>
      <c r="AC819" s="5">
        <f>IF(M819=0,0,const*($T819/omega)*O819*(wx*(H819-V819)-wy*(G819-U819))/Z819)</f>
        <v>7.0930271614381653</v>
      </c>
      <c r="AD819" s="5">
        <f t="shared" si="351"/>
        <v>0</v>
      </c>
      <c r="AE819" s="5">
        <f t="shared" si="351"/>
        <v>-4.2822274997612606</v>
      </c>
      <c r="AF819" s="5">
        <f t="shared" si="339"/>
        <v>-13.837741030566093</v>
      </c>
      <c r="AG819">
        <f t="shared" si="350"/>
        <v>0</v>
      </c>
    </row>
    <row r="820" spans="1:33" x14ac:dyDescent="0.2">
      <c r="A820">
        <f t="shared" si="340"/>
        <v>7.8799999999998764</v>
      </c>
      <c r="B820" s="5">
        <f t="shared" si="341"/>
        <v>0</v>
      </c>
      <c r="C820" s="5">
        <f t="shared" si="342"/>
        <v>1074.4539902850663</v>
      </c>
      <c r="D820" s="5">
        <f t="shared" si="343"/>
        <v>-207.09518170286887</v>
      </c>
      <c r="E820" s="2">
        <f t="shared" si="325"/>
        <v>358.1513300950221</v>
      </c>
      <c r="F820" s="2">
        <f t="shared" si="344"/>
        <v>0</v>
      </c>
      <c r="G820" s="3">
        <f t="shared" si="345"/>
        <v>0</v>
      </c>
      <c r="H820" s="3">
        <f t="shared" si="346"/>
        <v>94.570462988095869</v>
      </c>
      <c r="I820" s="3">
        <f t="shared" si="347"/>
        <v>-94.073440385781595</v>
      </c>
      <c r="J820" s="2">
        <f t="shared" si="326"/>
        <v>133.39184628679527</v>
      </c>
      <c r="K820" s="2">
        <f t="shared" si="348"/>
        <v>90.928320577229215</v>
      </c>
      <c r="L820" s="5">
        <f t="shared" si="327"/>
        <v>26.234132060135249</v>
      </c>
      <c r="M820" s="3">
        <f t="shared" si="328"/>
        <v>16.282681545182264</v>
      </c>
      <c r="N820" s="2">
        <v>0</v>
      </c>
      <c r="O820" s="2">
        <f t="shared" si="329"/>
        <v>133.39184628679527</v>
      </c>
      <c r="P820" s="2">
        <f t="shared" si="330"/>
        <v>90.928320577229215</v>
      </c>
      <c r="Q820" s="5">
        <f t="shared" si="331"/>
        <v>1.1242227011000581</v>
      </c>
      <c r="R820" s="5">
        <f t="shared" si="332"/>
        <v>0.15795793769468233</v>
      </c>
      <c r="S820" s="4">
        <f t="shared" si="349"/>
        <v>0.12206654303422831</v>
      </c>
      <c r="T820" s="5">
        <f t="shared" si="333"/>
        <v>9.8912268490202473E-2</v>
      </c>
      <c r="U820" s="4">
        <f t="shared" si="334"/>
        <v>0</v>
      </c>
      <c r="V820" s="4">
        <f t="shared" si="335"/>
        <v>0</v>
      </c>
      <c r="W820" s="5">
        <f t="shared" si="336"/>
        <v>0</v>
      </c>
      <c r="X820" s="5">
        <f t="shared" si="337"/>
        <v>-11.323093467987816</v>
      </c>
      <c r="Y820" s="5">
        <f t="shared" si="338"/>
        <v>11.26358404819767</v>
      </c>
      <c r="Z820" s="5">
        <f>1</f>
        <v>1</v>
      </c>
      <c r="AA820" s="5">
        <f>IF(M820=0,0,const*($T820/omega)*O820*(wy*I820-wz*(H820-V820))/Z820)</f>
        <v>0</v>
      </c>
      <c r="AB820" s="5">
        <f>IF(M820=0,0,const*($T820/omega)*O820*(wz*(G820-U820)-wx*I820)/Z820)</f>
        <v>7.0531855872336831</v>
      </c>
      <c r="AC820" s="5">
        <f>IF(M820=0,0,const*($T820/omega)*O820*(wx*(H820-V820)-wy*(G820-U820))/Z820)</f>
        <v>7.0904500121425258</v>
      </c>
      <c r="AD820" s="5">
        <f t="shared" si="351"/>
        <v>0</v>
      </c>
      <c r="AE820" s="5">
        <f t="shared" si="351"/>
        <v>-4.2699078807541326</v>
      </c>
      <c r="AF820" s="5">
        <f t="shared" si="339"/>
        <v>-13.819965939659802</v>
      </c>
      <c r="AG820">
        <f t="shared" si="350"/>
        <v>0</v>
      </c>
    </row>
    <row r="821" spans="1:33" x14ac:dyDescent="0.2">
      <c r="A821">
        <f t="shared" si="340"/>
        <v>7.8899999999998762</v>
      </c>
      <c r="B821" s="5">
        <f t="shared" si="341"/>
        <v>0</v>
      </c>
      <c r="C821" s="5">
        <f t="shared" si="342"/>
        <v>1075.3994814195532</v>
      </c>
      <c r="D821" s="5">
        <f t="shared" si="343"/>
        <v>-208.03660710502368</v>
      </c>
      <c r="E821" s="2">
        <f t="shared" si="325"/>
        <v>358.46649380651775</v>
      </c>
      <c r="F821" s="2">
        <f t="shared" si="344"/>
        <v>0</v>
      </c>
      <c r="G821" s="3">
        <f t="shared" si="345"/>
        <v>0</v>
      </c>
      <c r="H821" s="3">
        <f t="shared" si="346"/>
        <v>94.527763909288325</v>
      </c>
      <c r="I821" s="3">
        <f t="shared" si="347"/>
        <v>-94.2116400451782</v>
      </c>
      <c r="J821" s="2">
        <f t="shared" si="326"/>
        <v>133.45909961367332</v>
      </c>
      <c r="K821" s="2">
        <f t="shared" si="348"/>
        <v>90.974164699163808</v>
      </c>
      <c r="L821" s="5">
        <f t="shared" si="327"/>
        <v>26.220912034944689</v>
      </c>
      <c r="M821" s="3">
        <f t="shared" si="328"/>
        <v>16.274008179943372</v>
      </c>
      <c r="N821" s="2">
        <v>0</v>
      </c>
      <c r="O821" s="2">
        <f t="shared" si="329"/>
        <v>133.45909961367332</v>
      </c>
      <c r="P821" s="2">
        <f t="shared" si="330"/>
        <v>90.974164699163808</v>
      </c>
      <c r="Q821" s="5">
        <f t="shared" si="331"/>
        <v>1.1247895102334906</v>
      </c>
      <c r="R821" s="5">
        <f t="shared" si="332"/>
        <v>0.15793153412861771</v>
      </c>
      <c r="S821" s="4">
        <f t="shared" si="349"/>
        <v>0.12194004175850177</v>
      </c>
      <c r="T821" s="5">
        <f t="shared" si="333"/>
        <v>9.8871253417198379E-2</v>
      </c>
      <c r="U821" s="4">
        <f t="shared" si="334"/>
        <v>0</v>
      </c>
      <c r="V821" s="4">
        <f t="shared" si="335"/>
        <v>0</v>
      </c>
      <c r="W821" s="5">
        <f t="shared" si="336"/>
        <v>0</v>
      </c>
      <c r="X821" s="5">
        <f t="shared" si="337"/>
        <v>-11.321794495926483</v>
      </c>
      <c r="Y821" s="5">
        <f t="shared" si="338"/>
        <v>11.283931657785642</v>
      </c>
      <c r="Z821" s="5">
        <f>1</f>
        <v>1</v>
      </c>
      <c r="AA821" s="5">
        <f>IF(M821=0,0,const*($T821/omega)*O821*(wy*I821-wz*(H821-V821))/Z821)</f>
        <v>0</v>
      </c>
      <c r="AB821" s="5">
        <f>IF(M821=0,0,const*($T821/omega)*O821*(wz*(G821-U821)-wx*I821)/Z821)</f>
        <v>7.064177984687297</v>
      </c>
      <c r="AC821" s="5">
        <f>IF(M821=0,0,const*($T821/omega)*O821*(wx*(H821-V821)-wy*(G821-U821))/Z821)</f>
        <v>7.0878815869195702</v>
      </c>
      <c r="AD821" s="5">
        <f t="shared" si="351"/>
        <v>0</v>
      </c>
      <c r="AE821" s="5">
        <f t="shared" si="351"/>
        <v>-4.2576165112391857</v>
      </c>
      <c r="AF821" s="5">
        <f t="shared" si="339"/>
        <v>-13.802186755294787</v>
      </c>
      <c r="AG821">
        <f t="shared" si="350"/>
        <v>0</v>
      </c>
    </row>
    <row r="822" spans="1:33" x14ac:dyDescent="0.2">
      <c r="A822">
        <f t="shared" si="340"/>
        <v>7.899999999999876</v>
      </c>
      <c r="B822" s="5">
        <f t="shared" si="341"/>
        <v>0</v>
      </c>
      <c r="C822" s="5">
        <f t="shared" si="342"/>
        <v>1076.3445461778206</v>
      </c>
      <c r="D822" s="5">
        <f t="shared" si="343"/>
        <v>-208.97941361481324</v>
      </c>
      <c r="E822" s="2">
        <f t="shared" si="325"/>
        <v>358.78151539260688</v>
      </c>
      <c r="F822" s="2">
        <f t="shared" si="344"/>
        <v>0</v>
      </c>
      <c r="G822" s="3">
        <f t="shared" si="345"/>
        <v>0</v>
      </c>
      <c r="H822" s="3">
        <f t="shared" si="346"/>
        <v>94.485187744175931</v>
      </c>
      <c r="I822" s="3">
        <f t="shared" si="347"/>
        <v>-94.34966191273115</v>
      </c>
      <c r="J822" s="2">
        <f t="shared" si="326"/>
        <v>133.52643710553667</v>
      </c>
      <c r="K822" s="2">
        <f t="shared" si="348"/>
        <v>91.02006619327652</v>
      </c>
      <c r="L822" s="5">
        <f t="shared" si="327"/>
        <v>26.207688807476952</v>
      </c>
      <c r="M822" s="3">
        <f t="shared" si="328"/>
        <v>16.26533009242322</v>
      </c>
      <c r="N822" s="2">
        <v>0</v>
      </c>
      <c r="O822" s="2">
        <f t="shared" si="329"/>
        <v>133.52643710553667</v>
      </c>
      <c r="P822" s="2">
        <f t="shared" si="330"/>
        <v>91.02006619327652</v>
      </c>
      <c r="Q822" s="5">
        <f t="shared" si="331"/>
        <v>1.1253570287070347</v>
      </c>
      <c r="R822" s="5">
        <f t="shared" si="332"/>
        <v>0.1579051337522327</v>
      </c>
      <c r="S822" s="4">
        <f t="shared" si="349"/>
        <v>0.12181355576474659</v>
      </c>
      <c r="T822" s="5">
        <f t="shared" si="333"/>
        <v>9.8830217766132822E-2</v>
      </c>
      <c r="U822" s="4">
        <f t="shared" si="334"/>
        <v>0</v>
      </c>
      <c r="V822" s="4">
        <f t="shared" si="335"/>
        <v>0</v>
      </c>
      <c r="W822" s="5">
        <f t="shared" si="336"/>
        <v>0</v>
      </c>
      <c r="X822" s="5">
        <f t="shared" si="337"/>
        <v>-11.320512262759099</v>
      </c>
      <c r="Y822" s="5">
        <f t="shared" si="338"/>
        <v>11.304274565894429</v>
      </c>
      <c r="Z822" s="5">
        <f>1</f>
        <v>1</v>
      </c>
      <c r="AA822" s="5">
        <f>IF(M822=0,0,const*($T822/omega)*O822*(wy*I822-wz*(H822-V822))/Z822)</f>
        <v>0</v>
      </c>
      <c r="AB822" s="5">
        <f>IF(M822=0,0,const*($T822/omega)*O822*(wz*(G822-U822)-wx*I822)/Z822)</f>
        <v>7.0751589292118666</v>
      </c>
      <c r="AC822" s="5">
        <f>IF(M822=0,0,const*($T822/omega)*O822*(wx*(H822-V822)-wy*(G822-U822))/Z822)</f>
        <v>7.0853218357559546</v>
      </c>
      <c r="AD822" s="5">
        <f t="shared" si="351"/>
        <v>0</v>
      </c>
      <c r="AE822" s="5">
        <f t="shared" si="351"/>
        <v>-4.2453533335472322</v>
      </c>
      <c r="AF822" s="5">
        <f t="shared" si="339"/>
        <v>-13.784403598349616</v>
      </c>
      <c r="AG822">
        <f t="shared" si="350"/>
        <v>0</v>
      </c>
    </row>
    <row r="823" spans="1:33" x14ac:dyDescent="0.2">
      <c r="A823">
        <f t="shared" si="340"/>
        <v>7.9099999999998758</v>
      </c>
      <c r="B823" s="5">
        <f t="shared" si="341"/>
        <v>0</v>
      </c>
      <c r="C823" s="5">
        <f t="shared" si="342"/>
        <v>1077.2891857875957</v>
      </c>
      <c r="D823" s="5">
        <f t="shared" si="343"/>
        <v>-209.92359945412045</v>
      </c>
      <c r="E823" s="2">
        <f t="shared" si="325"/>
        <v>359.09639526253187</v>
      </c>
      <c r="F823" s="2">
        <f t="shared" si="344"/>
        <v>0</v>
      </c>
      <c r="G823" s="3">
        <f t="shared" si="345"/>
        <v>0</v>
      </c>
      <c r="H823" s="3">
        <f t="shared" si="346"/>
        <v>94.442734210840456</v>
      </c>
      <c r="I823" s="3">
        <f t="shared" si="347"/>
        <v>-94.487505948714642</v>
      </c>
      <c r="J823" s="2">
        <f t="shared" si="326"/>
        <v>133.59385773914846</v>
      </c>
      <c r="K823" s="2">
        <f t="shared" si="348"/>
        <v>91.066024362064383</v>
      </c>
      <c r="L823" s="5">
        <f t="shared" si="327"/>
        <v>26.194462608198013</v>
      </c>
      <c r="M823" s="3">
        <f t="shared" si="328"/>
        <v>16.256647320976473</v>
      </c>
      <c r="N823" s="2">
        <v>0</v>
      </c>
      <c r="O823" s="2">
        <f t="shared" si="329"/>
        <v>133.59385773914846</v>
      </c>
      <c r="P823" s="2">
        <f t="shared" si="330"/>
        <v>91.066024362064383</v>
      </c>
      <c r="Q823" s="5">
        <f t="shared" si="331"/>
        <v>1.1259252478968791</v>
      </c>
      <c r="R823" s="5">
        <f t="shared" si="332"/>
        <v>0.15787873686506193</v>
      </c>
      <c r="S823" s="4">
        <f t="shared" si="349"/>
        <v>0.12168708648805349</v>
      </c>
      <c r="T823" s="5">
        <f t="shared" si="333"/>
        <v>9.8789161969856862E-2</v>
      </c>
      <c r="U823" s="4">
        <f t="shared" si="334"/>
        <v>0</v>
      </c>
      <c r="V823" s="4">
        <f t="shared" si="335"/>
        <v>0</v>
      </c>
      <c r="W823" s="5">
        <f t="shared" si="336"/>
        <v>0</v>
      </c>
      <c r="X823" s="5">
        <f t="shared" si="337"/>
        <v>-11.319246673762629</v>
      </c>
      <c r="Y823" s="5">
        <f t="shared" si="338"/>
        <v>11.324612701644453</v>
      </c>
      <c r="Z823" s="5">
        <f>1</f>
        <v>1</v>
      </c>
      <c r="AA823" s="5">
        <f>IF(M823=0,0,const*($T823/omega)*O823*(wy*I823-wz*(H823-V823))/Z823)</f>
        <v>0</v>
      </c>
      <c r="AB823" s="5">
        <f>IF(M823=0,0,const*($T823/omega)*O823*(wz*(G823-U823)-wx*I823)/Z823)</f>
        <v>7.0861283833607098</v>
      </c>
      <c r="AC823" s="5">
        <f>IF(M823=0,0,const*($T823/omega)*O823*(wx*(H823-V823)-wy*(G823-U823))/Z823)</f>
        <v>7.082770708932359</v>
      </c>
      <c r="AD823" s="5">
        <f t="shared" si="351"/>
        <v>0</v>
      </c>
      <c r="AE823" s="5">
        <f t="shared" si="351"/>
        <v>-4.2331182904019196</v>
      </c>
      <c r="AF823" s="5">
        <f t="shared" si="339"/>
        <v>-13.766616589423187</v>
      </c>
      <c r="AG823">
        <f t="shared" si="350"/>
        <v>0</v>
      </c>
    </row>
    <row r="824" spans="1:33" x14ac:dyDescent="0.2">
      <c r="A824">
        <f t="shared" si="340"/>
        <v>7.9199999999998756</v>
      </c>
      <c r="B824" s="5">
        <f t="shared" si="341"/>
        <v>0</v>
      </c>
      <c r="C824" s="5">
        <f t="shared" si="342"/>
        <v>1078.2334014737896</v>
      </c>
      <c r="D824" s="5">
        <f t="shared" si="343"/>
        <v>-210.86916284443706</v>
      </c>
      <c r="E824" s="2">
        <f t="shared" si="325"/>
        <v>359.41113382459656</v>
      </c>
      <c r="F824" s="2">
        <f t="shared" si="344"/>
        <v>0</v>
      </c>
      <c r="G824" s="3">
        <f t="shared" si="345"/>
        <v>0</v>
      </c>
      <c r="H824" s="3">
        <f t="shared" si="346"/>
        <v>94.400403027936434</v>
      </c>
      <c r="I824" s="3">
        <f t="shared" si="347"/>
        <v>-94.625172114608873</v>
      </c>
      <c r="J824" s="2">
        <f t="shared" si="326"/>
        <v>133.66136049568021</v>
      </c>
      <c r="K824" s="2">
        <f t="shared" si="348"/>
        <v>91.112038511029454</v>
      </c>
      <c r="L824" s="5">
        <f t="shared" si="327"/>
        <v>26.181233665851739</v>
      </c>
      <c r="M824" s="3">
        <f t="shared" si="328"/>
        <v>16.247959903931861</v>
      </c>
      <c r="N824" s="2">
        <v>0</v>
      </c>
      <c r="O824" s="2">
        <f t="shared" si="329"/>
        <v>133.66136049568021</v>
      </c>
      <c r="P824" s="2">
        <f t="shared" si="330"/>
        <v>91.112038511029454</v>
      </c>
      <c r="Q824" s="5">
        <f t="shared" si="331"/>
        <v>1.1264941592163662</v>
      </c>
      <c r="R824" s="5">
        <f t="shared" si="332"/>
        <v>0.15785234376433732</v>
      </c>
      <c r="S824" s="4">
        <f t="shared" si="349"/>
        <v>0.12156063535248077</v>
      </c>
      <c r="T824" s="5">
        <f t="shared" si="333"/>
        <v>9.8748086458714954E-2</v>
      </c>
      <c r="U824" s="4">
        <f t="shared" si="334"/>
        <v>0</v>
      </c>
      <c r="V824" s="4">
        <f t="shared" si="335"/>
        <v>0</v>
      </c>
      <c r="W824" s="5">
        <f t="shared" si="336"/>
        <v>0</v>
      </c>
      <c r="X824" s="5">
        <f t="shared" si="337"/>
        <v>-11.317997634712729</v>
      </c>
      <c r="Y824" s="5">
        <f t="shared" si="338"/>
        <v>11.344945994144652</v>
      </c>
      <c r="Z824" s="5">
        <f>1</f>
        <v>1</v>
      </c>
      <c r="AA824" s="5">
        <f>IF(M824=0,0,const*($T824/omega)*O824*(wy*I824-wz*(H824-V824))/Z824)</f>
        <v>0</v>
      </c>
      <c r="AB824" s="5">
        <f>IF(M824=0,0,const*($T824/omega)*O824*(wz*(G824-U824)-wx*I824)/Z824)</f>
        <v>7.0970863097969978</v>
      </c>
      <c r="AC824" s="5">
        <f>IF(M824=0,0,const*($T824/omega)*O824*(wx*(H824-V824)-wy*(G824-U824))/Z824)</f>
        <v>7.0802281570217884</v>
      </c>
      <c r="AD824" s="5">
        <f t="shared" si="351"/>
        <v>0</v>
      </c>
      <c r="AE824" s="5">
        <f t="shared" si="351"/>
        <v>-4.2209113249157308</v>
      </c>
      <c r="AF824" s="5">
        <f t="shared" si="339"/>
        <v>-13.748825848833558</v>
      </c>
      <c r="AG824">
        <f t="shared" si="350"/>
        <v>0</v>
      </c>
    </row>
    <row r="825" spans="1:33" x14ac:dyDescent="0.2">
      <c r="A825">
        <f t="shared" si="340"/>
        <v>7.9299999999998754</v>
      </c>
      <c r="B825" s="5">
        <f t="shared" si="341"/>
        <v>0</v>
      </c>
      <c r="C825" s="5">
        <f t="shared" si="342"/>
        <v>1079.1771944585028</v>
      </c>
      <c r="D825" s="5">
        <f t="shared" si="343"/>
        <v>-211.81610200687558</v>
      </c>
      <c r="E825" s="2">
        <f t="shared" si="325"/>
        <v>359.7257314861676</v>
      </c>
      <c r="F825" s="2">
        <f t="shared" si="344"/>
        <v>0</v>
      </c>
      <c r="G825" s="3">
        <f t="shared" si="345"/>
        <v>0</v>
      </c>
      <c r="H825" s="3">
        <f t="shared" si="346"/>
        <v>94.358193914687277</v>
      </c>
      <c r="I825" s="3">
        <f t="shared" si="347"/>
        <v>-94.762660373097205</v>
      </c>
      <c r="J825" s="2">
        <f t="shared" si="326"/>
        <v>133.72894436070561</v>
      </c>
      <c r="K825" s="2">
        <f t="shared" si="348"/>
        <v>91.158107948674584</v>
      </c>
      <c r="L825" s="5">
        <f t="shared" si="327"/>
        <v>26.168002207466049</v>
      </c>
      <c r="M825" s="3">
        <f t="shared" si="328"/>
        <v>16.239267879591242</v>
      </c>
      <c r="N825" s="2">
        <v>0</v>
      </c>
      <c r="O825" s="2">
        <f t="shared" si="329"/>
        <v>133.72894436070561</v>
      </c>
      <c r="P825" s="2">
        <f t="shared" si="330"/>
        <v>91.158107948674584</v>
      </c>
      <c r="Q825" s="5">
        <f t="shared" si="331"/>
        <v>1.1270637541159396</v>
      </c>
      <c r="R825" s="5">
        <f t="shared" si="332"/>
        <v>0.15782595474499642</v>
      </c>
      <c r="S825" s="4">
        <f t="shared" si="349"/>
        <v>0.12143420377109419</v>
      </c>
      <c r="T825" s="5">
        <f t="shared" si="333"/>
        <v>9.8706991660550816E-2</v>
      </c>
      <c r="U825" s="4">
        <f t="shared" si="334"/>
        <v>0</v>
      </c>
      <c r="V825" s="4">
        <f t="shared" si="335"/>
        <v>0</v>
      </c>
      <c r="W825" s="5">
        <f t="shared" si="336"/>
        <v>0</v>
      </c>
      <c r="X825" s="5">
        <f t="shared" si="337"/>
        <v>-11.316765051881104</v>
      </c>
      <c r="Y825" s="5">
        <f t="shared" si="338"/>
        <v>11.36527437249538</v>
      </c>
      <c r="Z825" s="5">
        <f>1</f>
        <v>1</v>
      </c>
      <c r="AA825" s="5">
        <f>IF(M825=0,0,const*($T825/omega)*O825*(wy*I825-wz*(H825-V825))/Z825)</f>
        <v>0</v>
      </c>
      <c r="AB825" s="5">
        <f>IF(M825=0,0,const*($T825/omega)*O825*(wz*(G825-U825)-wx*I825)/Z825)</f>
        <v>7.1080326712950814</v>
      </c>
      <c r="AC825" s="5">
        <f>IF(M825=0,0,const*($T825/omega)*O825*(wx*(H825-V825)-wy*(G825-U825))/Z825)</f>
        <v>7.0776941308879051</v>
      </c>
      <c r="AD825" s="5">
        <f t="shared" si="351"/>
        <v>0</v>
      </c>
      <c r="AE825" s="5">
        <f t="shared" si="351"/>
        <v>-4.2087323805860226</v>
      </c>
      <c r="AF825" s="5">
        <f t="shared" si="339"/>
        <v>-13.731031496616716</v>
      </c>
      <c r="AG825">
        <f t="shared" si="350"/>
        <v>0</v>
      </c>
    </row>
    <row r="826" spans="1:33" x14ac:dyDescent="0.2">
      <c r="A826">
        <f t="shared" si="340"/>
        <v>7.9399999999998752</v>
      </c>
      <c r="B826" s="5">
        <f t="shared" si="341"/>
        <v>0</v>
      </c>
      <c r="C826" s="5">
        <f t="shared" si="342"/>
        <v>1080.1205659610307</v>
      </c>
      <c r="D826" s="5">
        <f t="shared" si="343"/>
        <v>-212.76441516218139</v>
      </c>
      <c r="E826" s="2">
        <f t="shared" si="325"/>
        <v>360.04018865367692</v>
      </c>
      <c r="F826" s="2">
        <f t="shared" si="344"/>
        <v>0</v>
      </c>
      <c r="G826" s="3">
        <f t="shared" si="345"/>
        <v>0</v>
      </c>
      <c r="H826" s="3">
        <f t="shared" si="346"/>
        <v>94.316106590881418</v>
      </c>
      <c r="I826" s="3">
        <f t="shared" si="347"/>
        <v>-94.899970688063377</v>
      </c>
      <c r="J826" s="2">
        <f t="shared" si="326"/>
        <v>133.79660832419404</v>
      </c>
      <c r="K826" s="2">
        <f t="shared" si="348"/>
        <v>91.204231986498996</v>
      </c>
      <c r="L826" s="5">
        <f t="shared" si="327"/>
        <v>26.154768458359037</v>
      </c>
      <c r="M826" s="3">
        <f t="shared" si="328"/>
        <v>16.23057128622861</v>
      </c>
      <c r="N826" s="2">
        <v>0</v>
      </c>
      <c r="O826" s="2">
        <f t="shared" si="329"/>
        <v>133.79660832419404</v>
      </c>
      <c r="P826" s="2">
        <f t="shared" si="330"/>
        <v>91.204231986498996</v>
      </c>
      <c r="Q826" s="5">
        <f t="shared" si="331"/>
        <v>1.1276340240830898</v>
      </c>
      <c r="R826" s="5">
        <f t="shared" si="332"/>
        <v>0.15779957009969067</v>
      </c>
      <c r="S826" s="4">
        <f t="shared" si="349"/>
        <v>0.1213077931460067</v>
      </c>
      <c r="T826" s="5">
        <f t="shared" si="333"/>
        <v>9.8665878000713428E-2</v>
      </c>
      <c r="U826" s="4">
        <f t="shared" si="334"/>
        <v>0</v>
      </c>
      <c r="V826" s="4">
        <f t="shared" si="335"/>
        <v>0</v>
      </c>
      <c r="W826" s="5">
        <f t="shared" si="336"/>
        <v>0</v>
      </c>
      <c r="X826" s="5">
        <f t="shared" si="337"/>
        <v>-11.315548832032876</v>
      </c>
      <c r="Y826" s="5">
        <f t="shared" si="338"/>
        <v>11.385597765791259</v>
      </c>
      <c r="Z826" s="5">
        <f>1</f>
        <v>1</v>
      </c>
      <c r="AA826" s="5">
        <f>IF(M826=0,0,const*($T826/omega)*O826*(wy*I826-wz*(H826-V826))/Z826)</f>
        <v>0</v>
      </c>
      <c r="AB826" s="5">
        <f>IF(M826=0,0,const*($T826/omega)*O826*(wz*(G826-U826)-wx*I826)/Z826)</f>
        <v>7.1189674307418018</v>
      </c>
      <c r="AC826" s="5">
        <f>IF(M826=0,0,const*($T826/omega)*O826*(wx*(H826-V826)-wy*(G826-U826))/Z826)</f>
        <v>7.0751685816833518</v>
      </c>
      <c r="AD826" s="5">
        <f t="shared" si="351"/>
        <v>0</v>
      </c>
      <c r="AE826" s="5">
        <f t="shared" si="351"/>
        <v>-4.1965814012910743</v>
      </c>
      <c r="AF826" s="5">
        <f t="shared" si="339"/>
        <v>-13.713233652525389</v>
      </c>
      <c r="AG826">
        <f t="shared" si="350"/>
        <v>0</v>
      </c>
    </row>
    <row r="827" spans="1:33" x14ac:dyDescent="0.2">
      <c r="A827">
        <f t="shared" si="340"/>
        <v>7.9499999999998749</v>
      </c>
      <c r="B827" s="5">
        <f t="shared" si="341"/>
        <v>0</v>
      </c>
      <c r="C827" s="5">
        <f t="shared" si="342"/>
        <v>1081.0635171978693</v>
      </c>
      <c r="D827" s="5">
        <f t="shared" si="343"/>
        <v>-213.71410053074467</v>
      </c>
      <c r="E827" s="2">
        <f t="shared" si="325"/>
        <v>360.35450573262307</v>
      </c>
      <c r="F827" s="2">
        <f t="shared" si="344"/>
        <v>0</v>
      </c>
      <c r="G827" s="3">
        <f t="shared" si="345"/>
        <v>0</v>
      </c>
      <c r="H827" s="3">
        <f t="shared" si="346"/>
        <v>94.274140776868506</v>
      </c>
      <c r="I827" s="3">
        <f t="shared" si="347"/>
        <v>-95.037103024588632</v>
      </c>
      <c r="J827" s="2">
        <f t="shared" si="326"/>
        <v>133.86435138050419</v>
      </c>
      <c r="K827" s="2">
        <f t="shared" si="348"/>
        <v>91.250409938993982</v>
      </c>
      <c r="L827" s="5">
        <f t="shared" si="327"/>
        <v>26.141532642145229</v>
      </c>
      <c r="M827" s="3">
        <f t="shared" si="328"/>
        <v>16.221870162089168</v>
      </c>
      <c r="N827" s="2">
        <v>0</v>
      </c>
      <c r="O827" s="2">
        <f t="shared" si="329"/>
        <v>133.86435138050419</v>
      </c>
      <c r="P827" s="2">
        <f t="shared" si="330"/>
        <v>91.250409938993982</v>
      </c>
      <c r="Q827" s="5">
        <f t="shared" si="331"/>
        <v>1.1282049606423006</v>
      </c>
      <c r="R827" s="5">
        <f t="shared" si="332"/>
        <v>0.1577731901187939</v>
      </c>
      <c r="S827" s="4">
        <f t="shared" si="349"/>
        <v>0.1211814048684189</v>
      </c>
      <c r="T827" s="5">
        <f t="shared" si="333"/>
        <v>9.862474590206298E-2</v>
      </c>
      <c r="U827" s="4">
        <f t="shared" si="334"/>
        <v>0</v>
      </c>
      <c r="V827" s="4">
        <f t="shared" si="335"/>
        <v>0</v>
      </c>
      <c r="W827" s="5">
        <f t="shared" si="336"/>
        <v>0</v>
      </c>
      <c r="X827" s="5">
        <f t="shared" si="337"/>
        <v>-11.314348882423948</v>
      </c>
      <c r="Y827" s="5">
        <f t="shared" si="338"/>
        <v>11.405916103124007</v>
      </c>
      <c r="Z827" s="5">
        <f>1</f>
        <v>1</v>
      </c>
      <c r="AA827" s="5">
        <f>IF(M827=0,0,const*($T827/omega)*O827*(wy*I827-wz*(H827-V827))/Z827)</f>
        <v>0</v>
      </c>
      <c r="AB827" s="5">
        <f>IF(M827=0,0,const*($T827/omega)*O827*(wz*(G827-U827)-wx*I827)/Z827)</f>
        <v>7.1298905511377804</v>
      </c>
      <c r="AC827" s="5">
        <f>IF(M827=0,0,const*($T827/omega)*O827*(wx*(H827-V827)-wy*(G827-U827))/Z827)</f>
        <v>7.0726514608480953</v>
      </c>
      <c r="AD827" s="5">
        <f t="shared" si="351"/>
        <v>0</v>
      </c>
      <c r="AE827" s="5">
        <f t="shared" si="351"/>
        <v>-4.1844583312861676</v>
      </c>
      <c r="AF827" s="5">
        <f t="shared" si="339"/>
        <v>-13.695432436027897</v>
      </c>
      <c r="AG827">
        <f t="shared" si="350"/>
        <v>0</v>
      </c>
    </row>
    <row r="828" spans="1:33" x14ac:dyDescent="0.2">
      <c r="A828">
        <f t="shared" si="340"/>
        <v>7.9599999999998747</v>
      </c>
      <c r="B828" s="5">
        <f t="shared" si="341"/>
        <v>0</v>
      </c>
      <c r="C828" s="5">
        <f t="shared" si="342"/>
        <v>1082.0060493827214</v>
      </c>
      <c r="D828" s="5">
        <f t="shared" si="343"/>
        <v>-214.66515633261236</v>
      </c>
      <c r="E828" s="2">
        <f t="shared" si="325"/>
        <v>360.66868312757379</v>
      </c>
      <c r="F828" s="2">
        <f t="shared" si="344"/>
        <v>0</v>
      </c>
      <c r="G828" s="3">
        <f t="shared" si="345"/>
        <v>0</v>
      </c>
      <c r="H828" s="3">
        <f t="shared" si="346"/>
        <v>94.232296193555641</v>
      </c>
      <c r="I828" s="3">
        <f t="shared" si="347"/>
        <v>-95.174057348948907</v>
      </c>
      <c r="J828" s="2">
        <f t="shared" si="326"/>
        <v>133.93217252837727</v>
      </c>
      <c r="K828" s="2">
        <f t="shared" si="348"/>
        <v>91.29664112363821</v>
      </c>
      <c r="L828" s="5">
        <f t="shared" si="327"/>
        <v>26.128294980741831</v>
      </c>
      <c r="M828" s="3">
        <f t="shared" si="328"/>
        <v>16.213164545388356</v>
      </c>
      <c r="N828" s="2">
        <v>0</v>
      </c>
      <c r="O828" s="2">
        <f t="shared" si="329"/>
        <v>133.93217252837727</v>
      </c>
      <c r="P828" s="2">
        <f t="shared" si="330"/>
        <v>91.29664112363821</v>
      </c>
      <c r="Q828" s="5">
        <f t="shared" si="331"/>
        <v>1.1287765553549913</v>
      </c>
      <c r="R828" s="5">
        <f t="shared" si="332"/>
        <v>0.15774681509041066</v>
      </c>
      <c r="S828" s="4">
        <f t="shared" si="349"/>
        <v>0.12105504031865939</v>
      </c>
      <c r="T828" s="5">
        <f t="shared" si="333"/>
        <v>9.8583595784976899E-2</v>
      </c>
      <c r="U828" s="4">
        <f t="shared" si="334"/>
        <v>0</v>
      </c>
      <c r="V828" s="4">
        <f t="shared" si="335"/>
        <v>0</v>
      </c>
      <c r="W828" s="5">
        <f t="shared" si="336"/>
        <v>0</v>
      </c>
      <c r="X828" s="5">
        <f t="shared" si="337"/>
        <v>-11.313165110798382</v>
      </c>
      <c r="Y828" s="5">
        <f t="shared" si="338"/>
        <v>11.426229313585248</v>
      </c>
      <c r="Z828" s="5">
        <f>1</f>
        <v>1</v>
      </c>
      <c r="AA828" s="5">
        <f>IF(M828=0,0,const*($T828/omega)*O828*(wy*I828-wz*(H828-V828))/Z828)</f>
        <v>0</v>
      </c>
      <c r="AB828" s="5">
        <f>IF(M828=0,0,const*($T828/omega)*O828*(wz*(G828-U828)-wx*I828)/Z828)</f>
        <v>7.1408019955986912</v>
      </c>
      <c r="AC828" s="5">
        <f>IF(M828=0,0,const*($T828/omega)*O828*(wx*(H828-V828)-wy*(G828-U828))/Z828)</f>
        <v>7.0701427201077545</v>
      </c>
      <c r="AD828" s="5">
        <f t="shared" si="351"/>
        <v>0</v>
      </c>
      <c r="AE828" s="5">
        <f t="shared" si="351"/>
        <v>-4.1723631151996905</v>
      </c>
      <c r="AF828" s="5">
        <f t="shared" si="339"/>
        <v>-13.677627966306996</v>
      </c>
      <c r="AG828">
        <f t="shared" si="350"/>
        <v>0</v>
      </c>
    </row>
    <row r="829" spans="1:33" x14ac:dyDescent="0.2">
      <c r="A829">
        <f t="shared" si="340"/>
        <v>7.9699999999998745</v>
      </c>
      <c r="B829" s="5">
        <f t="shared" si="341"/>
        <v>0</v>
      </c>
      <c r="C829" s="5">
        <f t="shared" si="342"/>
        <v>1082.9481637265012</v>
      </c>
      <c r="D829" s="5">
        <f t="shared" si="343"/>
        <v>-215.61758078750017</v>
      </c>
      <c r="E829" s="2">
        <f t="shared" si="325"/>
        <v>360.98272124216709</v>
      </c>
      <c r="F829" s="2">
        <f t="shared" si="344"/>
        <v>0</v>
      </c>
      <c r="G829" s="3">
        <f t="shared" si="345"/>
        <v>0</v>
      </c>
      <c r="H829" s="3">
        <f t="shared" si="346"/>
        <v>94.190572562403645</v>
      </c>
      <c r="I829" s="3">
        <f t="shared" si="347"/>
        <v>-95.310833628611974</v>
      </c>
      <c r="J829" s="2">
        <f t="shared" si="326"/>
        <v>134.00007077093048</v>
      </c>
      <c r="K829" s="2">
        <f t="shared" si="348"/>
        <v>91.342924860893305</v>
      </c>
      <c r="L829" s="5">
        <f t="shared" si="327"/>
        <v>26.115055694375062</v>
      </c>
      <c r="M829" s="3">
        <f t="shared" si="328"/>
        <v>16.204454474310957</v>
      </c>
      <c r="N829" s="2">
        <v>0</v>
      </c>
      <c r="O829" s="2">
        <f t="shared" si="329"/>
        <v>134.00007077093048</v>
      </c>
      <c r="P829" s="2">
        <f t="shared" si="330"/>
        <v>91.342924860893305</v>
      </c>
      <c r="Q829" s="5">
        <f t="shared" si="331"/>
        <v>1.129348799819462</v>
      </c>
      <c r="R829" s="5">
        <f t="shared" si="332"/>
        <v>0.15772044530038495</v>
      </c>
      <c r="S829" s="4">
        <f t="shared" si="349"/>
        <v>0.12092870086622594</v>
      </c>
      <c r="T829" s="5">
        <f t="shared" si="333"/>
        <v>9.8542428067356219E-2</v>
      </c>
      <c r="U829" s="4">
        <f t="shared" si="334"/>
        <v>0</v>
      </c>
      <c r="V829" s="4">
        <f t="shared" si="335"/>
        <v>0</v>
      </c>
      <c r="W829" s="5">
        <f t="shared" si="336"/>
        <v>0</v>
      </c>
      <c r="X829" s="5">
        <f t="shared" si="337"/>
        <v>-11.311997425385805</v>
      </c>
      <c r="Y829" s="5">
        <f t="shared" si="338"/>
        <v>11.446537326269333</v>
      </c>
      <c r="Z829" s="5">
        <f>1</f>
        <v>1</v>
      </c>
      <c r="AA829" s="5">
        <f>IF(M829=0,0,const*($T829/omega)*O829*(wy*I829-wz*(H829-V829))/Z829)</f>
        <v>0</v>
      </c>
      <c r="AB829" s="5">
        <f>IF(M829=0,0,const*($T829/omega)*O829*(wz*(G829-U829)-wx*I829)/Z829)</f>
        <v>7.151701727356528</v>
      </c>
      <c r="AC829" s="5">
        <f>IF(M829=0,0,const*($T829/omega)*O829*(wx*(H829-V829)-wy*(G829-U829))/Z829)</f>
        <v>7.0676423114719595</v>
      </c>
      <c r="AD829" s="5">
        <f t="shared" si="351"/>
        <v>0</v>
      </c>
      <c r="AE829" s="5">
        <f t="shared" si="351"/>
        <v>-4.1602956980292767</v>
      </c>
      <c r="AF829" s="5">
        <f t="shared" si="339"/>
        <v>-13.659820362258706</v>
      </c>
      <c r="AG829">
        <f t="shared" si="350"/>
        <v>0</v>
      </c>
    </row>
    <row r="830" spans="1:33" x14ac:dyDescent="0.2">
      <c r="A830">
        <f t="shared" si="340"/>
        <v>7.9799999999998743</v>
      </c>
      <c r="B830" s="5">
        <f t="shared" si="341"/>
        <v>0</v>
      </c>
      <c r="C830" s="5">
        <f t="shared" si="342"/>
        <v>1083.8898614373404</v>
      </c>
      <c r="D830" s="5">
        <f t="shared" si="343"/>
        <v>-216.5713721148044</v>
      </c>
      <c r="E830" s="2">
        <f t="shared" si="325"/>
        <v>361.29662047911347</v>
      </c>
      <c r="F830" s="2">
        <f t="shared" si="344"/>
        <v>0</v>
      </c>
      <c r="G830" s="3">
        <f t="shared" si="345"/>
        <v>0</v>
      </c>
      <c r="H830" s="3">
        <f t="shared" si="346"/>
        <v>94.148969605423346</v>
      </c>
      <c r="I830" s="3">
        <f t="shared" si="347"/>
        <v>-95.447431832234557</v>
      </c>
      <c r="J830" s="2">
        <f t="shared" si="326"/>
        <v>134.06804511565011</v>
      </c>
      <c r="K830" s="2">
        <f t="shared" si="348"/>
        <v>91.389260474199119</v>
      </c>
      <c r="L830" s="5">
        <f t="shared" si="327"/>
        <v>26.101815001586477</v>
      </c>
      <c r="M830" s="3">
        <f t="shared" si="328"/>
        <v>16.195739987010132</v>
      </c>
      <c r="N830" s="2">
        <v>0</v>
      </c>
      <c r="O830" s="2">
        <f t="shared" si="329"/>
        <v>134.06804511565011</v>
      </c>
      <c r="P830" s="2">
        <f t="shared" si="330"/>
        <v>91.389260474199119</v>
      </c>
      <c r="Q830" s="5">
        <f t="shared" si="331"/>
        <v>1.129921685670835</v>
      </c>
      <c r="R830" s="5">
        <f t="shared" si="332"/>
        <v>0.15769408103230856</v>
      </c>
      <c r="S830" s="4">
        <f t="shared" si="349"/>
        <v>0.12080238786982628</v>
      </c>
      <c r="T830" s="5">
        <f t="shared" si="333"/>
        <v>9.8501243164631686E-2</v>
      </c>
      <c r="U830" s="4">
        <f t="shared" si="334"/>
        <v>0</v>
      </c>
      <c r="V830" s="4">
        <f t="shared" si="335"/>
        <v>0</v>
      </c>
      <c r="W830" s="5">
        <f t="shared" si="336"/>
        <v>0</v>
      </c>
      <c r="X830" s="5">
        <f t="shared" si="337"/>
        <v>-11.310845734898784</v>
      </c>
      <c r="Y830" s="5">
        <f t="shared" si="338"/>
        <v>11.466840070276076</v>
      </c>
      <c r="Z830" s="5">
        <f>1</f>
        <v>1</v>
      </c>
      <c r="AA830" s="5">
        <f>IF(M830=0,0,const*($T830/omega)*O830*(wy*I830-wz*(H830-V830))/Z830)</f>
        <v>0</v>
      </c>
      <c r="AB830" s="5">
        <f>IF(M830=0,0,const*($T830/omega)*O830*(wz*(G830-U830)-wx*I830)/Z830)</f>
        <v>7.1625897097608444</v>
      </c>
      <c r="AC830" s="5">
        <f>IF(M830=0,0,const*($T830/omega)*O830*(wx*(H830-V830)-wy*(G830-U830))/Z830)</f>
        <v>7.0651501872326943</v>
      </c>
      <c r="AD830" s="5">
        <f t="shared" si="351"/>
        <v>0</v>
      </c>
      <c r="AE830" s="5">
        <f t="shared" si="351"/>
        <v>-4.1482560251379397</v>
      </c>
      <c r="AF830" s="5">
        <f t="shared" si="339"/>
        <v>-13.642009742491229</v>
      </c>
      <c r="AG830">
        <f t="shared" si="350"/>
        <v>0</v>
      </c>
    </row>
    <row r="831" spans="1:33" x14ac:dyDescent="0.2">
      <c r="A831">
        <f t="shared" si="340"/>
        <v>7.9899999999998741</v>
      </c>
      <c r="B831" s="5">
        <f t="shared" si="341"/>
        <v>0</v>
      </c>
      <c r="C831" s="5">
        <f t="shared" si="342"/>
        <v>1084.8311437205934</v>
      </c>
      <c r="D831" s="5">
        <f t="shared" si="343"/>
        <v>-217.52652853361388</v>
      </c>
      <c r="E831" s="2">
        <f t="shared" si="325"/>
        <v>361.6103812401978</v>
      </c>
      <c r="F831" s="2">
        <f t="shared" si="344"/>
        <v>0</v>
      </c>
      <c r="G831" s="3">
        <f t="shared" si="345"/>
        <v>0</v>
      </c>
      <c r="H831" s="3">
        <f t="shared" si="346"/>
        <v>94.107487045171965</v>
      </c>
      <c r="I831" s="3">
        <f t="shared" si="347"/>
        <v>-95.583851929659474</v>
      </c>
      <c r="J831" s="2">
        <f t="shared" si="326"/>
        <v>134.13609457438469</v>
      </c>
      <c r="K831" s="2">
        <f t="shared" si="348"/>
        <v>91.435647289969111</v>
      </c>
      <c r="L831" s="5">
        <f t="shared" si="327"/>
        <v>26.08857311923942</v>
      </c>
      <c r="M831" s="3">
        <f t="shared" si="328"/>
        <v>16.187021121606538</v>
      </c>
      <c r="N831" s="2">
        <v>0</v>
      </c>
      <c r="O831" s="2">
        <f t="shared" si="329"/>
        <v>134.13609457438469</v>
      </c>
      <c r="P831" s="2">
        <f t="shared" si="330"/>
        <v>91.435647289969111</v>
      </c>
      <c r="Q831" s="5">
        <f t="shared" si="331"/>
        <v>1.1304952045809975</v>
      </c>
      <c r="R831" s="5">
        <f t="shared" si="332"/>
        <v>0.15766772256752992</v>
      </c>
      <c r="S831" s="4">
        <f t="shared" si="349"/>
        <v>0.12067610267741979</v>
      </c>
      <c r="T831" s="5">
        <f t="shared" si="333"/>
        <v>9.8460041489770125E-2</v>
      </c>
      <c r="U831" s="4">
        <f t="shared" si="334"/>
        <v>0</v>
      </c>
      <c r="V831" s="4">
        <f t="shared" si="335"/>
        <v>0</v>
      </c>
      <c r="W831" s="5">
        <f t="shared" si="336"/>
        <v>0</v>
      </c>
      <c r="X831" s="5">
        <f t="shared" si="337"/>
        <v>-11.309709948530269</v>
      </c>
      <c r="Y831" s="5">
        <f t="shared" si="338"/>
        <v>11.48713747471354</v>
      </c>
      <c r="Z831" s="5">
        <f>1</f>
        <v>1</v>
      </c>
      <c r="AA831" s="5">
        <f>IF(M831=0,0,const*($T831/omega)*O831*(wy*I831-wz*(H831-V831))/Z831)</f>
        <v>0</v>
      </c>
      <c r="AB831" s="5">
        <f>IF(M831=0,0,const*($T831/omega)*O831*(wz*(G831-U831)-wx*I831)/Z831)</f>
        <v>7.1734659062799926</v>
      </c>
      <c r="AC831" s="5">
        <f>IF(M831=0,0,const*($T831/omega)*O831*(wx*(H831-V831)-wy*(G831-U831))/Z831)</f>
        <v>7.0626662999626637</v>
      </c>
      <c r="AD831" s="5">
        <f t="shared" si="351"/>
        <v>0</v>
      </c>
      <c r="AE831" s="5">
        <f t="shared" si="351"/>
        <v>-4.1362440422502766</v>
      </c>
      <c r="AF831" s="5">
        <f t="shared" si="339"/>
        <v>-13.624196225323796</v>
      </c>
      <c r="AG831">
        <f t="shared" si="350"/>
        <v>0</v>
      </c>
    </row>
    <row r="832" spans="1:33" x14ac:dyDescent="0.2">
      <c r="A832">
        <f t="shared" si="340"/>
        <v>7.9999999999998739</v>
      </c>
      <c r="B832" s="5">
        <f t="shared" si="341"/>
        <v>0</v>
      </c>
      <c r="C832" s="5">
        <f t="shared" si="342"/>
        <v>1085.7720117788431</v>
      </c>
      <c r="D832" s="5">
        <f t="shared" si="343"/>
        <v>-218.48304826272175</v>
      </c>
      <c r="E832" s="2">
        <f t="shared" si="325"/>
        <v>361.92400392628105</v>
      </c>
      <c r="F832" s="2">
        <f t="shared" si="344"/>
        <v>0</v>
      </c>
      <c r="G832" s="3">
        <f t="shared" si="345"/>
        <v>0</v>
      </c>
      <c r="H832" s="3">
        <f t="shared" si="346"/>
        <v>94.066124604749461</v>
      </c>
      <c r="I832" s="3">
        <f t="shared" si="347"/>
        <v>-95.720093891912711</v>
      </c>
      <c r="J832" s="2">
        <f t="shared" si="326"/>
        <v>134.20421816333806</v>
      </c>
      <c r="K832" s="2">
        <f t="shared" si="348"/>
        <v>91.482084637585587</v>
      </c>
      <c r="L832" s="5">
        <f t="shared" si="327"/>
        <v>26.075330262525394</v>
      </c>
      <c r="M832" s="3">
        <f t="shared" si="328"/>
        <v>16.178297916187379</v>
      </c>
      <c r="N832" s="2">
        <v>0</v>
      </c>
      <c r="O832" s="2">
        <f t="shared" si="329"/>
        <v>134.20421816333806</v>
      </c>
      <c r="P832" s="2">
        <f t="shared" si="330"/>
        <v>91.482084637585587</v>
      </c>
      <c r="Q832" s="5">
        <f t="shared" si="331"/>
        <v>1.1310693482585437</v>
      </c>
      <c r="R832" s="5">
        <f t="shared" si="332"/>
        <v>0.15764137018516272</v>
      </c>
      <c r="S832" s="4">
        <f t="shared" si="349"/>
        <v>0.12054984662625881</v>
      </c>
      <c r="T832" s="5">
        <f t="shared" si="333"/>
        <v>9.841882345328086E-2</v>
      </c>
      <c r="U832" s="4">
        <f t="shared" si="334"/>
        <v>0</v>
      </c>
      <c r="V832" s="4">
        <f t="shared" si="335"/>
        <v>0</v>
      </c>
      <c r="W832" s="5">
        <f t="shared" si="336"/>
        <v>0</v>
      </c>
      <c r="X832" s="5">
        <f t="shared" si="337"/>
        <v>-11.308589975950991</v>
      </c>
      <c r="Y832" s="5">
        <f t="shared" si="338"/>
        <v>11.507429468700762</v>
      </c>
      <c r="Z832" s="5">
        <f>1</f>
        <v>1</v>
      </c>
      <c r="AA832" s="5">
        <f>IF(M832=0,0,const*($T832/omega)*O832*(wy*I832-wz*(H832-V832))/Z832)</f>
        <v>0</v>
      </c>
      <c r="AB832" s="5">
        <f>IF(M832=0,0,const*($T832/omega)*O832*(wz*(G832-U832)-wx*I832)/Z832)</f>
        <v>7.1843302805023317</v>
      </c>
      <c r="AC832" s="5">
        <f>IF(M832=0,0,const*($T832/omega)*O832*(wx*(H832-V832)-wy*(G832-U832))/Z832)</f>
        <v>7.0601906025136563</v>
      </c>
      <c r="AD832" s="5">
        <f t="shared" si="351"/>
        <v>0</v>
      </c>
      <c r="AE832" s="5">
        <f t="shared" si="351"/>
        <v>-4.124259695448659</v>
      </c>
      <c r="AF832" s="5">
        <f t="shared" si="339"/>
        <v>-13.606379928785582</v>
      </c>
      <c r="AG832">
        <f t="shared" si="350"/>
        <v>0</v>
      </c>
    </row>
    <row r="833" spans="1:33" x14ac:dyDescent="0.2">
      <c r="A833">
        <f t="shared" si="340"/>
        <v>8.0099999999998737</v>
      </c>
      <c r="B833" s="5">
        <f t="shared" si="341"/>
        <v>0</v>
      </c>
      <c r="C833" s="5">
        <f t="shared" si="342"/>
        <v>1086.7124668119059</v>
      </c>
      <c r="D833" s="5">
        <f t="shared" si="343"/>
        <v>-219.44092952063733</v>
      </c>
      <c r="E833" s="2">
        <f t="shared" si="325"/>
        <v>362.23748893730198</v>
      </c>
      <c r="F833" s="2">
        <f t="shared" si="344"/>
        <v>0</v>
      </c>
      <c r="G833" s="3">
        <f t="shared" si="345"/>
        <v>0</v>
      </c>
      <c r="H833" s="3">
        <f t="shared" si="346"/>
        <v>94.024882007794972</v>
      </c>
      <c r="I833" s="3">
        <f t="shared" si="347"/>
        <v>-95.856157691200565</v>
      </c>
      <c r="J833" s="2">
        <f t="shared" si="326"/>
        <v>134.27241490306218</v>
      </c>
      <c r="K833" s="2">
        <f t="shared" si="348"/>
        <v>91.528571849394808</v>
      </c>
      <c r="L833" s="5">
        <f t="shared" si="327"/>
        <v>26.062086644970602</v>
      </c>
      <c r="M833" s="3">
        <f t="shared" si="328"/>
        <v>16.169570408805548</v>
      </c>
      <c r="N833" s="2">
        <v>0</v>
      </c>
      <c r="O833" s="2">
        <f t="shared" si="329"/>
        <v>134.27241490306218</v>
      </c>
      <c r="P833" s="2">
        <f t="shared" si="330"/>
        <v>91.528571849394808</v>
      </c>
      <c r="Q833" s="5">
        <f t="shared" si="331"/>
        <v>1.1316441084487134</v>
      </c>
      <c r="R833" s="5">
        <f t="shared" si="332"/>
        <v>0.15761502416209455</v>
      </c>
      <c r="S833" s="4">
        <f t="shared" si="349"/>
        <v>0.1204236210429309</v>
      </c>
      <c r="T833" s="5">
        <f t="shared" si="333"/>
        <v>9.8377589463222226E-2</v>
      </c>
      <c r="U833" s="4">
        <f t="shared" si="334"/>
        <v>0</v>
      </c>
      <c r="V833" s="4">
        <f t="shared" si="335"/>
        <v>0</v>
      </c>
      <c r="W833" s="5">
        <f t="shared" si="336"/>
        <v>0</v>
      </c>
      <c r="X833" s="5">
        <f t="shared" si="337"/>
        <v>-11.307485727306894</v>
      </c>
      <c r="Y833" s="5">
        <f t="shared" si="338"/>
        <v>11.527715981370454</v>
      </c>
      <c r="Z833" s="5">
        <f>1</f>
        <v>1</v>
      </c>
      <c r="AA833" s="5">
        <f>IF(M833=0,0,const*($T833/omega)*O833*(wy*I833-wz*(H833-V833))/Z833)</f>
        <v>0</v>
      </c>
      <c r="AB833" s="5">
        <f>IF(M833=0,0,const*($T833/omega)*O833*(wz*(G833-U833)-wx*I833)/Z833)</f>
        <v>7.1951827961374315</v>
      </c>
      <c r="AC833" s="5">
        <f>IF(M833=0,0,const*($T833/omega)*O833*(wx*(H833-V833)-wy*(G833-U833))/Z833)</f>
        <v>7.0577230480149149</v>
      </c>
      <c r="AD833" s="5">
        <f t="shared" si="351"/>
        <v>0</v>
      </c>
      <c r="AE833" s="5">
        <f t="shared" si="351"/>
        <v>-4.1123029311694621</v>
      </c>
      <c r="AF833" s="5">
        <f t="shared" si="339"/>
        <v>-13.58856097061463</v>
      </c>
      <c r="AG833">
        <f t="shared" si="350"/>
        <v>0</v>
      </c>
    </row>
    <row r="834" spans="1:33" x14ac:dyDescent="0.2">
      <c r="A834">
        <f t="shared" si="340"/>
        <v>8.0199999999998735</v>
      </c>
      <c r="B834" s="5">
        <f t="shared" si="341"/>
        <v>0</v>
      </c>
      <c r="C834" s="5">
        <f t="shared" si="342"/>
        <v>1087.6525100168371</v>
      </c>
      <c r="D834" s="5">
        <f t="shared" si="343"/>
        <v>-220.40017052559787</v>
      </c>
      <c r="E834" s="2">
        <f t="shared" si="325"/>
        <v>362.55083667227905</v>
      </c>
      <c r="F834" s="2">
        <f t="shared" si="344"/>
        <v>0</v>
      </c>
      <c r="G834" s="3">
        <f t="shared" si="345"/>
        <v>0</v>
      </c>
      <c r="H834" s="3">
        <f t="shared" si="346"/>
        <v>93.98375897848328</v>
      </c>
      <c r="I834" s="3">
        <f t="shared" si="347"/>
        <v>-95.992043300906715</v>
      </c>
      <c r="J834" s="2">
        <f t="shared" si="326"/>
        <v>134.34068381845012</v>
      </c>
      <c r="K834" s="2">
        <f t="shared" si="348"/>
        <v>91.575108260702194</v>
      </c>
      <c r="L834" s="5">
        <f t="shared" si="327"/>
        <v>26.048842478442442</v>
      </c>
      <c r="M834" s="3">
        <f t="shared" si="328"/>
        <v>16.160838637478701</v>
      </c>
      <c r="N834" s="2">
        <v>0</v>
      </c>
      <c r="O834" s="2">
        <f t="shared" si="329"/>
        <v>134.34068381845012</v>
      </c>
      <c r="P834" s="2">
        <f t="shared" si="330"/>
        <v>91.575108260702194</v>
      </c>
      <c r="Q834" s="5">
        <f t="shared" si="331"/>
        <v>1.1322194769333327</v>
      </c>
      <c r="R834" s="5">
        <f t="shared" si="332"/>
        <v>0.15758868477299584</v>
      </c>
      <c r="S834" s="4">
        <f t="shared" si="349"/>
        <v>0.1202974272434007</v>
      </c>
      <c r="T834" s="5">
        <f t="shared" si="333"/>
        <v>9.8336339925208072E-2</v>
      </c>
      <c r="U834" s="4">
        <f t="shared" si="334"/>
        <v>0</v>
      </c>
      <c r="V834" s="4">
        <f t="shared" si="335"/>
        <v>0</v>
      </c>
      <c r="W834" s="5">
        <f t="shared" si="336"/>
        <v>0</v>
      </c>
      <c r="X834" s="5">
        <f t="shared" si="337"/>
        <v>-11.30639711321658</v>
      </c>
      <c r="Y834" s="5">
        <f t="shared" si="338"/>
        <v>11.547996941871709</v>
      </c>
      <c r="Z834" s="5">
        <f>1</f>
        <v>1</v>
      </c>
      <c r="AA834" s="5">
        <f>IF(M834=0,0,const*($T834/omega)*O834*(wy*I834-wz*(H834-V834))/Z834)</f>
        <v>0</v>
      </c>
      <c r="AB834" s="5">
        <f>IF(M834=0,0,const*($T834/omega)*O834*(wz*(G834-U834)-wx*I834)/Z834)</f>
        <v>7.2060234170172599</v>
      </c>
      <c r="AC834" s="5">
        <f>IF(M834=0,0,const*($T834/omega)*O834*(wx*(H834-V834)-wy*(G834-U834))/Z834)</f>
        <v>7.0552635898715117</v>
      </c>
      <c r="AD834" s="5">
        <f t="shared" si="351"/>
        <v>0</v>
      </c>
      <c r="AE834" s="5">
        <f t="shared" si="351"/>
        <v>-4.1003736961993198</v>
      </c>
      <c r="AF834" s="5">
        <f t="shared" si="339"/>
        <v>-13.570739468256779</v>
      </c>
      <c r="AG834">
        <f t="shared" si="350"/>
        <v>0</v>
      </c>
    </row>
    <row r="835" spans="1:33" x14ac:dyDescent="0.2">
      <c r="A835">
        <f t="shared" si="340"/>
        <v>8.0299999999998732</v>
      </c>
      <c r="B835" s="5">
        <f t="shared" si="341"/>
        <v>0</v>
      </c>
      <c r="C835" s="5">
        <f t="shared" si="342"/>
        <v>1088.5921425879374</v>
      </c>
      <c r="D835" s="5">
        <f t="shared" si="343"/>
        <v>-221.36076949558037</v>
      </c>
      <c r="E835" s="2">
        <f t="shared" si="325"/>
        <v>362.86404752931247</v>
      </c>
      <c r="F835" s="2">
        <f t="shared" si="344"/>
        <v>0</v>
      </c>
      <c r="G835" s="3">
        <f t="shared" si="345"/>
        <v>0</v>
      </c>
      <c r="H835" s="3">
        <f t="shared" si="346"/>
        <v>93.942755241521283</v>
      </c>
      <c r="I835" s="3">
        <f t="shared" si="347"/>
        <v>-96.127750695589285</v>
      </c>
      <c r="J835" s="2">
        <f t="shared" si="326"/>
        <v>134.40902393872869</v>
      </c>
      <c r="K835" s="2">
        <f t="shared" si="348"/>
        <v>91.621693209767344</v>
      </c>
      <c r="L835" s="5">
        <f t="shared" si="327"/>
        <v>26.035597973156058</v>
      </c>
      <c r="M835" s="3">
        <f t="shared" si="328"/>
        <v>16.152102640188392</v>
      </c>
      <c r="N835" s="2">
        <v>0</v>
      </c>
      <c r="O835" s="2">
        <f t="shared" si="329"/>
        <v>134.40902393872869</v>
      </c>
      <c r="P835" s="2">
        <f t="shared" si="330"/>
        <v>91.621693209767344</v>
      </c>
      <c r="Q835" s="5">
        <f t="shared" si="331"/>
        <v>1.1327954455307527</v>
      </c>
      <c r="R835" s="5">
        <f t="shared" si="332"/>
        <v>0.15756235229032869</v>
      </c>
      <c r="S835" s="4">
        <f t="shared" si="349"/>
        <v>0.12017126653305245</v>
      </c>
      <c r="T835" s="5">
        <f t="shared" si="333"/>
        <v>9.829507524241439E-2</v>
      </c>
      <c r="U835" s="4">
        <f t="shared" si="334"/>
        <v>0</v>
      </c>
      <c r="V835" s="4">
        <f t="shared" si="335"/>
        <v>0</v>
      </c>
      <c r="W835" s="5">
        <f t="shared" si="336"/>
        <v>0</v>
      </c>
      <c r="X835" s="5">
        <f t="shared" si="337"/>
        <v>-11.305324044768769</v>
      </c>
      <c r="Y835" s="5">
        <f t="shared" si="338"/>
        <v>11.568272279372682</v>
      </c>
      <c r="Z835" s="5">
        <f>1</f>
        <v>1</v>
      </c>
      <c r="AA835" s="5">
        <f>IF(M835=0,0,const*($T835/omega)*O835*(wy*I835-wz*(H835-V835))/Z835)</f>
        <v>0</v>
      </c>
      <c r="AB835" s="5">
        <f>IF(M835=0,0,const*($T835/omega)*O835*(wz*(G835-U835)-wx*I835)/Z835)</f>
        <v>7.2168521070973544</v>
      </c>
      <c r="AC835" s="5">
        <f>IF(M835=0,0,const*($T835/omega)*O835*(wx*(H835-V835)-wy*(G835-U835))/Z835)</f>
        <v>7.0528121817627412</v>
      </c>
      <c r="AD835" s="5">
        <f t="shared" si="351"/>
        <v>0</v>
      </c>
      <c r="AE835" s="5">
        <f t="shared" si="351"/>
        <v>-4.0884719376714145</v>
      </c>
      <c r="AF835" s="5">
        <f t="shared" si="339"/>
        <v>-13.552915538864575</v>
      </c>
      <c r="AG835">
        <f t="shared" si="350"/>
        <v>0</v>
      </c>
    </row>
    <row r="836" spans="1:33" x14ac:dyDescent="0.2">
      <c r="A836">
        <f t="shared" si="340"/>
        <v>8.039999999999873</v>
      </c>
      <c r="B836" s="5">
        <f t="shared" si="341"/>
        <v>0</v>
      </c>
      <c r="C836" s="5">
        <f t="shared" si="342"/>
        <v>1089.5313657167558</v>
      </c>
      <c r="D836" s="5">
        <f t="shared" si="343"/>
        <v>-222.3227246483132</v>
      </c>
      <c r="E836" s="2">
        <f t="shared" si="325"/>
        <v>363.17712190558524</v>
      </c>
      <c r="F836" s="2">
        <f t="shared" si="344"/>
        <v>0</v>
      </c>
      <c r="G836" s="3">
        <f t="shared" si="345"/>
        <v>0</v>
      </c>
      <c r="H836" s="3">
        <f t="shared" si="346"/>
        <v>93.901870522144563</v>
      </c>
      <c r="I836" s="3">
        <f t="shared" si="347"/>
        <v>-96.263279850977924</v>
      </c>
      <c r="J836" s="2">
        <f t="shared" si="326"/>
        <v>134.47743429745117</v>
      </c>
      <c r="K836" s="2">
        <f t="shared" si="348"/>
        <v>91.668326037799019</v>
      </c>
      <c r="L836" s="5">
        <f t="shared" si="327"/>
        <v>26.022353337680947</v>
      </c>
      <c r="M836" s="3">
        <f t="shared" si="328"/>
        <v>16.143362454879195</v>
      </c>
      <c r="N836" s="2">
        <v>0</v>
      </c>
      <c r="O836" s="2">
        <f t="shared" si="329"/>
        <v>134.47743429745117</v>
      </c>
      <c r="P836" s="2">
        <f t="shared" si="330"/>
        <v>91.668326037799019</v>
      </c>
      <c r="Q836" s="5">
        <f t="shared" si="331"/>
        <v>1.1333720060957879</v>
      </c>
      <c r="R836" s="5">
        <f t="shared" si="332"/>
        <v>0.1575360269843557</v>
      </c>
      <c r="S836" s="4">
        <f t="shared" si="349"/>
        <v>0.12004514020673258</v>
      </c>
      <c r="T836" s="5">
        <f t="shared" si="333"/>
        <v>9.8253795815586117E-2</v>
      </c>
      <c r="U836" s="4">
        <f t="shared" si="334"/>
        <v>0</v>
      </c>
      <c r="V836" s="4">
        <f t="shared" si="335"/>
        <v>0</v>
      </c>
      <c r="W836" s="5">
        <f t="shared" si="336"/>
        <v>0</v>
      </c>
      <c r="X836" s="5">
        <f t="shared" si="337"/>
        <v>-11.304266433519741</v>
      </c>
      <c r="Y836" s="5">
        <f t="shared" si="338"/>
        <v>11.588541923063223</v>
      </c>
      <c r="Z836" s="5">
        <f>1</f>
        <v>1</v>
      </c>
      <c r="AA836" s="5">
        <f>IF(M836=0,0,const*($T836/omega)*O836*(wy*I836-wz*(H836-V836))/Z836)</f>
        <v>0</v>
      </c>
      <c r="AB836" s="5">
        <f>IF(M836=0,0,const*($T836/omega)*O836*(wz*(G836-U836)-wx*I836)/Z836)</f>
        <v>7.2276688304579704</v>
      </c>
      <c r="AC836" s="5">
        <f>IF(M836=0,0,const*($T836/omega)*O836*(wx*(H836-V836)-wy*(G836-U836))/Z836)</f>
        <v>7.0503687776404975</v>
      </c>
      <c r="AD836" s="5">
        <f t="shared" si="351"/>
        <v>0</v>
      </c>
      <c r="AE836" s="5">
        <f t="shared" si="351"/>
        <v>-4.0765976030617708</v>
      </c>
      <c r="AF836" s="5">
        <f t="shared" si="339"/>
        <v>-13.535089299296278</v>
      </c>
      <c r="AG836">
        <f t="shared" si="350"/>
        <v>0</v>
      </c>
    </row>
    <row r="837" spans="1:33" x14ac:dyDescent="0.2">
      <c r="A837">
        <f t="shared" si="340"/>
        <v>8.0499999999998728</v>
      </c>
      <c r="B837" s="5">
        <f t="shared" si="341"/>
        <v>0</v>
      </c>
      <c r="C837" s="5">
        <f t="shared" si="342"/>
        <v>1090.4701805920972</v>
      </c>
      <c r="D837" s="5">
        <f t="shared" si="343"/>
        <v>-223.28603420128795</v>
      </c>
      <c r="E837" s="2">
        <f t="shared" si="325"/>
        <v>363.49006019736572</v>
      </c>
      <c r="F837" s="2">
        <f t="shared" si="344"/>
        <v>0</v>
      </c>
      <c r="G837" s="3">
        <f t="shared" si="345"/>
        <v>0</v>
      </c>
      <c r="H837" s="3">
        <f t="shared" si="346"/>
        <v>93.86110454611395</v>
      </c>
      <c r="I837" s="3">
        <f t="shared" si="347"/>
        <v>-96.398630743970884</v>
      </c>
      <c r="J837" s="2">
        <f t="shared" si="326"/>
        <v>134.5459139324899</v>
      </c>
      <c r="K837" s="2">
        <f t="shared" si="348"/>
        <v>91.715006088950162</v>
      </c>
      <c r="L837" s="5">
        <f t="shared" si="327"/>
        <v>26.009108778947581</v>
      </c>
      <c r="M837" s="3">
        <f t="shared" si="328"/>
        <v>16.134618119457834</v>
      </c>
      <c r="N837" s="2">
        <v>0</v>
      </c>
      <c r="O837" s="2">
        <f t="shared" si="329"/>
        <v>134.5459139324899</v>
      </c>
      <c r="P837" s="2">
        <f t="shared" si="330"/>
        <v>91.715006088950162</v>
      </c>
      <c r="Q837" s="5">
        <f t="shared" si="331"/>
        <v>1.1339491505196535</v>
      </c>
      <c r="R837" s="5">
        <f t="shared" si="332"/>
        <v>0.15750970912314893</v>
      </c>
      <c r="S837" s="4">
        <f t="shared" si="349"/>
        <v>0.11991904954879255</v>
      </c>
      <c r="T837" s="5">
        <f t="shared" si="333"/>
        <v>9.8212502043043756E-2</v>
      </c>
      <c r="U837" s="4">
        <f t="shared" si="334"/>
        <v>0</v>
      </c>
      <c r="V837" s="4">
        <f t="shared" si="335"/>
        <v>0</v>
      </c>
      <c r="W837" s="5">
        <f t="shared" si="336"/>
        <v>0</v>
      </c>
      <c r="X837" s="5">
        <f t="shared" si="337"/>
        <v>-11.303224191490822</v>
      </c>
      <c r="Y837" s="5">
        <f t="shared" si="338"/>
        <v>11.608805802157535</v>
      </c>
      <c r="Z837" s="5">
        <f>1</f>
        <v>1</v>
      </c>
      <c r="AA837" s="5">
        <f>IF(M837=0,0,const*($T837/omega)*O837*(wy*I837-wz*(H837-V837))/Z837)</f>
        <v>0</v>
      </c>
      <c r="AB837" s="5">
        <f>IF(M837=0,0,const*($T837/omega)*O837*(wz*(G837-U837)-wx*I837)/Z837)</f>
        <v>7.2384735513052396</v>
      </c>
      <c r="AC837" s="5">
        <f>IF(M837=0,0,const*($T837/omega)*O837*(wx*(H837-V837)-wy*(G837-U837))/Z837)</f>
        <v>7.0479333317276867</v>
      </c>
      <c r="AD837" s="5">
        <f t="shared" si="351"/>
        <v>0</v>
      </c>
      <c r="AE837" s="5">
        <f t="shared" si="351"/>
        <v>-4.064750640185582</v>
      </c>
      <c r="AF837" s="5">
        <f t="shared" si="339"/>
        <v>-13.517260866114778</v>
      </c>
      <c r="AG837">
        <f t="shared" si="350"/>
        <v>0</v>
      </c>
    </row>
    <row r="838" spans="1:33" x14ac:dyDescent="0.2">
      <c r="A838">
        <f t="shared" si="340"/>
        <v>8.0599999999998726</v>
      </c>
      <c r="B838" s="5">
        <f t="shared" si="341"/>
        <v>0</v>
      </c>
      <c r="C838" s="5">
        <f t="shared" si="342"/>
        <v>1091.4085884000262</v>
      </c>
      <c r="D838" s="5">
        <f t="shared" si="343"/>
        <v>-224.25069637177097</v>
      </c>
      <c r="E838" s="2">
        <f t="shared" si="325"/>
        <v>363.80286280000877</v>
      </c>
      <c r="F838" s="2">
        <f t="shared" si="344"/>
        <v>0</v>
      </c>
      <c r="G838" s="3">
        <f t="shared" si="345"/>
        <v>0</v>
      </c>
      <c r="H838" s="3">
        <f t="shared" si="346"/>
        <v>93.820457039712096</v>
      </c>
      <c r="I838" s="3">
        <f t="shared" si="347"/>
        <v>-96.533803352632034</v>
      </c>
      <c r="J838" s="2">
        <f t="shared" si="326"/>
        <v>134.61446188602878</v>
      </c>
      <c r="K838" s="2">
        <f t="shared" si="348"/>
        <v>91.761732710312728</v>
      </c>
      <c r="L838" s="5">
        <f t="shared" si="327"/>
        <v>25.995864502254069</v>
      </c>
      <c r="M838" s="3">
        <f t="shared" si="328"/>
        <v>16.125869671792316</v>
      </c>
      <c r="N838" s="2">
        <v>0</v>
      </c>
      <c r="O838" s="2">
        <f t="shared" si="329"/>
        <v>134.61446188602878</v>
      </c>
      <c r="P838" s="2">
        <f t="shared" si="330"/>
        <v>91.761732710312728</v>
      </c>
      <c r="Q838" s="5">
        <f t="shared" si="331"/>
        <v>1.1345268707299032</v>
      </c>
      <c r="R838" s="5">
        <f t="shared" si="332"/>
        <v>0.15748339897259886</v>
      </c>
      <c r="S838" s="4">
        <f t="shared" si="349"/>
        <v>0.11979299583313173</v>
      </c>
      <c r="T838" s="5">
        <f t="shared" si="333"/>
        <v>9.8171194320690311E-2</v>
      </c>
      <c r="U838" s="4">
        <f t="shared" si="334"/>
        <v>0</v>
      </c>
      <c r="V838" s="4">
        <f t="shared" si="335"/>
        <v>0</v>
      </c>
      <c r="W838" s="5">
        <f t="shared" si="336"/>
        <v>0</v>
      </c>
      <c r="X838" s="5">
        <f t="shared" si="337"/>
        <v>-11.302197231165852</v>
      </c>
      <c r="Y838" s="5">
        <f t="shared" si="338"/>
        <v>11.629063845896766</v>
      </c>
      <c r="Z838" s="5">
        <f>1</f>
        <v>1</v>
      </c>
      <c r="AA838" s="5">
        <f>IF(M838=0,0,const*($T838/omega)*O838*(wy*I838-wz*(H838-V838))/Z838)</f>
        <v>0</v>
      </c>
      <c r="AB838" s="5">
        <f>IF(M838=0,0,const*($T838/omega)*O838*(wz*(G838-U838)-wx*I838)/Z838)</f>
        <v>7.2492662339722784</v>
      </c>
      <c r="AC838" s="5">
        <f>IF(M838=0,0,const*($T838/omega)*O838*(wx*(H838-V838)-wy*(G838-U838))/Z838)</f>
        <v>7.045505798516615</v>
      </c>
      <c r="AD838" s="5">
        <f t="shared" si="351"/>
        <v>0</v>
      </c>
      <c r="AE838" s="5">
        <f t="shared" si="351"/>
        <v>-4.0529309971935739</v>
      </c>
      <c r="AF838" s="5">
        <f t="shared" si="339"/>
        <v>-13.499430355586618</v>
      </c>
      <c r="AG838">
        <f t="shared" si="350"/>
        <v>0</v>
      </c>
    </row>
    <row r="839" spans="1:33" x14ac:dyDescent="0.2">
      <c r="A839">
        <f t="shared" si="340"/>
        <v>8.0699999999998724</v>
      </c>
      <c r="B839" s="5">
        <f t="shared" si="341"/>
        <v>0</v>
      </c>
      <c r="C839" s="5">
        <f t="shared" si="342"/>
        <v>1092.3465903238734</v>
      </c>
      <c r="D839" s="5">
        <f t="shared" si="343"/>
        <v>-225.21670937681506</v>
      </c>
      <c r="E839" s="2">
        <f t="shared" si="325"/>
        <v>364.1155301079578</v>
      </c>
      <c r="F839" s="2">
        <f t="shared" si="344"/>
        <v>0</v>
      </c>
      <c r="G839" s="3">
        <f t="shared" si="345"/>
        <v>0</v>
      </c>
      <c r="H839" s="3">
        <f t="shared" si="346"/>
        <v>93.779927729740166</v>
      </c>
      <c r="I839" s="3">
        <f t="shared" si="347"/>
        <v>-96.668797656187905</v>
      </c>
      <c r="J839" s="2">
        <f t="shared" si="326"/>
        <v>134.68307720455562</v>
      </c>
      <c r="K839" s="2">
        <f t="shared" si="348"/>
        <v>91.808505251912479</v>
      </c>
      <c r="L839" s="5">
        <f t="shared" si="327"/>
        <v>25.982620711272862</v>
      </c>
      <c r="M839" s="3">
        <f t="shared" si="328"/>
        <v>16.117117149711099</v>
      </c>
      <c r="N839" s="2">
        <v>0</v>
      </c>
      <c r="O839" s="2">
        <f t="shared" si="329"/>
        <v>134.68307720455562</v>
      </c>
      <c r="P839" s="2">
        <f t="shared" si="330"/>
        <v>91.808505251912479</v>
      </c>
      <c r="Q839" s="5">
        <f t="shared" si="331"/>
        <v>1.1351051586903622</v>
      </c>
      <c r="R839" s="5">
        <f t="shared" si="332"/>
        <v>0.15745709679642347</v>
      </c>
      <c r="S839" s="4">
        <f t="shared" si="349"/>
        <v>0.11966698032324095</v>
      </c>
      <c r="T839" s="5">
        <f t="shared" si="333"/>
        <v>9.8129873042018118E-2</v>
      </c>
      <c r="U839" s="4">
        <f t="shared" si="334"/>
        <v>0</v>
      </c>
      <c r="V839" s="4">
        <f t="shared" si="335"/>
        <v>0</v>
      </c>
      <c r="W839" s="5">
        <f t="shared" si="336"/>
        <v>0</v>
      </c>
      <c r="X839" s="5">
        <f t="shared" si="337"/>
        <v>-11.301185465488686</v>
      </c>
      <c r="Y839" s="5">
        <f t="shared" si="338"/>
        <v>11.649315983551615</v>
      </c>
      <c r="Z839" s="5">
        <f>1</f>
        <v>1</v>
      </c>
      <c r="AA839" s="5">
        <f>IF(M839=0,0,const*($T839/omega)*O839*(wy*I839-wz*(H839-V839))/Z839)</f>
        <v>0</v>
      </c>
      <c r="AB839" s="5">
        <f>IF(M839=0,0,const*($T839/omega)*O839*(wz*(G839-U839)-wx*I839)/Z839)</f>
        <v>7.2600468429203122</v>
      </c>
      <c r="AC839" s="5">
        <f>IF(M839=0,0,const*($T839/omega)*O839*(wx*(H839-V839)-wy*(G839-U839))/Z839)</f>
        <v>7.0430861327674039</v>
      </c>
      <c r="AD839" s="5">
        <f t="shared" si="351"/>
        <v>0</v>
      </c>
      <c r="AE839" s="5">
        <f t="shared" si="351"/>
        <v>-4.0411386225683739</v>
      </c>
      <c r="AF839" s="5">
        <f t="shared" si="339"/>
        <v>-13.48159788368098</v>
      </c>
      <c r="AG839">
        <f t="shared" si="350"/>
        <v>0</v>
      </c>
    </row>
    <row r="840" spans="1:33" x14ac:dyDescent="0.2">
      <c r="A840">
        <f t="shared" si="340"/>
        <v>8.0799999999998722</v>
      </c>
      <c r="B840" s="5">
        <f t="shared" si="341"/>
        <v>0</v>
      </c>
      <c r="C840" s="5">
        <f t="shared" si="342"/>
        <v>1093.2841875442398</v>
      </c>
      <c r="D840" s="5">
        <f t="shared" si="343"/>
        <v>-226.18407143327113</v>
      </c>
      <c r="E840" s="2">
        <f t="shared" si="325"/>
        <v>364.42806251474661</v>
      </c>
      <c r="F840" s="2">
        <f t="shared" si="344"/>
        <v>0</v>
      </c>
      <c r="G840" s="3">
        <f t="shared" si="345"/>
        <v>0</v>
      </c>
      <c r="H840" s="3">
        <f t="shared" si="346"/>
        <v>93.739516343514481</v>
      </c>
      <c r="I840" s="3">
        <f t="shared" si="347"/>
        <v>-96.803613635024718</v>
      </c>
      <c r="J840" s="2">
        <f t="shared" si="326"/>
        <v>134.75175893885455</v>
      </c>
      <c r="K840" s="2">
        <f t="shared" si="348"/>
        <v>91.855323066703846</v>
      </c>
      <c r="L840" s="5">
        <f t="shared" si="327"/>
        <v>25.969377608057478</v>
      </c>
      <c r="M840" s="3">
        <f t="shared" si="328"/>
        <v>16.108360591002246</v>
      </c>
      <c r="N840" s="2">
        <v>0</v>
      </c>
      <c r="O840" s="2">
        <f t="shared" si="329"/>
        <v>134.75175893885455</v>
      </c>
      <c r="P840" s="2">
        <f t="shared" si="330"/>
        <v>91.855323066703846</v>
      </c>
      <c r="Q840" s="5">
        <f t="shared" si="331"/>
        <v>1.1356840064010669</v>
      </c>
      <c r="R840" s="5">
        <f t="shared" si="332"/>
        <v>0.15743080285617736</v>
      </c>
      <c r="S840" s="4">
        <f t="shared" si="349"/>
        <v>0.11954100427224579</v>
      </c>
      <c r="T840" s="5">
        <f t="shared" si="333"/>
        <v>9.8088538598115879E-2</v>
      </c>
      <c r="U840" s="4">
        <f t="shared" si="334"/>
        <v>0</v>
      </c>
      <c r="V840" s="4">
        <f t="shared" si="335"/>
        <v>0</v>
      </c>
      <c r="W840" s="5">
        <f t="shared" si="336"/>
        <v>0</v>
      </c>
      <c r="X840" s="5">
        <f t="shared" si="337"/>
        <v>-11.300188807860687</v>
      </c>
      <c r="Y840" s="5">
        <f t="shared" si="338"/>
        <v>11.669562144424907</v>
      </c>
      <c r="Z840" s="5">
        <f>1</f>
        <v>1</v>
      </c>
      <c r="AA840" s="5">
        <f>IF(M840=0,0,const*($T840/omega)*O840*(wy*I840-wz*(H840-V840))/Z840)</f>
        <v>0</v>
      </c>
      <c r="AB840" s="5">
        <f>IF(M840=0,0,const*($T840/omega)*O840*(wz*(G840-U840)-wx*I840)/Z840)</f>
        <v>7.2708153427397715</v>
      </c>
      <c r="AC840" s="5">
        <f>IF(M840=0,0,const*($T840/omega)*O840*(wx*(H840-V840)-wy*(G840-U840))/Z840)</f>
        <v>7.0406742895064092</v>
      </c>
      <c r="AD840" s="5">
        <f t="shared" si="351"/>
        <v>0</v>
      </c>
      <c r="AE840" s="5">
        <f t="shared" si="351"/>
        <v>-4.0293734651209157</v>
      </c>
      <c r="AF840" s="5">
        <f t="shared" si="339"/>
        <v>-13.463763566068685</v>
      </c>
      <c r="AG840">
        <f t="shared" si="350"/>
        <v>0</v>
      </c>
    </row>
    <row r="841" spans="1:33" x14ac:dyDescent="0.2">
      <c r="A841">
        <f t="shared" si="340"/>
        <v>8.089999999999872</v>
      </c>
      <c r="B841" s="5">
        <f t="shared" si="341"/>
        <v>0</v>
      </c>
      <c r="C841" s="5">
        <f t="shared" si="342"/>
        <v>1094.2213812390016</v>
      </c>
      <c r="D841" s="5">
        <f t="shared" si="343"/>
        <v>-227.15278075779966</v>
      </c>
      <c r="E841" s="2">
        <f t="shared" si="325"/>
        <v>364.74046041300056</v>
      </c>
      <c r="F841" s="2">
        <f t="shared" si="344"/>
        <v>0</v>
      </c>
      <c r="G841" s="3">
        <f t="shared" si="345"/>
        <v>0</v>
      </c>
      <c r="H841" s="3">
        <f t="shared" si="346"/>
        <v>93.699222608863266</v>
      </c>
      <c r="I841" s="3">
        <f t="shared" si="347"/>
        <v>-96.938251270685399</v>
      </c>
      <c r="J841" s="2">
        <f t="shared" si="326"/>
        <v>134.82050614399819</v>
      </c>
      <c r="K841" s="2">
        <f t="shared" si="348"/>
        <v>91.902185510564536</v>
      </c>
      <c r="L841" s="5">
        <f t="shared" si="327"/>
        <v>25.956135393049276</v>
      </c>
      <c r="M841" s="3">
        <f t="shared" si="328"/>
        <v>16.099600033412568</v>
      </c>
      <c r="N841" s="2">
        <v>0</v>
      </c>
      <c r="O841" s="2">
        <f t="shared" si="329"/>
        <v>134.82050614399819</v>
      </c>
      <c r="P841" s="2">
        <f t="shared" si="330"/>
        <v>91.902185510564536</v>
      </c>
      <c r="Q841" s="5">
        <f t="shared" si="331"/>
        <v>1.136263405898196</v>
      </c>
      <c r="R841" s="5">
        <f t="shared" si="332"/>
        <v>0.15740451741126069</v>
      </c>
      <c r="S841" s="4">
        <f t="shared" si="349"/>
        <v>0.11941506892295015</v>
      </c>
      <c r="T841" s="5">
        <f t="shared" si="333"/>
        <v>9.804719137767566E-2</v>
      </c>
      <c r="U841" s="4">
        <f t="shared" si="334"/>
        <v>0</v>
      </c>
      <c r="V841" s="4">
        <f t="shared" si="335"/>
        <v>0</v>
      </c>
      <c r="W841" s="5">
        <f t="shared" si="336"/>
        <v>0</v>
      </c>
      <c r="X841" s="5">
        <f t="shared" si="337"/>
        <v>-11.299207172138239</v>
      </c>
      <c r="Y841" s="5">
        <f t="shared" si="338"/>
        <v>11.689802257854138</v>
      </c>
      <c r="Z841" s="5">
        <f>1</f>
        <v>1</v>
      </c>
      <c r="AA841" s="5">
        <f>IF(M841=0,0,const*($T841/omega)*O841*(wy*I841-wz*(H841-V841))/Z841)</f>
        <v>0</v>
      </c>
      <c r="AB841" s="5">
        <f>IF(M841=0,0,const*($T841/omega)*O841*(wz*(G841-U841)-wx*I841)/Z841)</f>
        <v>7.2815716981513665</v>
      </c>
      <c r="AC841" s="5">
        <f>IF(M841=0,0,const*($T841/omega)*O841*(wx*(H841-V841)-wy*(G841-U841))/Z841)</f>
        <v>7.038270224024636</v>
      </c>
      <c r="AD841" s="5">
        <f t="shared" si="351"/>
        <v>0</v>
      </c>
      <c r="AE841" s="5">
        <f t="shared" si="351"/>
        <v>-4.0176354739868723</v>
      </c>
      <c r="AF841" s="5">
        <f t="shared" si="339"/>
        <v>-13.445927518121223</v>
      </c>
      <c r="AG841">
        <f t="shared" si="350"/>
        <v>0</v>
      </c>
    </row>
    <row r="842" spans="1:33" x14ac:dyDescent="0.2">
      <c r="A842">
        <f t="shared" si="340"/>
        <v>8.0999999999998717</v>
      </c>
      <c r="B842" s="5">
        <f t="shared" si="341"/>
        <v>0</v>
      </c>
      <c r="C842" s="5">
        <f t="shared" si="342"/>
        <v>1095.1581725833166</v>
      </c>
      <c r="D842" s="5">
        <f t="shared" si="343"/>
        <v>-228.12283556688243</v>
      </c>
      <c r="E842" s="2">
        <f t="shared" si="325"/>
        <v>365.05272419443889</v>
      </c>
      <c r="F842" s="2">
        <f t="shared" si="344"/>
        <v>0</v>
      </c>
      <c r="G842" s="3">
        <f t="shared" si="345"/>
        <v>0</v>
      </c>
      <c r="H842" s="3">
        <f t="shared" si="346"/>
        <v>93.659046254123396</v>
      </c>
      <c r="I842" s="3">
        <f t="shared" si="347"/>
        <v>-97.072710545866613</v>
      </c>
      <c r="J842" s="2">
        <f t="shared" si="326"/>
        <v>134.88931787933998</v>
      </c>
      <c r="K842" s="2">
        <f t="shared" si="348"/>
        <v>91.949091942290366</v>
      </c>
      <c r="L842" s="5">
        <f t="shared" si="327"/>
        <v>25.942894265084202</v>
      </c>
      <c r="M842" s="3">
        <f t="shared" si="328"/>
        <v>16.09083551464683</v>
      </c>
      <c r="N842" s="2">
        <v>0</v>
      </c>
      <c r="O842" s="2">
        <f t="shared" si="329"/>
        <v>134.88931787933998</v>
      </c>
      <c r="P842" s="2">
        <f t="shared" si="330"/>
        <v>91.949091942290366</v>
      </c>
      <c r="Q842" s="5">
        <f t="shared" si="331"/>
        <v>1.1368433492540064</v>
      </c>
      <c r="R842" s="5">
        <f t="shared" si="332"/>
        <v>0.15737824071892845</v>
      </c>
      <c r="S842" s="4">
        <f t="shared" si="349"/>
        <v>0.11928917550788021</v>
      </c>
      <c r="T842" s="5">
        <f t="shared" si="333"/>
        <v>9.8005831766999923E-2</v>
      </c>
      <c r="U842" s="4">
        <f t="shared" si="334"/>
        <v>0</v>
      </c>
      <c r="V842" s="4">
        <f t="shared" si="335"/>
        <v>0</v>
      </c>
      <c r="W842" s="5">
        <f t="shared" si="336"/>
        <v>0</v>
      </c>
      <c r="X842" s="5">
        <f t="shared" si="337"/>
        <v>-11.298240472630274</v>
      </c>
      <c r="Y842" s="5">
        <f t="shared" si="338"/>
        <v>11.710036253214021</v>
      </c>
      <c r="Z842" s="5">
        <f>1</f>
        <v>1</v>
      </c>
      <c r="AA842" s="5">
        <f>IF(M842=0,0,const*($T842/omega)*O842*(wy*I842-wz*(H842-V842))/Z842)</f>
        <v>0</v>
      </c>
      <c r="AB842" s="5">
        <f>IF(M842=0,0,const*($T842/omega)*O842*(wz*(G842-U842)-wx*I842)/Z842)</f>
        <v>7.2923158740071701</v>
      </c>
      <c r="AC842" s="5">
        <f>IF(M842=0,0,const*($T842/omega)*O842*(wx*(H842-V842)-wy*(G842-U842))/Z842)</f>
        <v>7.0358738918761734</v>
      </c>
      <c r="AD842" s="5">
        <f t="shared" si="351"/>
        <v>0</v>
      </c>
      <c r="AE842" s="5">
        <f t="shared" si="351"/>
        <v>-4.0059245986231042</v>
      </c>
      <c r="AF842" s="5">
        <f t="shared" si="339"/>
        <v>-13.428089854909807</v>
      </c>
      <c r="AG842">
        <f t="shared" si="350"/>
        <v>0</v>
      </c>
    </row>
    <row r="843" spans="1:33" x14ac:dyDescent="0.2">
      <c r="A843">
        <f t="shared" si="340"/>
        <v>8.1099999999998715</v>
      </c>
      <c r="B843" s="5">
        <f t="shared" si="341"/>
        <v>0</v>
      </c>
      <c r="C843" s="5">
        <f t="shared" si="342"/>
        <v>1096.094562749628</v>
      </c>
      <c r="D843" s="5">
        <f t="shared" si="343"/>
        <v>-229.09423407683386</v>
      </c>
      <c r="E843" s="2">
        <f t="shared" si="325"/>
        <v>365.36485424987603</v>
      </c>
      <c r="F843" s="2">
        <f t="shared" si="344"/>
        <v>0</v>
      </c>
      <c r="G843" s="3">
        <f t="shared" si="345"/>
        <v>0</v>
      </c>
      <c r="H843" s="3">
        <f t="shared" si="346"/>
        <v>93.618987008137168</v>
      </c>
      <c r="I843" s="3">
        <f t="shared" si="347"/>
        <v>-97.206991444415706</v>
      </c>
      <c r="J843" s="2">
        <f t="shared" si="326"/>
        <v>134.95819320850612</v>
      </c>
      <c r="K843" s="2">
        <f t="shared" si="348"/>
        <v>91.996041723589713</v>
      </c>
      <c r="L843" s="5">
        <f t="shared" si="327"/>
        <v>25.92965442139965</v>
      </c>
      <c r="M843" s="3">
        <f t="shared" si="328"/>
        <v>16.082067072366911</v>
      </c>
      <c r="N843" s="2">
        <v>0</v>
      </c>
      <c r="O843" s="2">
        <f t="shared" si="329"/>
        <v>134.95819320850612</v>
      </c>
      <c r="P843" s="2">
        <f t="shared" si="330"/>
        <v>91.996041723589713</v>
      </c>
      <c r="Q843" s="5">
        <f t="shared" si="331"/>
        <v>1.1374238285767668</v>
      </c>
      <c r="R843" s="5">
        <f t="shared" si="332"/>
        <v>0.15735197303429965</v>
      </c>
      <c r="S843" s="4">
        <f t="shared" si="349"/>
        <v>0.11916332524932835</v>
      </c>
      <c r="T843" s="5">
        <f t="shared" si="333"/>
        <v>9.7964460150008717E-2</v>
      </c>
      <c r="U843" s="4">
        <f t="shared" si="334"/>
        <v>0</v>
      </c>
      <c r="V843" s="4">
        <f t="shared" si="335"/>
        <v>0</v>
      </c>
      <c r="W843" s="5">
        <f t="shared" si="336"/>
        <v>0</v>
      </c>
      <c r="X843" s="5">
        <f t="shared" si="337"/>
        <v>-11.297288624095797</v>
      </c>
      <c r="Y843" s="5">
        <f t="shared" si="338"/>
        <v>11.730264059918998</v>
      </c>
      <c r="Z843" s="5">
        <f>1</f>
        <v>1</v>
      </c>
      <c r="AA843" s="5">
        <f>IF(M843=0,0,const*($T843/omega)*O843*(wy*I843-wz*(H843-V843))/Z843)</f>
        <v>0</v>
      </c>
      <c r="AB843" s="5">
        <f>IF(M843=0,0,const*($T843/omega)*O843*(wz*(G843-U843)-wx*I843)/Z843)</f>
        <v>7.3030478352916637</v>
      </c>
      <c r="AC843" s="5">
        <f>IF(M843=0,0,const*($T843/omega)*O843*(wx*(H843-V843)-wy*(G843-U843))/Z843)</f>
        <v>7.0334852488766284</v>
      </c>
      <c r="AD843" s="5">
        <f t="shared" si="351"/>
        <v>0</v>
      </c>
      <c r="AE843" s="5">
        <f t="shared" si="351"/>
        <v>-3.9942407888041336</v>
      </c>
      <c r="AF843" s="5">
        <f t="shared" si="339"/>
        <v>-13.410250691204375</v>
      </c>
      <c r="AG843">
        <f t="shared" si="350"/>
        <v>0</v>
      </c>
    </row>
    <row r="844" spans="1:33" x14ac:dyDescent="0.2">
      <c r="A844">
        <f t="shared" si="340"/>
        <v>8.1199999999998713</v>
      </c>
      <c r="B844" s="5">
        <f t="shared" si="341"/>
        <v>0</v>
      </c>
      <c r="C844" s="5">
        <f t="shared" si="342"/>
        <v>1097.03055290767</v>
      </c>
      <c r="D844" s="5">
        <f t="shared" si="343"/>
        <v>-230.06697450381256</v>
      </c>
      <c r="E844" s="2">
        <f t="shared" si="325"/>
        <v>365.67685096922332</v>
      </c>
      <c r="F844" s="2">
        <f t="shared" si="344"/>
        <v>0</v>
      </c>
      <c r="G844" s="3">
        <f t="shared" si="345"/>
        <v>0</v>
      </c>
      <c r="H844" s="3">
        <f t="shared" si="346"/>
        <v>93.579044600249134</v>
      </c>
      <c r="I844" s="3">
        <f t="shared" si="347"/>
        <v>-97.34109395132775</v>
      </c>
      <c r="J844" s="2">
        <f t="shared" si="326"/>
        <v>135.02713119938758</v>
      </c>
      <c r="K844" s="2">
        <f t="shared" si="348"/>
        <v>92.043034219078095</v>
      </c>
      <c r="L844" s="5">
        <f t="shared" si="327"/>
        <v>25.916416057641317</v>
      </c>
      <c r="M844" s="3">
        <f t="shared" si="328"/>
        <v>16.073294744190999</v>
      </c>
      <c r="N844" s="2">
        <v>0</v>
      </c>
      <c r="O844" s="2">
        <f t="shared" si="329"/>
        <v>135.02713119938758</v>
      </c>
      <c r="P844" s="2">
        <f t="shared" si="330"/>
        <v>92.043034219078095</v>
      </c>
      <c r="Q844" s="5">
        <f t="shared" si="331"/>
        <v>1.1380048360106885</v>
      </c>
      <c r="R844" s="5">
        <f t="shared" si="332"/>
        <v>0.15732571461036654</v>
      </c>
      <c r="S844" s="4">
        <f t="shared" si="349"/>
        <v>0.11903751935939745</v>
      </c>
      <c r="T844" s="5">
        <f t="shared" si="333"/>
        <v>9.792307690824692E-2</v>
      </c>
      <c r="U844" s="4">
        <f t="shared" si="334"/>
        <v>0</v>
      </c>
      <c r="V844" s="4">
        <f t="shared" si="335"/>
        <v>0</v>
      </c>
      <c r="W844" s="5">
        <f t="shared" si="336"/>
        <v>0</v>
      </c>
      <c r="X844" s="5">
        <f t="shared" si="337"/>
        <v>-11.296351541741419</v>
      </c>
      <c r="Y844" s="5">
        <f t="shared" si="338"/>
        <v>11.750485607425727</v>
      </c>
      <c r="Z844" s="5">
        <f>1</f>
        <v>1</v>
      </c>
      <c r="AA844" s="5">
        <f>IF(M844=0,0,const*($T844/omega)*O844*(wy*I844-wz*(H844-V844))/Z844)</f>
        <v>0</v>
      </c>
      <c r="AB844" s="5">
        <f>IF(M844=0,0,const*($T844/omega)*O844*(wz*(G844-U844)-wx*I844)/Z844)</f>
        <v>7.3137675471227741</v>
      </c>
      <c r="AC844" s="5">
        <f>IF(M844=0,0,const*($T844/omega)*O844*(wx*(H844-V844)-wy*(G844-U844))/Z844)</f>
        <v>7.0311042511015591</v>
      </c>
      <c r="AD844" s="5">
        <f t="shared" si="351"/>
        <v>0</v>
      </c>
      <c r="AE844" s="5">
        <f t="shared" si="351"/>
        <v>-3.9825839946186452</v>
      </c>
      <c r="AF844" s="5">
        <f t="shared" si="339"/>
        <v>-13.392410141472713</v>
      </c>
      <c r="AG844">
        <f t="shared" si="350"/>
        <v>0</v>
      </c>
    </row>
    <row r="845" spans="1:33" x14ac:dyDescent="0.2">
      <c r="A845">
        <f t="shared" si="340"/>
        <v>8.1299999999998711</v>
      </c>
      <c r="B845" s="5">
        <f t="shared" si="341"/>
        <v>0</v>
      </c>
      <c r="C845" s="5">
        <f t="shared" si="342"/>
        <v>1097.9661442244728</v>
      </c>
      <c r="D845" s="5">
        <f t="shared" si="343"/>
        <v>-231.04105506383291</v>
      </c>
      <c r="E845" s="2">
        <f t="shared" si="325"/>
        <v>365.98871474149092</v>
      </c>
      <c r="F845" s="2">
        <f t="shared" si="344"/>
        <v>0</v>
      </c>
      <c r="G845" s="3">
        <f t="shared" si="345"/>
        <v>0</v>
      </c>
      <c r="H845" s="3">
        <f t="shared" si="346"/>
        <v>93.539218760302944</v>
      </c>
      <c r="I845" s="3">
        <f t="shared" si="347"/>
        <v>-97.47501805274247</v>
      </c>
      <c r="J845" s="2">
        <f t="shared" si="326"/>
        <v>135.09613092413224</v>
      </c>
      <c r="K845" s="2">
        <f t="shared" si="348"/>
        <v>92.090068796272817</v>
      </c>
      <c r="L845" s="5">
        <f t="shared" si="327"/>
        <v>25.903179367870013</v>
      </c>
      <c r="M845" s="3">
        <f t="shared" si="328"/>
        <v>16.064518567692801</v>
      </c>
      <c r="N845" s="2">
        <v>0</v>
      </c>
      <c r="O845" s="2">
        <f t="shared" si="329"/>
        <v>135.09613092413224</v>
      </c>
      <c r="P845" s="2">
        <f t="shared" si="330"/>
        <v>92.090068796272817</v>
      </c>
      <c r="Q845" s="5">
        <f t="shared" si="331"/>
        <v>1.13858636373586</v>
      </c>
      <c r="R845" s="5">
        <f t="shared" si="332"/>
        <v>0.15729946569800374</v>
      </c>
      <c r="S845" s="4">
        <f t="shared" si="349"/>
        <v>0.11891175904004513</v>
      </c>
      <c r="T845" s="5">
        <f t="shared" si="333"/>
        <v>9.7881682420891444E-2</v>
      </c>
      <c r="U845" s="4">
        <f t="shared" si="334"/>
        <v>0</v>
      </c>
      <c r="V845" s="4">
        <f t="shared" si="335"/>
        <v>0</v>
      </c>
      <c r="W845" s="5">
        <f t="shared" si="336"/>
        <v>0</v>
      </c>
      <c r="X845" s="5">
        <f t="shared" si="337"/>
        <v>-11.295429141218923</v>
      </c>
      <c r="Y845" s="5">
        <f t="shared" si="338"/>
        <v>11.770700825235565</v>
      </c>
      <c r="Z845" s="5">
        <f>1</f>
        <v>1</v>
      </c>
      <c r="AA845" s="5">
        <f>IF(M845=0,0,const*($T845/omega)*O845*(wy*I845-wz*(H845-V845))/Z845)</f>
        <v>0</v>
      </c>
      <c r="AB845" s="5">
        <f>IF(M845=0,0,const*($T845/omega)*O845*(wz*(G845-U845)-wx*I845)/Z845)</f>
        <v>7.3244749747529116</v>
      </c>
      <c r="AC845" s="5">
        <f>IF(M845=0,0,const*($T845/omega)*O845*(wx*(H845-V845)-wy*(G845-U845))/Z845)</f>
        <v>7.0287308548849348</v>
      </c>
      <c r="AD845" s="5">
        <f t="shared" si="351"/>
        <v>0</v>
      </c>
      <c r="AE845" s="5">
        <f t="shared" si="351"/>
        <v>-3.9709541664660115</v>
      </c>
      <c r="AF845" s="5">
        <f t="shared" si="339"/>
        <v>-13.374568319879501</v>
      </c>
      <c r="AG845">
        <f t="shared" si="350"/>
        <v>0</v>
      </c>
    </row>
    <row r="846" spans="1:33" x14ac:dyDescent="0.2">
      <c r="A846">
        <f t="shared" si="340"/>
        <v>8.1399999999998709</v>
      </c>
      <c r="B846" s="5">
        <f t="shared" si="341"/>
        <v>0</v>
      </c>
      <c r="C846" s="5">
        <f t="shared" si="342"/>
        <v>1098.9013378643674</v>
      </c>
      <c r="D846" s="5">
        <f t="shared" si="343"/>
        <v>-232.01647397277634</v>
      </c>
      <c r="E846" s="2">
        <f t="shared" si="325"/>
        <v>366.30044595478915</v>
      </c>
      <c r="F846" s="2">
        <f t="shared" si="344"/>
        <v>0</v>
      </c>
      <c r="G846" s="3">
        <f t="shared" si="345"/>
        <v>0</v>
      </c>
      <c r="H846" s="3">
        <f t="shared" si="346"/>
        <v>93.499509218638281</v>
      </c>
      <c r="I846" s="3">
        <f t="shared" si="347"/>
        <v>-97.608763735941267</v>
      </c>
      <c r="J846" s="2">
        <f t="shared" si="326"/>
        <v>135.16519145913651</v>
      </c>
      <c r="K846" s="2">
        <f t="shared" si="348"/>
        <v>92.137144825587256</v>
      </c>
      <c r="L846" s="5">
        <f t="shared" si="327"/>
        <v>25.889944544568653</v>
      </c>
      <c r="M846" s="3">
        <f t="shared" si="328"/>
        <v>16.055738580400735</v>
      </c>
      <c r="N846" s="2">
        <v>0</v>
      </c>
      <c r="O846" s="2">
        <f t="shared" si="329"/>
        <v>135.16519145913651</v>
      </c>
      <c r="P846" s="2">
        <f t="shared" si="330"/>
        <v>92.137144825587256</v>
      </c>
      <c r="Q846" s="5">
        <f t="shared" si="331"/>
        <v>1.1391684039681769</v>
      </c>
      <c r="R846" s="5">
        <f t="shared" si="332"/>
        <v>0.15727322654597772</v>
      </c>
      <c r="S846" s="4">
        <f t="shared" si="349"/>
        <v>0.11878604548312831</v>
      </c>
      <c r="T846" s="5">
        <f t="shared" si="333"/>
        <v>9.7840277064758535E-2</v>
      </c>
      <c r="U846" s="4">
        <f t="shared" si="334"/>
        <v>0</v>
      </c>
      <c r="V846" s="4">
        <f t="shared" si="335"/>
        <v>0</v>
      </c>
      <c r="W846" s="5">
        <f t="shared" si="336"/>
        <v>0</v>
      </c>
      <c r="X846" s="5">
        <f t="shared" si="337"/>
        <v>-11.294521338622816</v>
      </c>
      <c r="Y846" s="5">
        <f t="shared" si="338"/>
        <v>11.790909642897027</v>
      </c>
      <c r="Z846" s="5">
        <f>1</f>
        <v>1</v>
      </c>
      <c r="AA846" s="5">
        <f>IF(M846=0,0,const*($T846/omega)*O846*(wy*I846-wz*(H846-V846))/Z846)</f>
        <v>0</v>
      </c>
      <c r="AB846" s="5">
        <f>IF(M846=0,0,const*($T846/omega)*O846*(wz*(G846-U846)-wx*I846)/Z846)</f>
        <v>7.3351700835699702</v>
      </c>
      <c r="AC846" s="5">
        <f>IF(M846=0,0,const*($T846/omega)*O846*(wx*(H846-V846)-wy*(G846-U846))/Z846)</f>
        <v>7.0263650168175804</v>
      </c>
      <c r="AD846" s="5">
        <f t="shared" si="351"/>
        <v>0</v>
      </c>
      <c r="AE846" s="5">
        <f t="shared" si="351"/>
        <v>-3.9593512550528462</v>
      </c>
      <c r="AF846" s="5">
        <f t="shared" si="339"/>
        <v>-13.356725340285394</v>
      </c>
      <c r="AG846">
        <f t="shared" si="350"/>
        <v>0</v>
      </c>
    </row>
    <row r="847" spans="1:33" x14ac:dyDescent="0.2">
      <c r="A847">
        <f t="shared" si="340"/>
        <v>8.1499999999998707</v>
      </c>
      <c r="B847" s="5">
        <f t="shared" si="341"/>
        <v>0</v>
      </c>
      <c r="C847" s="5">
        <f t="shared" si="342"/>
        <v>1099.836134988991</v>
      </c>
      <c r="D847" s="5">
        <f t="shared" si="343"/>
        <v>-232.99322944640275</v>
      </c>
      <c r="E847" s="2">
        <f t="shared" si="325"/>
        <v>366.61204499633033</v>
      </c>
      <c r="F847" s="2">
        <f t="shared" si="344"/>
        <v>0</v>
      </c>
      <c r="G847" s="3">
        <f t="shared" si="345"/>
        <v>0</v>
      </c>
      <c r="H847" s="3">
        <f t="shared" si="346"/>
        <v>93.459915706087756</v>
      </c>
      <c r="I847" s="3">
        <f t="shared" si="347"/>
        <v>-97.742330989344126</v>
      </c>
      <c r="J847" s="2">
        <f t="shared" si="326"/>
        <v>135.23431188503727</v>
      </c>
      <c r="K847" s="2">
        <f t="shared" si="348"/>
        <v>92.184261680325335</v>
      </c>
      <c r="L847" s="5">
        <f t="shared" si="327"/>
        <v>25.876711778649089</v>
      </c>
      <c r="M847" s="3">
        <f t="shared" si="328"/>
        <v>16.046954819797143</v>
      </c>
      <c r="N847" s="2">
        <v>0</v>
      </c>
      <c r="O847" s="2">
        <f t="shared" si="329"/>
        <v>135.23431188503727</v>
      </c>
      <c r="P847" s="2">
        <f t="shared" si="330"/>
        <v>92.184261680325335</v>
      </c>
      <c r="Q847" s="5">
        <f t="shared" si="331"/>
        <v>1.1397509489592721</v>
      </c>
      <c r="R847" s="5">
        <f t="shared" si="332"/>
        <v>0.15724699740095605</v>
      </c>
      <c r="S847" s="4">
        <f t="shared" si="349"/>
        <v>0.11866037987044785</v>
      </c>
      <c r="T847" s="5">
        <f t="shared" si="333"/>
        <v>9.779886121431125E-2</v>
      </c>
      <c r="U847" s="4">
        <f t="shared" si="334"/>
        <v>0</v>
      </c>
      <c r="V847" s="4">
        <f t="shared" si="335"/>
        <v>0</v>
      </c>
      <c r="W847" s="5">
        <f t="shared" si="336"/>
        <v>0</v>
      </c>
      <c r="X847" s="5">
        <f t="shared" si="337"/>
        <v>-11.293628050487905</v>
      </c>
      <c r="Y847" s="5">
        <f t="shared" si="338"/>
        <v>11.811111990008213</v>
      </c>
      <c r="Z847" s="5">
        <f>1</f>
        <v>1</v>
      </c>
      <c r="AA847" s="5">
        <f>IF(M847=0,0,const*($T847/omega)*O847*(wy*I847-wz*(H847-V847))/Z847)</f>
        <v>0</v>
      </c>
      <c r="AB847" s="5">
        <f>IF(M847=0,0,const*($T847/omega)*O847*(wz*(G847-U847)-wx*I847)/Z847)</f>
        <v>7.3458528390983311</v>
      </c>
      <c r="AC847" s="5">
        <f>IF(M847=0,0,const*($T847/omega)*O847*(wx*(H847-V847)-wy*(G847-U847))/Z847)</f>
        <v>7.024006693745644</v>
      </c>
      <c r="AD847" s="5">
        <f t="shared" si="351"/>
        <v>0</v>
      </c>
      <c r="AE847" s="5">
        <f t="shared" si="351"/>
        <v>-3.9477752113895743</v>
      </c>
      <c r="AF847" s="5">
        <f t="shared" si="339"/>
        <v>-13.338881316246145</v>
      </c>
      <c r="AG847">
        <f t="shared" si="350"/>
        <v>0</v>
      </c>
    </row>
    <row r="848" spans="1:33" x14ac:dyDescent="0.2">
      <c r="A848">
        <f t="shared" si="340"/>
        <v>8.1599999999998705</v>
      </c>
      <c r="B848" s="5">
        <f t="shared" si="341"/>
        <v>0</v>
      </c>
      <c r="C848" s="5">
        <f t="shared" si="342"/>
        <v>1100.7705367572912</v>
      </c>
      <c r="D848" s="5">
        <f t="shared" si="343"/>
        <v>-233.97131970036202</v>
      </c>
      <c r="E848" s="2">
        <f t="shared" si="325"/>
        <v>366.92351225243038</v>
      </c>
      <c r="F848" s="2">
        <f t="shared" si="344"/>
        <v>0</v>
      </c>
      <c r="G848" s="3">
        <f t="shared" si="345"/>
        <v>0</v>
      </c>
      <c r="H848" s="3">
        <f t="shared" si="346"/>
        <v>93.42043795397386</v>
      </c>
      <c r="I848" s="3">
        <f t="shared" si="347"/>
        <v>-97.87571980250658</v>
      </c>
      <c r="J848" s="2">
        <f t="shared" si="326"/>
        <v>135.30349128670355</v>
      </c>
      <c r="K848" s="2">
        <f t="shared" si="348"/>
        <v>92.231418736675892</v>
      </c>
      <c r="L848" s="5">
        <f t="shared" si="327"/>
        <v>25.863481259459132</v>
      </c>
      <c r="M848" s="3">
        <f t="shared" si="328"/>
        <v>16.038167323317534</v>
      </c>
      <c r="N848" s="2">
        <v>0</v>
      </c>
      <c r="O848" s="2">
        <f t="shared" si="329"/>
        <v>135.30349128670355</v>
      </c>
      <c r="P848" s="2">
        <f t="shared" si="330"/>
        <v>92.231418736675892</v>
      </c>
      <c r="Q848" s="5">
        <f t="shared" si="331"/>
        <v>1.1403339909964483</v>
      </c>
      <c r="R848" s="5">
        <f t="shared" si="332"/>
        <v>0.15722077850751665</v>
      </c>
      <c r="S848" s="4">
        <f t="shared" si="349"/>
        <v>0.11853476337379348</v>
      </c>
      <c r="T848" s="5">
        <f t="shared" si="333"/>
        <v>9.7757435241666718E-2</v>
      </c>
      <c r="U848" s="4">
        <f t="shared" si="334"/>
        <v>0</v>
      </c>
      <c r="V848" s="4">
        <f t="shared" si="335"/>
        <v>0</v>
      </c>
      <c r="W848" s="5">
        <f t="shared" si="336"/>
        <v>0</v>
      </c>
      <c r="X848" s="5">
        <f t="shared" si="337"/>
        <v>-11.292749193786864</v>
      </c>
      <c r="Y848" s="5">
        <f t="shared" si="338"/>
        <v>11.831307796219225</v>
      </c>
      <c r="Z848" s="5">
        <f>1</f>
        <v>1</v>
      </c>
      <c r="AA848" s="5">
        <f>IF(M848=0,0,const*($T848/omega)*O848*(wy*I848-wz*(H848-V848))/Z848)</f>
        <v>0</v>
      </c>
      <c r="AB848" s="5">
        <f>IF(M848=0,0,const*($T848/omega)*O848*(wz*(G848-U848)-wx*I848)/Z848)</f>
        <v>7.3565232069998379</v>
      </c>
      <c r="AC848" s="5">
        <f>IF(M848=0,0,const*($T848/omega)*O848*(wx*(H848-V848)-wy*(G848-U848))/Z848)</f>
        <v>7.0216558427690545</v>
      </c>
      <c r="AD848" s="5">
        <f t="shared" si="351"/>
        <v>0</v>
      </c>
      <c r="AE848" s="5">
        <f t="shared" si="351"/>
        <v>-3.9362259867870266</v>
      </c>
      <c r="AF848" s="5">
        <f t="shared" si="339"/>
        <v>-13.321036361011721</v>
      </c>
      <c r="AG848">
        <f t="shared" si="350"/>
        <v>0</v>
      </c>
    </row>
    <row r="849" spans="1:33" x14ac:dyDescent="0.2">
      <c r="A849">
        <f t="shared" si="340"/>
        <v>8.1699999999998703</v>
      </c>
      <c r="B849" s="5">
        <f t="shared" si="341"/>
        <v>0</v>
      </c>
      <c r="C849" s="5">
        <f t="shared" si="342"/>
        <v>1101.7045443255317</v>
      </c>
      <c r="D849" s="5">
        <f t="shared" si="343"/>
        <v>-234.95074295020515</v>
      </c>
      <c r="E849" s="2">
        <f t="shared" si="325"/>
        <v>367.23484810851056</v>
      </c>
      <c r="F849" s="2">
        <f t="shared" si="344"/>
        <v>0</v>
      </c>
      <c r="G849" s="3">
        <f t="shared" si="345"/>
        <v>0</v>
      </c>
      <c r="H849" s="3">
        <f t="shared" si="346"/>
        <v>93.381075694105988</v>
      </c>
      <c r="I849" s="3">
        <f t="shared" si="347"/>
        <v>-98.008930166116699</v>
      </c>
      <c r="J849" s="2">
        <f t="shared" si="326"/>
        <v>135.37272875322819</v>
      </c>
      <c r="K849" s="2">
        <f t="shared" si="348"/>
        <v>92.278615373707012</v>
      </c>
      <c r="L849" s="5">
        <f t="shared" si="327"/>
        <v>25.850253174789458</v>
      </c>
      <c r="M849" s="3">
        <f t="shared" si="328"/>
        <v>16.029376128349778</v>
      </c>
      <c r="N849" s="2">
        <v>0</v>
      </c>
      <c r="O849" s="2">
        <f t="shared" si="329"/>
        <v>135.37272875322819</v>
      </c>
      <c r="P849" s="2">
        <f t="shared" si="330"/>
        <v>92.278615373707012</v>
      </c>
      <c r="Q849" s="5">
        <f t="shared" si="331"/>
        <v>1.1409175224026056</v>
      </c>
      <c r="R849" s="5">
        <f t="shared" si="332"/>
        <v>0.15719457010815735</v>
      </c>
      <c r="S849" s="4">
        <f t="shared" si="349"/>
        <v>0.1184091971549885</v>
      </c>
      <c r="T849" s="5">
        <f t="shared" si="333"/>
        <v>9.7715999516603799E-2</v>
      </c>
      <c r="U849" s="4">
        <f t="shared" si="334"/>
        <v>0</v>
      </c>
      <c r="V849" s="4">
        <f t="shared" si="335"/>
        <v>0</v>
      </c>
      <c r="W849" s="5">
        <f t="shared" si="336"/>
        <v>0</v>
      </c>
      <c r="X849" s="5">
        <f t="shared" si="337"/>
        <v>-11.291884685927855</v>
      </c>
      <c r="Y849" s="5">
        <f t="shared" si="338"/>
        <v>11.851496991234582</v>
      </c>
      <c r="Z849" s="5">
        <f>1</f>
        <v>1</v>
      </c>
      <c r="AA849" s="5">
        <f>IF(M849=0,0,const*($T849/omega)*O849*(wy*I849-wz*(H849-V849))/Z849)</f>
        <v>0</v>
      </c>
      <c r="AB849" s="5">
        <f>IF(M849=0,0,const*($T849/omega)*O849*(wz*(G849-U849)-wx*I849)/Z849)</f>
        <v>7.3671811530747835</v>
      </c>
      <c r="AC849" s="5">
        <f>IF(M849=0,0,const*($T849/omega)*O849*(wx*(H849-V849)-wy*(G849-U849))/Z849)</f>
        <v>7.0193124212400075</v>
      </c>
      <c r="AD849" s="5">
        <f t="shared" si="351"/>
        <v>0</v>
      </c>
      <c r="AE849" s="5">
        <f t="shared" si="351"/>
        <v>-3.9247035328530711</v>
      </c>
      <c r="AF849" s="5">
        <f t="shared" si="339"/>
        <v>-13.30319058752541</v>
      </c>
      <c r="AG849">
        <f t="shared" si="350"/>
        <v>0</v>
      </c>
    </row>
    <row r="850" spans="1:33" x14ac:dyDescent="0.2">
      <c r="A850">
        <f t="shared" si="340"/>
        <v>8.17999999999987</v>
      </c>
      <c r="B850" s="5">
        <f t="shared" si="341"/>
        <v>0</v>
      </c>
      <c r="C850" s="5">
        <f t="shared" si="342"/>
        <v>1102.6381588472962</v>
      </c>
      <c r="D850" s="5">
        <f t="shared" si="343"/>
        <v>-235.9314974113957</v>
      </c>
      <c r="E850" s="2">
        <f t="shared" si="325"/>
        <v>367.54605294909874</v>
      </c>
      <c r="F850" s="2">
        <f t="shared" si="344"/>
        <v>0</v>
      </c>
      <c r="G850" s="3">
        <f t="shared" si="345"/>
        <v>0</v>
      </c>
      <c r="H850" s="3">
        <f t="shared" si="346"/>
        <v>93.341828658777459</v>
      </c>
      <c r="I850" s="3">
        <f t="shared" si="347"/>
        <v>-98.141962071991955</v>
      </c>
      <c r="J850" s="2">
        <f t="shared" si="326"/>
        <v>135.44202337791944</v>
      </c>
      <c r="K850" s="2">
        <f t="shared" si="348"/>
        <v>92.325850973360218</v>
      </c>
      <c r="L850" s="5">
        <f t="shared" si="327"/>
        <v>25.837027710880651</v>
      </c>
      <c r="M850" s="3">
        <f t="shared" si="328"/>
        <v>16.020581272233386</v>
      </c>
      <c r="N850" s="2">
        <v>0</v>
      </c>
      <c r="O850" s="2">
        <f t="shared" si="329"/>
        <v>135.44202337791944</v>
      </c>
      <c r="P850" s="2">
        <f t="shared" si="330"/>
        <v>92.325850973360218</v>
      </c>
      <c r="Q850" s="5">
        <f t="shared" si="331"/>
        <v>1.1415015355361717</v>
      </c>
      <c r="R850" s="5">
        <f t="shared" si="332"/>
        <v>0.15716837244330517</v>
      </c>
      <c r="S850" s="4">
        <f t="shared" si="349"/>
        <v>0.11828368236593514</v>
      </c>
      <c r="T850" s="5">
        <f t="shared" si="333"/>
        <v>9.7674554406570399E-2</v>
      </c>
      <c r="U850" s="4">
        <f t="shared" si="334"/>
        <v>0</v>
      </c>
      <c r="V850" s="4">
        <f t="shared" si="335"/>
        <v>0</v>
      </c>
      <c r="W850" s="5">
        <f t="shared" si="336"/>
        <v>0</v>
      </c>
      <c r="X850" s="5">
        <f t="shared" si="337"/>
        <v>-11.291034444752102</v>
      </c>
      <c r="Y850" s="5">
        <f t="shared" si="338"/>
        <v>11.871679504815576</v>
      </c>
      <c r="Z850" s="5">
        <f>1</f>
        <v>1</v>
      </c>
      <c r="AA850" s="5">
        <f>IF(M850=0,0,const*($T850/omega)*O850*(wy*I850-wz*(H850-V850))/Z850)</f>
        <v>0</v>
      </c>
      <c r="AB850" s="5">
        <f>IF(M850=0,0,const*($T850/omega)*O850*(wz*(G850-U850)-wx*I850)/Z850)</f>
        <v>7.3778266432628516</v>
      </c>
      <c r="AC850" s="5">
        <f>IF(M850=0,0,const*($T850/omega)*O850*(wx*(H850-V850)-wy*(G850-U850))/Z850)</f>
        <v>7.0169763867614394</v>
      </c>
      <c r="AD850" s="5">
        <f t="shared" si="351"/>
        <v>0</v>
      </c>
      <c r="AE850" s="5">
        <f t="shared" si="351"/>
        <v>-3.91320780148925</v>
      </c>
      <c r="AF850" s="5">
        <f t="shared" si="339"/>
        <v>-13.285344108422983</v>
      </c>
      <c r="AG850">
        <f t="shared" si="350"/>
        <v>0</v>
      </c>
    </row>
    <row r="851" spans="1:33" x14ac:dyDescent="0.2">
      <c r="A851">
        <f t="shared" si="340"/>
        <v>8.1899999999998698</v>
      </c>
      <c r="B851" s="5">
        <f t="shared" si="341"/>
        <v>0</v>
      </c>
      <c r="C851" s="5">
        <f t="shared" si="342"/>
        <v>1103.5713814734938</v>
      </c>
      <c r="D851" s="5">
        <f t="shared" si="343"/>
        <v>-236.91358129932104</v>
      </c>
      <c r="E851" s="2">
        <f t="shared" si="325"/>
        <v>367.85712715783126</v>
      </c>
      <c r="F851" s="2">
        <f t="shared" si="344"/>
        <v>0</v>
      </c>
      <c r="G851" s="3">
        <f t="shared" si="345"/>
        <v>0</v>
      </c>
      <c r="H851" s="3">
        <f t="shared" si="346"/>
        <v>93.302696580762571</v>
      </c>
      <c r="I851" s="3">
        <f t="shared" si="347"/>
        <v>-98.274815513076192</v>
      </c>
      <c r="J851" s="2">
        <f t="shared" si="326"/>
        <v>135.51137425829245</v>
      </c>
      <c r="K851" s="2">
        <f t="shared" si="348"/>
        <v>92.373124920444752</v>
      </c>
      <c r="L851" s="5">
        <f t="shared" si="327"/>
        <v>25.823805052430174</v>
      </c>
      <c r="M851" s="3">
        <f t="shared" si="328"/>
        <v>16.011782792258721</v>
      </c>
      <c r="N851" s="2">
        <v>0</v>
      </c>
      <c r="O851" s="2">
        <f t="shared" si="329"/>
        <v>135.51137425829245</v>
      </c>
      <c r="P851" s="2">
        <f t="shared" si="330"/>
        <v>92.373124920444752</v>
      </c>
      <c r="Q851" s="5">
        <f t="shared" si="331"/>
        <v>1.1420860227910297</v>
      </c>
      <c r="R851" s="5">
        <f t="shared" si="332"/>
        <v>0.15714218575132577</v>
      </c>
      <c r="S851" s="4">
        <f t="shared" si="349"/>
        <v>0.11815822014865959</v>
      </c>
      <c r="T851" s="5">
        <f t="shared" si="333"/>
        <v>9.7633100276691268E-2</v>
      </c>
      <c r="U851" s="4">
        <f t="shared" si="334"/>
        <v>0</v>
      </c>
      <c r="V851" s="4">
        <f t="shared" si="335"/>
        <v>0</v>
      </c>
      <c r="W851" s="5">
        <f t="shared" si="336"/>
        <v>0</v>
      </c>
      <c r="X851" s="5">
        <f t="shared" si="337"/>
        <v>-11.290198388531509</v>
      </c>
      <c r="Y851" s="5">
        <f t="shared" si="338"/>
        <v>11.891855266782642</v>
      </c>
      <c r="Z851" s="5">
        <f>1</f>
        <v>1</v>
      </c>
      <c r="AA851" s="5">
        <f>IF(M851=0,0,const*($T851/omega)*O851*(wy*I851-wz*(H851-V851))/Z851)</f>
        <v>0</v>
      </c>
      <c r="AB851" s="5">
        <f>IF(M851=0,0,const*($T851/omega)*O851*(wz*(G851-U851)-wx*I851)/Z851)</f>
        <v>7.388459643644059</v>
      </c>
      <c r="AC851" s="5">
        <f>IF(M851=0,0,const*($T851/omega)*O851*(wx*(H851-V851)-wy*(G851-U851))/Z851)</f>
        <v>7.0146476971855103</v>
      </c>
      <c r="AD851" s="5">
        <f t="shared" si="351"/>
        <v>0</v>
      </c>
      <c r="AE851" s="5">
        <f t="shared" si="351"/>
        <v>-3.9017387448874503</v>
      </c>
      <c r="AF851" s="5">
        <f t="shared" si="339"/>
        <v>-13.267497036031848</v>
      </c>
      <c r="AG851">
        <f t="shared" si="350"/>
        <v>0</v>
      </c>
    </row>
    <row r="852" spans="1:33" x14ac:dyDescent="0.2">
      <c r="A852">
        <f t="shared" si="340"/>
        <v>8.1999999999998696</v>
      </c>
      <c r="B852" s="5">
        <f t="shared" si="341"/>
        <v>0</v>
      </c>
      <c r="C852" s="5">
        <f t="shared" si="342"/>
        <v>1104.5042133523641</v>
      </c>
      <c r="D852" s="5">
        <f t="shared" si="343"/>
        <v>-237.8969928293036</v>
      </c>
      <c r="E852" s="2">
        <f t="shared" si="325"/>
        <v>368.1680711174547</v>
      </c>
      <c r="F852" s="2">
        <f t="shared" si="344"/>
        <v>0</v>
      </c>
      <c r="G852" s="3">
        <f t="shared" si="345"/>
        <v>0</v>
      </c>
      <c r="H852" s="3">
        <f t="shared" si="346"/>
        <v>93.263679193313692</v>
      </c>
      <c r="I852" s="3">
        <f t="shared" si="347"/>
        <v>-98.407490483436504</v>
      </c>
      <c r="J852" s="2">
        <f t="shared" si="326"/>
        <v>135.58078049606064</v>
      </c>
      <c r="K852" s="2">
        <f t="shared" si="348"/>
        <v>92.420436602631653</v>
      </c>
      <c r="L852" s="5">
        <f t="shared" si="327"/>
        <v>25.810585382599459</v>
      </c>
      <c r="M852" s="3">
        <f t="shared" si="328"/>
        <v>16.002980725666273</v>
      </c>
      <c r="N852" s="2">
        <v>0</v>
      </c>
      <c r="O852" s="2">
        <f t="shared" si="329"/>
        <v>135.58078049606064</v>
      </c>
      <c r="P852" s="2">
        <f t="shared" si="330"/>
        <v>92.420436602631653</v>
      </c>
      <c r="Q852" s="5">
        <f t="shared" si="331"/>
        <v>1.142670976596446</v>
      </c>
      <c r="R852" s="5">
        <f t="shared" si="332"/>
        <v>0.15711601026853303</v>
      </c>
      <c r="S852" s="4">
        <f t="shared" si="349"/>
        <v>0.11803281163535746</v>
      </c>
      <c r="T852" s="5">
        <f t="shared" si="333"/>
        <v>9.7591637489775465E-2</v>
      </c>
      <c r="U852" s="4">
        <f t="shared" si="334"/>
        <v>0</v>
      </c>
      <c r="V852" s="4">
        <f t="shared" si="335"/>
        <v>0</v>
      </c>
      <c r="W852" s="5">
        <f t="shared" si="336"/>
        <v>0</v>
      </c>
      <c r="X852" s="5">
        <f t="shared" si="337"/>
        <v>-11.289376435966291</v>
      </c>
      <c r="Y852" s="5">
        <f t="shared" si="338"/>
        <v>11.912024207017694</v>
      </c>
      <c r="Z852" s="5">
        <f>1</f>
        <v>1</v>
      </c>
      <c r="AA852" s="5">
        <f>IF(M852=0,0,const*($T852/omega)*O852*(wy*I852-wz*(H852-V852))/Z852)</f>
        <v>0</v>
      </c>
      <c r="AB852" s="5">
        <f>IF(M852=0,0,const*($T852/omega)*O852*(wz*(G852-U852)-wx*I852)/Z852)</f>
        <v>7.3990801204396881</v>
      </c>
      <c r="AC852" s="5">
        <f>IF(M852=0,0,const*($T852/omega)*O852*(wx*(H852-V852)-wy*(G852-U852))/Z852)</f>
        <v>7.012326310612103</v>
      </c>
      <c r="AD852" s="5">
        <f t="shared" si="351"/>
        <v>0</v>
      </c>
      <c r="AE852" s="5">
        <f t="shared" si="351"/>
        <v>-3.8902963155266033</v>
      </c>
      <c r="AF852" s="5">
        <f t="shared" si="339"/>
        <v>-13.249649482370202</v>
      </c>
      <c r="AG852">
        <f t="shared" si="350"/>
        <v>0</v>
      </c>
    </row>
    <row r="853" spans="1:33" x14ac:dyDescent="0.2">
      <c r="A853">
        <f t="shared" si="340"/>
        <v>8.2099999999998694</v>
      </c>
      <c r="B853" s="5">
        <f t="shared" si="341"/>
        <v>0</v>
      </c>
      <c r="C853" s="5">
        <f t="shared" si="342"/>
        <v>1105.4366556294815</v>
      </c>
      <c r="D853" s="5">
        <f t="shared" si="343"/>
        <v>-238.88173021661208</v>
      </c>
      <c r="E853" s="2">
        <f t="shared" si="325"/>
        <v>368.47888520982718</v>
      </c>
      <c r="F853" s="2">
        <f t="shared" si="344"/>
        <v>0</v>
      </c>
      <c r="G853" s="3">
        <f t="shared" si="345"/>
        <v>0</v>
      </c>
      <c r="H853" s="3">
        <f t="shared" si="346"/>
        <v>93.224776230158426</v>
      </c>
      <c r="I853" s="3">
        <f t="shared" si="347"/>
        <v>-98.539986978260202</v>
      </c>
      <c r="J853" s="2">
        <f t="shared" si="326"/>
        <v>135.65024119712726</v>
      </c>
      <c r="K853" s="2">
        <f t="shared" si="348"/>
        <v>92.46778541044803</v>
      </c>
      <c r="L853" s="5">
        <f t="shared" si="327"/>
        <v>25.797368883020887</v>
      </c>
      <c r="M853" s="3">
        <f t="shared" si="328"/>
        <v>15.994175109645905</v>
      </c>
      <c r="N853" s="2">
        <v>0</v>
      </c>
      <c r="O853" s="2">
        <f t="shared" si="329"/>
        <v>135.65024119712726</v>
      </c>
      <c r="P853" s="2">
        <f t="shared" si="330"/>
        <v>92.46778541044803</v>
      </c>
      <c r="Q853" s="5">
        <f t="shared" si="331"/>
        <v>1.1432563894169983</v>
      </c>
      <c r="R853" s="5">
        <f t="shared" si="332"/>
        <v>0.15708984622919839</v>
      </c>
      <c r="S853" s="4">
        <f t="shared" si="349"/>
        <v>0.11790745794843911</v>
      </c>
      <c r="T853" s="5">
        <f t="shared" si="333"/>
        <v>9.7550166406324051E-2</v>
      </c>
      <c r="U853" s="4">
        <f t="shared" si="334"/>
        <v>0</v>
      </c>
      <c r="V853" s="4">
        <f t="shared" si="335"/>
        <v>0</v>
      </c>
      <c r="W853" s="5">
        <f t="shared" si="336"/>
        <v>0</v>
      </c>
      <c r="X853" s="5">
        <f t="shared" si="337"/>
        <v>-11.2885685061826</v>
      </c>
      <c r="Y853" s="5">
        <f t="shared" si="338"/>
        <v>11.932186255466448</v>
      </c>
      <c r="Z853" s="5">
        <f>1</f>
        <v>1</v>
      </c>
      <c r="AA853" s="5">
        <f>IF(M853=0,0,const*($T853/omega)*O853*(wy*I853-wz*(H853-V853))/Z853)</f>
        <v>0</v>
      </c>
      <c r="AB853" s="5">
        <f>IF(M853=0,0,const*($T853/omega)*O853*(wz*(G853-U853)-wx*I853)/Z853)</f>
        <v>7.4096880400132061</v>
      </c>
      <c r="AC853" s="5">
        <f>IF(M853=0,0,const*($T853/omega)*O853*(wx*(H853-V853)-wy*(G853-U853))/Z853)</f>
        <v>7.0100121853873247</v>
      </c>
      <c r="AD853" s="5">
        <f t="shared" si="351"/>
        <v>0</v>
      </c>
      <c r="AE853" s="5">
        <f t="shared" si="351"/>
        <v>-3.8788804661693934</v>
      </c>
      <c r="AF853" s="5">
        <f t="shared" si="339"/>
        <v>-13.231801559146227</v>
      </c>
      <c r="AG853">
        <f t="shared" si="350"/>
        <v>0</v>
      </c>
    </row>
    <row r="854" spans="1:33" x14ac:dyDescent="0.2">
      <c r="A854">
        <f t="shared" si="340"/>
        <v>8.2199999999998692</v>
      </c>
      <c r="B854" s="5">
        <f t="shared" si="341"/>
        <v>0</v>
      </c>
      <c r="C854" s="5">
        <f t="shared" si="342"/>
        <v>1106.3687094477598</v>
      </c>
      <c r="D854" s="5">
        <f t="shared" si="343"/>
        <v>-239.86779167647265</v>
      </c>
      <c r="E854" s="2">
        <f t="shared" si="325"/>
        <v>368.78956981591995</v>
      </c>
      <c r="F854" s="2">
        <f t="shared" si="344"/>
        <v>0</v>
      </c>
      <c r="G854" s="3">
        <f t="shared" si="345"/>
        <v>0</v>
      </c>
      <c r="H854" s="3">
        <f t="shared" si="346"/>
        <v>93.185987425496734</v>
      </c>
      <c r="I854" s="3">
        <f t="shared" si="347"/>
        <v>-98.672304993851668</v>
      </c>
      <c r="J854" s="2">
        <f t="shared" si="326"/>
        <v>135.71975547157652</v>
      </c>
      <c r="K854" s="2">
        <f t="shared" si="348"/>
        <v>92.515170737270964</v>
      </c>
      <c r="L854" s="5">
        <f t="shared" si="327"/>
        <v>25.784155733804898</v>
      </c>
      <c r="M854" s="3">
        <f t="shared" si="328"/>
        <v>15.985365981336134</v>
      </c>
      <c r="N854" s="2">
        <v>0</v>
      </c>
      <c r="O854" s="2">
        <f t="shared" si="329"/>
        <v>135.71975547157652</v>
      </c>
      <c r="P854" s="2">
        <f t="shared" si="330"/>
        <v>92.515170737270964</v>
      </c>
      <c r="Q854" s="5">
        <f t="shared" si="331"/>
        <v>1.1438422537525013</v>
      </c>
      <c r="R854" s="5">
        <f t="shared" si="332"/>
        <v>0.15706369386556041</v>
      </c>
      <c r="S854" s="4">
        <f t="shared" si="349"/>
        <v>0.11778216020057532</v>
      </c>
      <c r="T854" s="5">
        <f t="shared" si="333"/>
        <v>9.7508687384537843E-2</v>
      </c>
      <c r="U854" s="4">
        <f t="shared" si="334"/>
        <v>0</v>
      </c>
      <c r="V854" s="4">
        <f t="shared" si="335"/>
        <v>0</v>
      </c>
      <c r="W854" s="5">
        <f t="shared" si="336"/>
        <v>0</v>
      </c>
      <c r="X854" s="5">
        <f t="shared" si="337"/>
        <v>-11.287774518730171</v>
      </c>
      <c r="Y854" s="5">
        <f t="shared" si="338"/>
        <v>11.952341342140727</v>
      </c>
      <c r="Z854" s="5">
        <f>1</f>
        <v>1</v>
      </c>
      <c r="AA854" s="5">
        <f>IF(M854=0,0,const*($T854/omega)*O854*(wy*I854-wz*(H854-V854))/Z854)</f>
        <v>0</v>
      </c>
      <c r="AB854" s="5">
        <f>IF(M854=0,0,const*($T854/omega)*O854*(wz*(G854-U854)-wx*I854)/Z854)</f>
        <v>7.4202833688711518</v>
      </c>
      <c r="AC854" s="5">
        <f>IF(M854=0,0,const*($T854/omega)*O854*(wx*(H854-V854)-wy*(G854-U854))/Z854)</f>
        <v>7.0077052801020043</v>
      </c>
      <c r="AD854" s="5">
        <f t="shared" si="351"/>
        <v>0</v>
      </c>
      <c r="AE854" s="5">
        <f t="shared" si="351"/>
        <v>-3.8674911498590188</v>
      </c>
      <c r="AF854" s="5">
        <f t="shared" si="339"/>
        <v>-13.213953377757267</v>
      </c>
      <c r="AG854">
        <f t="shared" si="350"/>
        <v>0</v>
      </c>
    </row>
    <row r="855" spans="1:33" x14ac:dyDescent="0.2">
      <c r="A855">
        <f t="shared" si="340"/>
        <v>8.229999999999869</v>
      </c>
      <c r="B855" s="5">
        <f t="shared" si="341"/>
        <v>0</v>
      </c>
      <c r="C855" s="5">
        <f t="shared" si="342"/>
        <v>1107.3003759474573</v>
      </c>
      <c r="D855" s="5">
        <f t="shared" si="343"/>
        <v>-240.85517542408004</v>
      </c>
      <c r="E855" s="2">
        <f t="shared" si="325"/>
        <v>369.10012531581907</v>
      </c>
      <c r="F855" s="2">
        <f t="shared" si="344"/>
        <v>0</v>
      </c>
      <c r="G855" s="3">
        <f t="shared" si="345"/>
        <v>0</v>
      </c>
      <c r="H855" s="3">
        <f t="shared" si="346"/>
        <v>93.147312513998145</v>
      </c>
      <c r="I855" s="3">
        <f t="shared" si="347"/>
        <v>-98.804444527629244</v>
      </c>
      <c r="J855" s="2">
        <f t="shared" si="326"/>
        <v>135.78932243366486</v>
      </c>
      <c r="K855" s="2">
        <f t="shared" si="348"/>
        <v>92.562591979321653</v>
      </c>
      <c r="L855" s="5">
        <f t="shared" si="327"/>
        <v>25.77094611354709</v>
      </c>
      <c r="M855" s="3">
        <f t="shared" si="328"/>
        <v>15.976553377823404</v>
      </c>
      <c r="N855" s="2">
        <v>0</v>
      </c>
      <c r="O855" s="2">
        <f t="shared" si="329"/>
        <v>135.78932243366486</v>
      </c>
      <c r="P855" s="2">
        <f t="shared" si="330"/>
        <v>92.562591979321653</v>
      </c>
      <c r="Q855" s="5">
        <f t="shared" si="331"/>
        <v>1.144428562137934</v>
      </c>
      <c r="R855" s="5">
        <f t="shared" si="332"/>
        <v>0.15703755340783432</v>
      </c>
      <c r="S855" s="4">
        <f t="shared" si="349"/>
        <v>0.11765691949474298</v>
      </c>
      <c r="T855" s="5">
        <f t="shared" si="333"/>
        <v>9.7467200780325197E-2</v>
      </c>
      <c r="U855" s="4">
        <f t="shared" si="334"/>
        <v>0</v>
      </c>
      <c r="V855" s="4">
        <f t="shared" si="335"/>
        <v>0</v>
      </c>
      <c r="W855" s="5">
        <f t="shared" si="336"/>
        <v>0</v>
      </c>
      <c r="X855" s="5">
        <f t="shared" si="337"/>
        <v>-11.286994393579956</v>
      </c>
      <c r="Y855" s="5">
        <f t="shared" si="338"/>
        <v>11.972489397120722</v>
      </c>
      <c r="Z855" s="5">
        <f>1</f>
        <v>1</v>
      </c>
      <c r="AA855" s="5">
        <f>IF(M855=0,0,const*($T855/omega)*O855*(wy*I855-wz*(H855-V855))/Z855)</f>
        <v>0</v>
      </c>
      <c r="AB855" s="5">
        <f>IF(M855=0,0,const*($T855/omega)*O855*(wz*(G855-U855)-wx*I855)/Z855)</f>
        <v>7.430866073664034</v>
      </c>
      <c r="AC855" s="5">
        <f>IF(M855=0,0,const*($T855/omega)*O855*(wx*(H855-V855)-wy*(G855-U855))/Z855)</f>
        <v>7.0054055535902142</v>
      </c>
      <c r="AD855" s="5">
        <f t="shared" si="351"/>
        <v>0</v>
      </c>
      <c r="AE855" s="5">
        <f t="shared" si="351"/>
        <v>-3.8561283199159222</v>
      </c>
      <c r="AF855" s="5">
        <f t="shared" si="339"/>
        <v>-13.196105049289063</v>
      </c>
      <c r="AG855">
        <f t="shared" si="350"/>
        <v>0</v>
      </c>
    </row>
    <row r="856" spans="1:33" x14ac:dyDescent="0.2">
      <c r="A856">
        <f t="shared" si="340"/>
        <v>8.2399999999998688</v>
      </c>
      <c r="B856" s="5">
        <f t="shared" si="341"/>
        <v>0</v>
      </c>
      <c r="C856" s="5">
        <f t="shared" si="342"/>
        <v>1108.2316562661813</v>
      </c>
      <c r="D856" s="5">
        <f t="shared" si="343"/>
        <v>-241.84387967460881</v>
      </c>
      <c r="E856" s="2">
        <f t="shared" si="325"/>
        <v>369.41055208872712</v>
      </c>
      <c r="F856" s="2">
        <f t="shared" si="344"/>
        <v>0</v>
      </c>
      <c r="G856" s="3">
        <f t="shared" si="345"/>
        <v>0</v>
      </c>
      <c r="H856" s="3">
        <f t="shared" si="346"/>
        <v>93.108751230798987</v>
      </c>
      <c r="I856" s="3">
        <f t="shared" si="347"/>
        <v>-98.936405578122134</v>
      </c>
      <c r="J856" s="2">
        <f t="shared" si="326"/>
        <v>135.85894120181229</v>
      </c>
      <c r="K856" s="2">
        <f t="shared" si="348"/>
        <v>92.610048535659359</v>
      </c>
      <c r="L856" s="5">
        <f t="shared" si="327"/>
        <v>25.757740199335281</v>
      </c>
      <c r="M856" s="3">
        <f t="shared" si="328"/>
        <v>15.967737336141367</v>
      </c>
      <c r="N856" s="2">
        <v>0</v>
      </c>
      <c r="O856" s="2">
        <f t="shared" si="329"/>
        <v>135.85894120181229</v>
      </c>
      <c r="P856" s="2">
        <f t="shared" si="330"/>
        <v>92.610048535659359</v>
      </c>
      <c r="Q856" s="5">
        <f t="shared" si="331"/>
        <v>1.1450153071433646</v>
      </c>
      <c r="R856" s="5">
        <f t="shared" si="332"/>
        <v>0.15701142508422161</v>
      </c>
      <c r="S856" s="4">
        <f t="shared" si="349"/>
        <v>0.11753173692427073</v>
      </c>
      <c r="T856" s="5">
        <f t="shared" si="333"/>
        <v>9.742570694730969E-2</v>
      </c>
      <c r="U856" s="4">
        <f t="shared" si="334"/>
        <v>0</v>
      </c>
      <c r="V856" s="4">
        <f t="shared" si="335"/>
        <v>0</v>
      </c>
      <c r="W856" s="5">
        <f t="shared" si="336"/>
        <v>0</v>
      </c>
      <c r="X856" s="5">
        <f t="shared" si="337"/>
        <v>-11.286228051121821</v>
      </c>
      <c r="Y856" s="5">
        <f t="shared" si="338"/>
        <v>11.992630350557279</v>
      </c>
      <c r="Z856" s="5">
        <f>1</f>
        <v>1</v>
      </c>
      <c r="AA856" s="5">
        <f>IF(M856=0,0,const*($T856/omega)*O856*(wy*I856-wz*(H856-V856))/Z856)</f>
        <v>0</v>
      </c>
      <c r="AB856" s="5">
        <f>IF(M856=0,0,const*($T856/omega)*O856*(wz*(G856-U856)-wx*I856)/Z856)</f>
        <v>7.4414361211872038</v>
      </c>
      <c r="AC856" s="5">
        <f>IF(M856=0,0,const*($T856/omega)*O856*(wx*(H856-V856)-wy*(G856-U856))/Z856)</f>
        <v>7.003112964927789</v>
      </c>
      <c r="AD856" s="5">
        <f t="shared" si="351"/>
        <v>0</v>
      </c>
      <c r="AE856" s="5">
        <f t="shared" si="351"/>
        <v>-3.8447919299346172</v>
      </c>
      <c r="AF856" s="5">
        <f t="shared" si="339"/>
        <v>-13.178256684514931</v>
      </c>
      <c r="AG856">
        <f t="shared" si="350"/>
        <v>0</v>
      </c>
    </row>
    <row r="857" spans="1:33" x14ac:dyDescent="0.2">
      <c r="A857">
        <f t="shared" si="340"/>
        <v>8.2499999999998685</v>
      </c>
      <c r="B857" s="5">
        <f t="shared" si="341"/>
        <v>0</v>
      </c>
      <c r="C857" s="5">
        <f t="shared" si="342"/>
        <v>1109.1625515388928</v>
      </c>
      <c r="D857" s="5">
        <f t="shared" si="343"/>
        <v>-242.83390264322426</v>
      </c>
      <c r="E857" s="2">
        <f t="shared" si="325"/>
        <v>369.72085051296426</v>
      </c>
      <c r="F857" s="2">
        <f t="shared" si="344"/>
        <v>0</v>
      </c>
      <c r="G857" s="3">
        <f t="shared" si="345"/>
        <v>0</v>
      </c>
      <c r="H857" s="3">
        <f t="shared" si="346"/>
        <v>93.070303311499643</v>
      </c>
      <c r="I857" s="3">
        <f t="shared" si="347"/>
        <v>-99.06818814496728</v>
      </c>
      <c r="J857" s="2">
        <f t="shared" si="326"/>
        <v>135.92861089859329</v>
      </c>
      <c r="K857" s="2">
        <f t="shared" si="348"/>
        <v>92.657539808175386</v>
      </c>
      <c r="L857" s="5">
        <f t="shared" si="327"/>
        <v>25.744538166756652</v>
      </c>
      <c r="M857" s="3">
        <f t="shared" si="328"/>
        <v>15.958917893270176</v>
      </c>
      <c r="N857" s="2">
        <v>0</v>
      </c>
      <c r="O857" s="2">
        <f t="shared" si="329"/>
        <v>135.92861089859329</v>
      </c>
      <c r="P857" s="2">
        <f t="shared" si="330"/>
        <v>92.657539808175386</v>
      </c>
      <c r="Q857" s="5">
        <f t="shared" si="331"/>
        <v>1.1456024813738761</v>
      </c>
      <c r="R857" s="5">
        <f t="shared" si="332"/>
        <v>0.15698530912091951</v>
      </c>
      <c r="S857" s="4">
        <f t="shared" si="349"/>
        <v>0.11740661357288491</v>
      </c>
      <c r="T857" s="5">
        <f t="shared" si="333"/>
        <v>9.7384206236838078E-2</v>
      </c>
      <c r="U857" s="4">
        <f t="shared" si="334"/>
        <v>0</v>
      </c>
      <c r="V857" s="4">
        <f t="shared" si="335"/>
        <v>0</v>
      </c>
      <c r="W857" s="5">
        <f t="shared" si="336"/>
        <v>0</v>
      </c>
      <c r="X857" s="5">
        <f t="shared" si="337"/>
        <v>-11.285475412162187</v>
      </c>
      <c r="Y857" s="5">
        <f t="shared" si="338"/>
        <v>12.012764132674135</v>
      </c>
      <c r="Z857" s="5">
        <f>1</f>
        <v>1</v>
      </c>
      <c r="AA857" s="5">
        <f>IF(M857=0,0,const*($T857/omega)*O857*(wy*I857-wz*(H857-V857))/Z857)</f>
        <v>0</v>
      </c>
      <c r="AB857" s="5">
        <f>IF(M857=0,0,const*($T857/omega)*O857*(wz*(G857-U857)-wx*I857)/Z857)</f>
        <v>7.4519934783817128</v>
      </c>
      <c r="AC857" s="5">
        <f>IF(M857=0,0,const*($T857/omega)*O857*(wx*(H857-V857)-wy*(G857-U857))/Z857)</f>
        <v>7.0008274734308484</v>
      </c>
      <c r="AD857" s="5">
        <f t="shared" si="351"/>
        <v>0</v>
      </c>
      <c r="AE857" s="5">
        <f t="shared" si="351"/>
        <v>-3.8334819337804742</v>
      </c>
      <c r="AF857" s="5">
        <f t="shared" si="339"/>
        <v>-13.160408393895015</v>
      </c>
      <c r="AG857">
        <f t="shared" si="350"/>
        <v>0</v>
      </c>
    </row>
    <row r="858" spans="1:33" x14ac:dyDescent="0.2">
      <c r="A858">
        <f t="shared" si="340"/>
        <v>8.2599999999998683</v>
      </c>
      <c r="B858" s="5">
        <f t="shared" si="341"/>
        <v>0</v>
      </c>
      <c r="C858" s="5">
        <f t="shared" si="342"/>
        <v>1110.0930628979111</v>
      </c>
      <c r="D858" s="5">
        <f t="shared" si="343"/>
        <v>-243.82524254509363</v>
      </c>
      <c r="E858" s="2">
        <f t="shared" si="325"/>
        <v>370.03102096597036</v>
      </c>
      <c r="F858" s="2">
        <f t="shared" si="344"/>
        <v>0</v>
      </c>
      <c r="G858" s="3">
        <f t="shared" si="345"/>
        <v>0</v>
      </c>
      <c r="H858" s="3">
        <f t="shared" si="346"/>
        <v>93.031968492161838</v>
      </c>
      <c r="I858" s="3">
        <f t="shared" si="347"/>
        <v>-99.199792228906233</v>
      </c>
      <c r="J858" s="2">
        <f t="shared" si="326"/>
        <v>135.99833065072806</v>
      </c>
      <c r="K858" s="2">
        <f t="shared" si="348"/>
        <v>92.705065201586947</v>
      </c>
      <c r="L858" s="5">
        <f t="shared" si="327"/>
        <v>25.731340189904859</v>
      </c>
      <c r="M858" s="3">
        <f t="shared" si="328"/>
        <v>15.95009508613578</v>
      </c>
      <c r="N858" s="2">
        <v>0</v>
      </c>
      <c r="O858" s="2">
        <f t="shared" si="329"/>
        <v>135.99833065072806</v>
      </c>
      <c r="P858" s="2">
        <f t="shared" si="330"/>
        <v>92.705065201586947</v>
      </c>
      <c r="Q858" s="5">
        <f t="shared" si="331"/>
        <v>1.1461900774694911</v>
      </c>
      <c r="R858" s="5">
        <f t="shared" si="332"/>
        <v>0.15695920574213063</v>
      </c>
      <c r="S858" s="4">
        <f t="shared" si="349"/>
        <v>0.11728155051475547</v>
      </c>
      <c r="T858" s="5">
        <f t="shared" si="333"/>
        <v>9.7342698997988086E-2</v>
      </c>
      <c r="U858" s="4">
        <f t="shared" si="334"/>
        <v>0</v>
      </c>
      <c r="V858" s="4">
        <f t="shared" si="335"/>
        <v>0</v>
      </c>
      <c r="W858" s="5">
        <f t="shared" si="336"/>
        <v>0</v>
      </c>
      <c r="X858" s="5">
        <f t="shared" si="337"/>
        <v>-11.28473639792173</v>
      </c>
      <c r="Y858" s="5">
        <f t="shared" si="338"/>
        <v>12.032890673770137</v>
      </c>
      <c r="Z858" s="5">
        <f>1</f>
        <v>1</v>
      </c>
      <c r="AA858" s="5">
        <f>IF(M858=0,0,const*($T858/omega)*O858*(wy*I858-wz*(H858-V858))/Z858)</f>
        <v>0</v>
      </c>
      <c r="AB858" s="5">
        <f>IF(M858=0,0,const*($T858/omega)*O858*(wz*(G858-U858)-wx*I858)/Z858)</f>
        <v>7.462538112335154</v>
      </c>
      <c r="AC858" s="5">
        <f>IF(M858=0,0,const*($T858/omega)*O858*(wx*(H858-V858)-wy*(G858-U858))/Z858)</f>
        <v>6.9985490386543292</v>
      </c>
      <c r="AD858" s="5">
        <f t="shared" si="351"/>
        <v>0</v>
      </c>
      <c r="AE858" s="5">
        <f t="shared" si="351"/>
        <v>-3.8221982855865759</v>
      </c>
      <c r="AF858" s="5">
        <f t="shared" si="339"/>
        <v>-13.142560287575535</v>
      </c>
      <c r="AG858">
        <f t="shared" si="350"/>
        <v>0</v>
      </c>
    </row>
    <row r="859" spans="1:33" x14ac:dyDescent="0.2">
      <c r="A859">
        <f t="shared" si="340"/>
        <v>8.2699999999998681</v>
      </c>
      <c r="B859" s="5">
        <f t="shared" si="341"/>
        <v>0</v>
      </c>
      <c r="C859" s="5">
        <f t="shared" si="342"/>
        <v>1111.0231914729184</v>
      </c>
      <c r="D859" s="5">
        <f t="shared" si="343"/>
        <v>-244.81789759539708</v>
      </c>
      <c r="E859" s="2">
        <f t="shared" si="325"/>
        <v>370.3410638243061</v>
      </c>
      <c r="F859" s="2">
        <f t="shared" si="344"/>
        <v>0</v>
      </c>
      <c r="G859" s="3">
        <f t="shared" si="345"/>
        <v>0</v>
      </c>
      <c r="H859" s="3">
        <f t="shared" si="346"/>
        <v>92.993746509305979</v>
      </c>
      <c r="I859" s="3">
        <f t="shared" si="347"/>
        <v>-99.331217831781984</v>
      </c>
      <c r="J859" s="2">
        <f t="shared" si="326"/>
        <v>136.06809958907334</v>
      </c>
      <c r="K859" s="2">
        <f t="shared" si="348"/>
        <v>92.752624123431033</v>
      </c>
      <c r="L859" s="5">
        <f t="shared" si="327"/>
        <v>25.718146441387226</v>
      </c>
      <c r="M859" s="3">
        <f t="shared" si="328"/>
        <v>15.941268951609251</v>
      </c>
      <c r="N859" s="2">
        <v>0</v>
      </c>
      <c r="O859" s="2">
        <f t="shared" si="329"/>
        <v>136.06809958907334</v>
      </c>
      <c r="P859" s="2">
        <f t="shared" si="330"/>
        <v>92.752624123431033</v>
      </c>
      <c r="Q859" s="5">
        <f t="shared" si="331"/>
        <v>1.1467780881050944</v>
      </c>
      <c r="R859" s="5">
        <f t="shared" si="332"/>
        <v>0.15693311517007263</v>
      </c>
      <c r="S859" s="4">
        <f t="shared" si="349"/>
        <v>0.11715654881454213</v>
      </c>
      <c r="T859" s="5">
        <f t="shared" si="333"/>
        <v>9.7301185577576485E-2</v>
      </c>
      <c r="U859" s="4">
        <f t="shared" si="334"/>
        <v>0</v>
      </c>
      <c r="V859" s="4">
        <f t="shared" si="335"/>
        <v>0</v>
      </c>
      <c r="W859" s="5">
        <f t="shared" si="336"/>
        <v>0</v>
      </c>
      <c r="X859" s="5">
        <f t="shared" si="337"/>
        <v>-11.284010930033073</v>
      </c>
      <c r="Y859" s="5">
        <f t="shared" si="338"/>
        <v>12.053009904221453</v>
      </c>
      <c r="Z859" s="5">
        <f>1</f>
        <v>1</v>
      </c>
      <c r="AA859" s="5">
        <f>IF(M859=0,0,const*($T859/omega)*O859*(wy*I859-wz*(H859-V859))/Z859)</f>
        <v>0</v>
      </c>
      <c r="AB859" s="5">
        <f>IF(M859=0,0,const*($T859/omega)*O859*(wz*(G859-U859)-wx*I859)/Z859)</f>
        <v>7.47306999028251</v>
      </c>
      <c r="AC859" s="5">
        <f>IF(M859=0,0,const*($T859/omega)*O859*(wx*(H859-V859)-wy*(G859-U859))/Z859)</f>
        <v>6.9962776203905337</v>
      </c>
      <c r="AD859" s="5">
        <f t="shared" si="351"/>
        <v>0</v>
      </c>
      <c r="AE859" s="5">
        <f t="shared" si="351"/>
        <v>-3.8109409397505631</v>
      </c>
      <c r="AF859" s="5">
        <f t="shared" si="339"/>
        <v>-13.124712475388012</v>
      </c>
      <c r="AG859">
        <f t="shared" si="350"/>
        <v>0</v>
      </c>
    </row>
    <row r="860" spans="1:33" x14ac:dyDescent="0.2">
      <c r="A860">
        <f t="shared" si="340"/>
        <v>8.2799999999998679</v>
      </c>
      <c r="B860" s="5">
        <f t="shared" si="341"/>
        <v>0</v>
      </c>
      <c r="C860" s="5">
        <f t="shared" si="342"/>
        <v>1111.9529383909644</v>
      </c>
      <c r="D860" s="5">
        <f t="shared" si="343"/>
        <v>-245.81186600933867</v>
      </c>
      <c r="E860" s="2">
        <f t="shared" si="325"/>
        <v>370.65097946365478</v>
      </c>
      <c r="F860" s="2">
        <f t="shared" si="344"/>
        <v>0</v>
      </c>
      <c r="G860" s="3">
        <f t="shared" si="345"/>
        <v>0</v>
      </c>
      <c r="H860" s="3">
        <f t="shared" si="346"/>
        <v>92.955637099908472</v>
      </c>
      <c r="I860" s="3">
        <f t="shared" si="347"/>
        <v>-99.462464956535868</v>
      </c>
      <c r="J860" s="2">
        <f t="shared" si="326"/>
        <v>136.13791684861349</v>
      </c>
      <c r="K860" s="2">
        <f t="shared" si="348"/>
        <v>92.800215984058269</v>
      </c>
      <c r="L860" s="5">
        <f t="shared" si="327"/>
        <v>25.704957092331835</v>
      </c>
      <c r="M860" s="3">
        <f t="shared" si="328"/>
        <v>15.932439526506069</v>
      </c>
      <c r="N860" s="2">
        <v>0</v>
      </c>
      <c r="O860" s="2">
        <f t="shared" si="329"/>
        <v>136.13791684861349</v>
      </c>
      <c r="P860" s="2">
        <f t="shared" si="330"/>
        <v>92.800215984058269</v>
      </c>
      <c r="Q860" s="5">
        <f t="shared" si="331"/>
        <v>1.1473665059903591</v>
      </c>
      <c r="R860" s="5">
        <f t="shared" si="332"/>
        <v>0.1569070376249877</v>
      </c>
      <c r="S860" s="4">
        <f t="shared" si="349"/>
        <v>0.11703160952744029</v>
      </c>
      <c r="T860" s="5">
        <f t="shared" si="333"/>
        <v>9.7259666320166777E-2</v>
      </c>
      <c r="U860" s="4">
        <f t="shared" si="334"/>
        <v>0</v>
      </c>
      <c r="V860" s="4">
        <f t="shared" si="335"/>
        <v>0</v>
      </c>
      <c r="W860" s="5">
        <f t="shared" si="336"/>
        <v>0</v>
      </c>
      <c r="X860" s="5">
        <f t="shared" si="337"/>
        <v>-11.283298930538475</v>
      </c>
      <c r="Y860" s="5">
        <f t="shared" si="338"/>
        <v>12.073121754483751</v>
      </c>
      <c r="Z860" s="5">
        <f>1</f>
        <v>1</v>
      </c>
      <c r="AA860" s="5">
        <f>IF(M860=0,0,const*($T860/omega)*O860*(wy*I860-wz*(H860-V860))/Z860)</f>
        <v>0</v>
      </c>
      <c r="AB860" s="5">
        <f>IF(M860=0,0,const*($T860/omega)*O860*(wz*(G860-U860)-wx*I860)/Z860)</f>
        <v>7.4835890796069586</v>
      </c>
      <c r="AC860" s="5">
        <f>IF(M860=0,0,const*($T860/omega)*O860*(wx*(H860-V860)-wy*(G860-U860))/Z860)</f>
        <v>6.9940131786676636</v>
      </c>
      <c r="AD860" s="5">
        <f t="shared" si="351"/>
        <v>0</v>
      </c>
      <c r="AE860" s="5">
        <f t="shared" si="351"/>
        <v>-3.7997098509315164</v>
      </c>
      <c r="AF860" s="5">
        <f t="shared" si="339"/>
        <v>-13.106865066848584</v>
      </c>
      <c r="AG860">
        <f t="shared" si="350"/>
        <v>0</v>
      </c>
    </row>
    <row r="861" spans="1:33" x14ac:dyDescent="0.2">
      <c r="A861">
        <f t="shared" si="340"/>
        <v>8.2899999999998677</v>
      </c>
      <c r="B861" s="5">
        <f t="shared" si="341"/>
        <v>0</v>
      </c>
      <c r="C861" s="5">
        <f t="shared" si="342"/>
        <v>1112.8823047764708</v>
      </c>
      <c r="D861" s="5">
        <f t="shared" si="343"/>
        <v>-246.8071460021574</v>
      </c>
      <c r="E861" s="2">
        <f t="shared" si="325"/>
        <v>370.96076825882363</v>
      </c>
      <c r="F861" s="2">
        <f t="shared" si="344"/>
        <v>0</v>
      </c>
      <c r="G861" s="3">
        <f t="shared" si="345"/>
        <v>0</v>
      </c>
      <c r="H861" s="3">
        <f t="shared" si="346"/>
        <v>92.917640001399164</v>
      </c>
      <c r="I861" s="3">
        <f t="shared" si="347"/>
        <v>-99.59353360720435</v>
      </c>
      <c r="J861" s="2">
        <f t="shared" si="326"/>
        <v>136.20778156845134</v>
      </c>
      <c r="K861" s="2">
        <f t="shared" si="348"/>
        <v>92.847840196626677</v>
      </c>
      <c r="L861" s="5">
        <f t="shared" si="327"/>
        <v>25.69177231239474</v>
      </c>
      <c r="M861" s="3">
        <f t="shared" si="328"/>
        <v>15.923606847585464</v>
      </c>
      <c r="N861" s="2">
        <v>0</v>
      </c>
      <c r="O861" s="2">
        <f t="shared" si="329"/>
        <v>136.20778156845134</v>
      </c>
      <c r="P861" s="2">
        <f t="shared" si="330"/>
        <v>92.847840196626677</v>
      </c>
      <c r="Q861" s="5">
        <f t="shared" si="331"/>
        <v>1.1479553238696683</v>
      </c>
      <c r="R861" s="5">
        <f t="shared" si="332"/>
        <v>0.1568809733251523</v>
      </c>
      <c r="S861" s="4">
        <f t="shared" si="349"/>
        <v>0.11690673369922733</v>
      </c>
      <c r="T861" s="5">
        <f t="shared" si="333"/>
        <v>9.7218141568077482E-2</v>
      </c>
      <c r="U861" s="4">
        <f t="shared" si="334"/>
        <v>0</v>
      </c>
      <c r="V861" s="4">
        <f t="shared" si="335"/>
        <v>0</v>
      </c>
      <c r="W861" s="5">
        <f t="shared" si="336"/>
        <v>0</v>
      </c>
      <c r="X861" s="5">
        <f t="shared" si="337"/>
        <v>-11.282600321887569</v>
      </c>
      <c r="Y861" s="5">
        <f t="shared" si="338"/>
        <v>12.093226155094381</v>
      </c>
      <c r="Z861" s="5">
        <f>1</f>
        <v>1</v>
      </c>
      <c r="AA861" s="5">
        <f>IF(M861=0,0,const*($T861/omega)*O861*(wy*I861-wz*(H861-V861))/Z861)</f>
        <v>0</v>
      </c>
      <c r="AB861" s="5">
        <f>IF(M861=0,0,const*($T861/omega)*O861*(wz*(G861-U861)-wx*I861)/Z861)</f>
        <v>7.4940953478406884</v>
      </c>
      <c r="AC861" s="5">
        <f>IF(M861=0,0,const*($T861/omega)*O861*(wx*(H861-V861)-wy*(G861-U861))/Z861)</f>
        <v>6.9917556737483837</v>
      </c>
      <c r="AD861" s="5">
        <f t="shared" si="351"/>
        <v>0</v>
      </c>
      <c r="AE861" s="5">
        <f t="shared" si="351"/>
        <v>-3.788504974046881</v>
      </c>
      <c r="AF861" s="5">
        <f t="shared" si="339"/>
        <v>-13.089018171157235</v>
      </c>
      <c r="AG861">
        <f t="shared" si="350"/>
        <v>0</v>
      </c>
    </row>
    <row r="862" spans="1:33" x14ac:dyDescent="0.2">
      <c r="A862">
        <f t="shared" si="340"/>
        <v>8.2999999999998675</v>
      </c>
      <c r="B862" s="5">
        <f t="shared" si="341"/>
        <v>0</v>
      </c>
      <c r="C862" s="5">
        <f t="shared" si="342"/>
        <v>1113.8112917512362</v>
      </c>
      <c r="D862" s="5">
        <f t="shared" si="343"/>
        <v>-247.80373578913802</v>
      </c>
      <c r="E862" s="2">
        <f t="shared" si="325"/>
        <v>371.27043058374539</v>
      </c>
      <c r="F862" s="2">
        <f t="shared" si="344"/>
        <v>0</v>
      </c>
      <c r="G862" s="3">
        <f t="shared" si="345"/>
        <v>0</v>
      </c>
      <c r="H862" s="3">
        <f t="shared" si="346"/>
        <v>92.879754951658697</v>
      </c>
      <c r="I862" s="3">
        <f t="shared" si="347"/>
        <v>-99.724423788915928</v>
      </c>
      <c r="J862" s="2">
        <f t="shared" si="326"/>
        <v>136.27769289179895</v>
      </c>
      <c r="K862" s="2">
        <f t="shared" si="348"/>
        <v>92.895496177095396</v>
      </c>
      <c r="L862" s="5">
        <f t="shared" si="327"/>
        <v>25.678592269767137</v>
      </c>
      <c r="M862" s="3">
        <f t="shared" si="328"/>
        <v>15.914770951549741</v>
      </c>
      <c r="N862" s="2">
        <v>0</v>
      </c>
      <c r="O862" s="2">
        <f t="shared" si="329"/>
        <v>136.27769289179895</v>
      </c>
      <c r="P862" s="2">
        <f t="shared" si="330"/>
        <v>92.895496177095396</v>
      </c>
      <c r="Q862" s="5">
        <f t="shared" si="331"/>
        <v>1.1485445345220371</v>
      </c>
      <c r="R862" s="5">
        <f t="shared" si="332"/>
        <v>0.15685492248688682</v>
      </c>
      <c r="S862" s="4">
        <f t="shared" si="349"/>
        <v>0.11678192236630883</v>
      </c>
      <c r="T862" s="5">
        <f t="shared" si="333"/>
        <v>9.7176611661389967E-2</v>
      </c>
      <c r="U862" s="4">
        <f t="shared" si="334"/>
        <v>0</v>
      </c>
      <c r="V862" s="4">
        <f t="shared" si="335"/>
        <v>0</v>
      </c>
      <c r="W862" s="5">
        <f t="shared" si="336"/>
        <v>0</v>
      </c>
      <c r="X862" s="5">
        <f t="shared" si="337"/>
        <v>-11.281915026935065</v>
      </c>
      <c r="Y862" s="5">
        <f t="shared" si="338"/>
        <v>12.113323036674517</v>
      </c>
      <c r="Z862" s="5">
        <f>1</f>
        <v>1</v>
      </c>
      <c r="AA862" s="5">
        <f>IF(M862=0,0,const*($T862/omega)*O862*(wy*I862-wz*(H862-V862))/Z862)</f>
        <v>0</v>
      </c>
      <c r="AB862" s="5">
        <f>IF(M862=0,0,const*($T862/omega)*O862*(wz*(G862-U862)-wx*I862)/Z862)</f>
        <v>7.5045887626656897</v>
      </c>
      <c r="AC862" s="5">
        <f>IF(M862=0,0,const*($T862/omega)*O862*(wx*(H862-V862)-wy*(G862-U862))/Z862)</f>
        <v>6.9895050661283742</v>
      </c>
      <c r="AD862" s="5">
        <f t="shared" si="351"/>
        <v>0</v>
      </c>
      <c r="AE862" s="5">
        <f t="shared" si="351"/>
        <v>-3.7773262642693757</v>
      </c>
      <c r="AF862" s="5">
        <f t="shared" si="339"/>
        <v>-13.071171897197107</v>
      </c>
      <c r="AG862">
        <f t="shared" si="350"/>
        <v>0</v>
      </c>
    </row>
    <row r="863" spans="1:33" x14ac:dyDescent="0.2">
      <c r="A863">
        <f t="shared" si="340"/>
        <v>8.3099999999998673</v>
      </c>
      <c r="B863" s="5">
        <f t="shared" si="341"/>
        <v>0</v>
      </c>
      <c r="C863" s="5">
        <f t="shared" si="342"/>
        <v>1114.7399004344395</v>
      </c>
      <c r="D863" s="5">
        <f t="shared" si="343"/>
        <v>-248.80163358562203</v>
      </c>
      <c r="E863" s="2">
        <f t="shared" si="325"/>
        <v>371.57996681147984</v>
      </c>
      <c r="F863" s="2">
        <f t="shared" si="344"/>
        <v>0</v>
      </c>
      <c r="G863" s="3">
        <f t="shared" si="345"/>
        <v>0</v>
      </c>
      <c r="H863" s="3">
        <f t="shared" si="346"/>
        <v>92.841981689016009</v>
      </c>
      <c r="I863" s="3">
        <f t="shared" si="347"/>
        <v>-99.855135507887894</v>
      </c>
      <c r="J863" s="2">
        <f t="shared" si="326"/>
        <v>136.34764996596837</v>
      </c>
      <c r="K863" s="2">
        <f t="shared" si="348"/>
        <v>92.943183344218383</v>
      </c>
      <c r="L863" s="5">
        <f t="shared" si="327"/>
        <v>25.665417131182569</v>
      </c>
      <c r="M863" s="3">
        <f t="shared" si="328"/>
        <v>15.905931875043613</v>
      </c>
      <c r="N863" s="2">
        <v>0</v>
      </c>
      <c r="O863" s="2">
        <f t="shared" si="329"/>
        <v>136.34764996596837</v>
      </c>
      <c r="P863" s="2">
        <f t="shared" si="330"/>
        <v>92.943183344218383</v>
      </c>
      <c r="Q863" s="5">
        <f t="shared" si="331"/>
        <v>1.1491341307610359</v>
      </c>
      <c r="R863" s="5">
        <f t="shared" si="332"/>
        <v>0.15682888532456524</v>
      </c>
      <c r="S863" s="4">
        <f t="shared" si="349"/>
        <v>0.11665717655576496</v>
      </c>
      <c r="T863" s="5">
        <f t="shared" si="333"/>
        <v>9.7135076937956671E-2</v>
      </c>
      <c r="U863" s="4">
        <f t="shared" si="334"/>
        <v>0</v>
      </c>
      <c r="V863" s="4">
        <f t="shared" si="335"/>
        <v>0</v>
      </c>
      <c r="W863" s="5">
        <f t="shared" si="336"/>
        <v>0</v>
      </c>
      <c r="X863" s="5">
        <f t="shared" si="337"/>
        <v>-11.281242968938487</v>
      </c>
      <c r="Y863" s="5">
        <f t="shared" si="338"/>
        <v>12.133412329931272</v>
      </c>
      <c r="Z863" s="5">
        <f>1</f>
        <v>1</v>
      </c>
      <c r="AA863" s="5">
        <f>IF(M863=0,0,const*($T863/omega)*O863*(wy*I863-wz*(H863-V863))/Z863)</f>
        <v>0</v>
      </c>
      <c r="AB863" s="5">
        <f>IF(M863=0,0,const*($T863/omega)*O863*(wz*(G863-U863)-wx*I863)/Z863)</f>
        <v>7.5150692919145348</v>
      </c>
      <c r="AC863" s="5">
        <f>IF(M863=0,0,const*($T863/omega)*O863*(wx*(H863-V863)-wy*(G863-U863))/Z863)</f>
        <v>6.9872613165349016</v>
      </c>
      <c r="AD863" s="5">
        <f t="shared" si="351"/>
        <v>0</v>
      </c>
      <c r="AE863" s="5">
        <f t="shared" si="351"/>
        <v>-3.7661736770239527</v>
      </c>
      <c r="AF863" s="5">
        <f t="shared" si="339"/>
        <v>-13.053326353533826</v>
      </c>
      <c r="AG863">
        <f t="shared" si="350"/>
        <v>0</v>
      </c>
    </row>
    <row r="864" spans="1:33" x14ac:dyDescent="0.2">
      <c r="A864">
        <f t="shared" si="340"/>
        <v>8.3199999999998671</v>
      </c>
      <c r="B864" s="5">
        <f t="shared" si="341"/>
        <v>0</v>
      </c>
      <c r="C864" s="5">
        <f t="shared" si="342"/>
        <v>1115.6681319426459</v>
      </c>
      <c r="D864" s="5">
        <f t="shared" si="343"/>
        <v>-249.80083760701859</v>
      </c>
      <c r="E864" s="2">
        <f t="shared" ref="E864:E927" si="352">SQRT(B864^2+C864^2)/3</f>
        <v>371.88937731421532</v>
      </c>
      <c r="F864" s="2">
        <f t="shared" si="344"/>
        <v>0</v>
      </c>
      <c r="G864" s="3">
        <f t="shared" si="345"/>
        <v>0</v>
      </c>
      <c r="H864" s="3">
        <f t="shared" si="346"/>
        <v>92.804319952245763</v>
      </c>
      <c r="I864" s="3">
        <f t="shared" si="347"/>
        <v>-99.985668771423235</v>
      </c>
      <c r="J864" s="2">
        <f t="shared" ref="J864:J927" si="353">SQRT(G864^2+H864^2+I864^2)</f>
        <v>136.41765194236251</v>
      </c>
      <c r="K864" s="2">
        <f t="shared" si="348"/>
        <v>92.990901119538179</v>
      </c>
      <c r="L864" s="5">
        <f t="shared" ref="L864:L927" si="354">1/(0.00002*J864/(circ/(2*PI()*12)))</f>
        <v>25.652247061924069</v>
      </c>
      <c r="M864" s="3">
        <f t="shared" ref="M864:M927" si="355">romega*EXP(-A864/L864)</f>
        <v>15.89708965465355</v>
      </c>
      <c r="N864" s="2">
        <v>0</v>
      </c>
      <c r="O864" s="2">
        <f t="shared" ref="O864:O927" si="356">IF(D864&gt;=hwind,SQRT((G864-vxw)^2+(H864-vyw)^2+I864^2),J864)</f>
        <v>136.41765194236251</v>
      </c>
      <c r="P864" s="2">
        <f t="shared" ref="P864:P927" si="357">J864/1.467</f>
        <v>92.990901119538179</v>
      </c>
      <c r="Q864" s="5">
        <f t="shared" ref="Q864:Q927" si="358">(P864/100)*Re_100*0.00001</f>
        <v>1.1497241054347125</v>
      </c>
      <c r="R864" s="5">
        <f t="shared" ref="R864:R927" si="359">IF(Q864&lt;=ReLow,CdL,IF(Q864&lt;ReHigh,CdL+(CdH-CdL)*(Q864-ReLow)/(ReHigh-ReLow),CdH))+CdS*S864</f>
        <v>0.15680286205062471</v>
      </c>
      <c r="S864" s="4">
        <f t="shared" si="349"/>
        <v>0.11653249728539669</v>
      </c>
      <c r="T864" s="5">
        <f t="shared" ref="T864:T927" si="360">ClAmp*S864^0.4</f>
        <v>9.7093537733408994E-2</v>
      </c>
      <c r="U864" s="4">
        <f t="shared" ref="U864:U927" si="361">IF(D864&gt;=hwind,vxw,0)</f>
        <v>0</v>
      </c>
      <c r="V864" s="4">
        <f t="shared" ref="V864:V927" si="362">IF(D864&gt;=hwind,vyw,0)</f>
        <v>0</v>
      </c>
      <c r="W864" s="5">
        <f t="shared" ref="W864:W927" si="363">-const*$R864*$O864*(G864-U864)</f>
        <v>0</v>
      </c>
      <c r="X864" s="5">
        <f t="shared" ref="X864:X927" si="364">-const*$R864*$O864*(H864-V864)</f>
        <v>-11.280584071555932</v>
      </c>
      <c r="Y864" s="5">
        <f t="shared" ref="Y864:Y927" si="365">-const*$R864*$O864*I864</f>
        <v>12.153493965659843</v>
      </c>
      <c r="Z864" s="5">
        <f>1</f>
        <v>1</v>
      </c>
      <c r="AA864" s="5">
        <f>IF(M864=0,0,const*($T864/omega)*O864*(wy*I864-wz*(H864-V864))/Z864)</f>
        <v>0</v>
      </c>
      <c r="AB864" s="5">
        <f>IF(M864=0,0,const*($T864/omega)*O864*(wz*(G864-U864)-wx*I864)/Z864)</f>
        <v>7.5255369035711492</v>
      </c>
      <c r="AC864" s="5">
        <f>IF(M864=0,0,const*($T864/omega)*O864*(wx*(H864-V864)-wy*(G864-U864))/Z864)</f>
        <v>6.9850243859253887</v>
      </c>
      <c r="AD864" s="5">
        <f t="shared" si="351"/>
        <v>0</v>
      </c>
      <c r="AE864" s="5">
        <f t="shared" si="351"/>
        <v>-3.7550471679847828</v>
      </c>
      <c r="AF864" s="5">
        <f t="shared" ref="AF864:AF927" si="366">Y864+AC864-32.174</f>
        <v>-13.035481648414766</v>
      </c>
      <c r="AG864">
        <f t="shared" si="350"/>
        <v>0</v>
      </c>
    </row>
    <row r="865" spans="1:33" x14ac:dyDescent="0.2">
      <c r="A865">
        <f t="shared" ref="A865:A928" si="367">A864+dt</f>
        <v>8.3299999999998668</v>
      </c>
      <c r="B865" s="5">
        <f t="shared" ref="B865:B928" si="368">B864+G864*dt+0.5*AD864*dt*dt</f>
        <v>0</v>
      </c>
      <c r="C865" s="5">
        <f t="shared" ref="C865:C928" si="369">C864+H864*dt+0.5*AE864*dt*dt</f>
        <v>1116.59598738981</v>
      </c>
      <c r="D865" s="5">
        <f t="shared" ref="D865:D928" si="370">D864+I864*dt+0.5*AF864*dt*dt</f>
        <v>-250.80134606881526</v>
      </c>
      <c r="E865" s="2">
        <f t="shared" si="352"/>
        <v>372.19866246327001</v>
      </c>
      <c r="F865" s="2">
        <f t="shared" ref="F865:F928" si="371">ATAN2(C865,B865)*180/PI()</f>
        <v>0</v>
      </c>
      <c r="G865" s="3">
        <f t="shared" ref="G865:G928" si="372">G864+AD864*dt</f>
        <v>0</v>
      </c>
      <c r="H865" s="3">
        <f t="shared" ref="H865:H928" si="373">H864+AE864*dt</f>
        <v>92.766769480565912</v>
      </c>
      <c r="I865" s="3">
        <f t="shared" ref="I865:I928" si="374">I864+AF864*dt</f>
        <v>-100.11602358790738</v>
      </c>
      <c r="J865" s="2">
        <f t="shared" si="353"/>
        <v>136.48769797646557</v>
      </c>
      <c r="K865" s="2">
        <f t="shared" ref="K865:K928" si="375">J865/1.467</f>
        <v>93.038648927379384</v>
      </c>
      <c r="L865" s="5">
        <f t="shared" si="354"/>
        <v>25.639082225831444</v>
      </c>
      <c r="M865" s="3">
        <f t="shared" si="355"/>
        <v>15.888244326907122</v>
      </c>
      <c r="N865" s="2">
        <v>0</v>
      </c>
      <c r="O865" s="2">
        <f t="shared" si="356"/>
        <v>136.48769797646557</v>
      </c>
      <c r="P865" s="2">
        <f t="shared" si="357"/>
        <v>93.038648927379384</v>
      </c>
      <c r="Q865" s="5">
        <f t="shared" si="358"/>
        <v>1.1503144514255113</v>
      </c>
      <c r="R865" s="5">
        <f t="shared" si="359"/>
        <v>0.15677685287557536</v>
      </c>
      <c r="S865" s="4">
        <f t="shared" ref="S865:S928" si="376">(M865/O865)</f>
        <v>0.11640788556377231</v>
      </c>
      <c r="T865" s="5">
        <f t="shared" si="360"/>
        <v>9.7051994381165643E-2</v>
      </c>
      <c r="U865" s="4">
        <f t="shared" si="361"/>
        <v>0</v>
      </c>
      <c r="V865" s="4">
        <f t="shared" si="362"/>
        <v>0</v>
      </c>
      <c r="W865" s="5">
        <f t="shared" si="363"/>
        <v>0</v>
      </c>
      <c r="X865" s="5">
        <f t="shared" si="364"/>
        <v>-11.279938258843799</v>
      </c>
      <c r="Y865" s="5">
        <f t="shared" si="365"/>
        <v>12.173567874745567</v>
      </c>
      <c r="Z865" s="5">
        <f>1</f>
        <v>1</v>
      </c>
      <c r="AA865" s="5">
        <f>IF(M865=0,0,const*($T865/omega)*O865*(wy*I865-wz*(H865-V865))/Z865)</f>
        <v>0</v>
      </c>
      <c r="AB865" s="5">
        <f>IF(M865=0,0,const*($T865/omega)*O865*(wz*(G865-U865)-wx*I865)/Z865)</f>
        <v>7.5359915657715648</v>
      </c>
      <c r="AC865" s="5">
        <f>IF(M865=0,0,const*($T865/omega)*O865*(wx*(H865-V865)-wy*(G865-U865))/Z865)</f>
        <v>6.9827942354859971</v>
      </c>
      <c r="AD865" s="5">
        <f t="shared" si="351"/>
        <v>0</v>
      </c>
      <c r="AE865" s="5">
        <f t="shared" si="351"/>
        <v>-3.7439466930722345</v>
      </c>
      <c r="AF865" s="5">
        <f t="shared" si="366"/>
        <v>-13.017637889768437</v>
      </c>
      <c r="AG865">
        <f t="shared" si="350"/>
        <v>0</v>
      </c>
    </row>
    <row r="866" spans="1:33" x14ac:dyDescent="0.2">
      <c r="A866">
        <f t="shared" si="367"/>
        <v>8.3399999999998666</v>
      </c>
      <c r="B866" s="5">
        <f t="shared" si="368"/>
        <v>0</v>
      </c>
      <c r="C866" s="5">
        <f t="shared" si="369"/>
        <v>1117.523467887281</v>
      </c>
      <c r="D866" s="5">
        <f t="shared" si="370"/>
        <v>-251.80315718658883</v>
      </c>
      <c r="E866" s="2">
        <f t="shared" si="352"/>
        <v>372.50782262909365</v>
      </c>
      <c r="F866" s="2">
        <f t="shared" si="371"/>
        <v>0</v>
      </c>
      <c r="G866" s="3">
        <f t="shared" si="372"/>
        <v>0</v>
      </c>
      <c r="H866" s="3">
        <f t="shared" si="373"/>
        <v>92.729330013635192</v>
      </c>
      <c r="I866" s="3">
        <f t="shared" si="374"/>
        <v>-100.24619996680507</v>
      </c>
      <c r="J866" s="2">
        <f t="shared" si="353"/>
        <v>136.55778722783381</v>
      </c>
      <c r="K866" s="2">
        <f t="shared" si="375"/>
        <v>93.086426194842403</v>
      </c>
      <c r="L866" s="5">
        <f t="shared" si="354"/>
        <v>25.625922785308443</v>
      </c>
      <c r="M866" s="3">
        <f t="shared" si="355"/>
        <v>15.879395928272368</v>
      </c>
      <c r="N866" s="2">
        <v>0</v>
      </c>
      <c r="O866" s="2">
        <f t="shared" si="356"/>
        <v>136.55778722783381</v>
      </c>
      <c r="P866" s="2">
        <f t="shared" si="357"/>
        <v>93.086426194842403</v>
      </c>
      <c r="Q866" s="5">
        <f t="shared" si="358"/>
        <v>1.1509051616501969</v>
      </c>
      <c r="R866" s="5">
        <f t="shared" si="359"/>
        <v>0.15675085800800997</v>
      </c>
      <c r="S866" s="4">
        <f t="shared" si="376"/>
        <v>0.11628334239027388</v>
      </c>
      <c r="T866" s="5">
        <f t="shared" si="360"/>
        <v>9.7010447212440676E-2</v>
      </c>
      <c r="U866" s="4">
        <f t="shared" si="361"/>
        <v>0</v>
      </c>
      <c r="V866" s="4">
        <f t="shared" si="362"/>
        <v>0</v>
      </c>
      <c r="W866" s="5">
        <f t="shared" si="363"/>
        <v>0</v>
      </c>
      <c r="X866" s="5">
        <f t="shared" si="364"/>
        <v>-11.279305455254585</v>
      </c>
      <c r="Y866" s="5">
        <f t="shared" si="365"/>
        <v>12.193633988166029</v>
      </c>
      <c r="Z866" s="5">
        <f>1</f>
        <v>1</v>
      </c>
      <c r="AA866" s="5">
        <f>IF(M866=0,0,const*($T866/omega)*O866*(wy*I866-wz*(H866-V866))/Z866)</f>
        <v>0</v>
      </c>
      <c r="AB866" s="5">
        <f>IF(M866=0,0,const*($T866/omega)*O866*(wz*(G866-U866)-wx*I866)/Z866)</f>
        <v>7.5464332468046598</v>
      </c>
      <c r="AC866" s="5">
        <f>IF(M866=0,0,const*($T866/omega)*O866*(wx*(H866-V866)-wy*(G866-U866))/Z866)</f>
        <v>6.9805708266302107</v>
      </c>
      <c r="AD866" s="5">
        <f t="shared" si="351"/>
        <v>0</v>
      </c>
      <c r="AE866" s="5">
        <f t="shared" si="351"/>
        <v>-3.7328722084499253</v>
      </c>
      <c r="AF866" s="5">
        <f t="shared" si="366"/>
        <v>-12.999795185203759</v>
      </c>
      <c r="AG866">
        <f t="shared" ref="AG866:AG929" si="377">IF($D866*$D867&lt;0,1,0)</f>
        <v>0</v>
      </c>
    </row>
    <row r="867" spans="1:33" x14ac:dyDescent="0.2">
      <c r="A867">
        <f t="shared" si="367"/>
        <v>8.3499999999998664</v>
      </c>
      <c r="B867" s="5">
        <f t="shared" si="368"/>
        <v>0</v>
      </c>
      <c r="C867" s="5">
        <f t="shared" si="369"/>
        <v>1118.4505745438069</v>
      </c>
      <c r="D867" s="5">
        <f t="shared" si="370"/>
        <v>-252.80626917601614</v>
      </c>
      <c r="E867" s="2">
        <f t="shared" si="352"/>
        <v>372.81685818126897</v>
      </c>
      <c r="F867" s="2">
        <f t="shared" si="371"/>
        <v>0</v>
      </c>
      <c r="G867" s="3">
        <f t="shared" si="372"/>
        <v>0</v>
      </c>
      <c r="H867" s="3">
        <f t="shared" si="373"/>
        <v>92.692001291550696</v>
      </c>
      <c r="I867" s="3">
        <f t="shared" si="374"/>
        <v>-100.3761979186571</v>
      </c>
      <c r="J867" s="2">
        <f t="shared" si="353"/>
        <v>136.62791886008606</v>
      </c>
      <c r="K867" s="2">
        <f t="shared" si="375"/>
        <v>93.134232351796896</v>
      </c>
      <c r="L867" s="5">
        <f t="shared" si="354"/>
        <v>25.612768901329989</v>
      </c>
      <c r="M867" s="3">
        <f t="shared" si="355"/>
        <v>15.870544495157153</v>
      </c>
      <c r="N867" s="2">
        <v>0</v>
      </c>
      <c r="O867" s="2">
        <f t="shared" si="356"/>
        <v>136.62791886008606</v>
      </c>
      <c r="P867" s="2">
        <f t="shared" si="357"/>
        <v>93.134232351796896</v>
      </c>
      <c r="Q867" s="5">
        <f t="shared" si="358"/>
        <v>1.1514962290597719</v>
      </c>
      <c r="R867" s="5">
        <f t="shared" si="359"/>
        <v>0.15672487765461363</v>
      </c>
      <c r="S867" s="4">
        <f t="shared" si="376"/>
        <v>0.11615886875514365</v>
      </c>
      <c r="T867" s="5">
        <f t="shared" si="360"/>
        <v>9.6968896556251669E-2</v>
      </c>
      <c r="U867" s="4">
        <f t="shared" si="361"/>
        <v>0</v>
      </c>
      <c r="V867" s="4">
        <f t="shared" si="362"/>
        <v>0</v>
      </c>
      <c r="W867" s="5">
        <f t="shared" si="363"/>
        <v>0</v>
      </c>
      <c r="X867" s="5">
        <f t="shared" si="364"/>
        <v>-11.27868558563463</v>
      </c>
      <c r="Y867" s="5">
        <f t="shared" si="365"/>
        <v>12.213692236993095</v>
      </c>
      <c r="Z867" s="5">
        <f>1</f>
        <v>1</v>
      </c>
      <c r="AA867" s="5">
        <f>IF(M867=0,0,const*($T867/omega)*O867*(wy*I867-wz*(H867-V867))/Z867)</f>
        <v>0</v>
      </c>
      <c r="AB867" s="5">
        <f>IF(M867=0,0,const*($T867/omega)*O867*(wz*(G867-U867)-wx*I867)/Z867)</f>
        <v>7.5568619151128944</v>
      </c>
      <c r="AC867" s="5">
        <f>IF(M867=0,0,const*($T867/omega)*O867*(wx*(H867-V867)-wy*(G867-U867))/Z867)</f>
        <v>6.978354120997432</v>
      </c>
      <c r="AD867" s="5">
        <f t="shared" si="351"/>
        <v>0</v>
      </c>
      <c r="AE867" s="5">
        <f t="shared" si="351"/>
        <v>-3.7218236705217356</v>
      </c>
      <c r="AF867" s="5">
        <f t="shared" si="366"/>
        <v>-12.981953642009472</v>
      </c>
      <c r="AG867">
        <f t="shared" si="377"/>
        <v>0</v>
      </c>
    </row>
    <row r="868" spans="1:33" x14ac:dyDescent="0.2">
      <c r="A868">
        <f t="shared" si="367"/>
        <v>8.3599999999998662</v>
      </c>
      <c r="B868" s="5">
        <f t="shared" si="368"/>
        <v>0</v>
      </c>
      <c r="C868" s="5">
        <f t="shared" si="369"/>
        <v>1119.377308465539</v>
      </c>
      <c r="D868" s="5">
        <f t="shared" si="370"/>
        <v>-253.81068025288482</v>
      </c>
      <c r="E868" s="2">
        <f t="shared" si="352"/>
        <v>373.12576948851301</v>
      </c>
      <c r="F868" s="2">
        <f t="shared" si="371"/>
        <v>0</v>
      </c>
      <c r="G868" s="3">
        <f t="shared" si="372"/>
        <v>0</v>
      </c>
      <c r="H868" s="3">
        <f t="shared" si="373"/>
        <v>92.654783054845481</v>
      </c>
      <c r="I868" s="3">
        <f t="shared" si="374"/>
        <v>-100.5060174550772</v>
      </c>
      <c r="J868" s="2">
        <f t="shared" si="353"/>
        <v>136.69809204089415</v>
      </c>
      <c r="K868" s="2">
        <f t="shared" si="375"/>
        <v>93.182066830875357</v>
      </c>
      <c r="L868" s="5">
        <f t="shared" si="354"/>
        <v>25.599620733449402</v>
      </c>
      <c r="M868" s="3">
        <f t="shared" si="355"/>
        <v>15.861690063908551</v>
      </c>
      <c r="N868" s="2">
        <v>0</v>
      </c>
      <c r="O868" s="2">
        <f t="shared" si="356"/>
        <v>136.69809204089415</v>
      </c>
      <c r="P868" s="2">
        <f t="shared" si="357"/>
        <v>93.182066830875357</v>
      </c>
      <c r="Q868" s="5">
        <f t="shared" si="358"/>
        <v>1.1520876466393986</v>
      </c>
      <c r="R868" s="5">
        <f t="shared" si="359"/>
        <v>0.15669891202017344</v>
      </c>
      <c r="S868" s="4">
        <f t="shared" si="376"/>
        <v>0.11603446563953079</v>
      </c>
      <c r="T868" s="5">
        <f t="shared" si="360"/>
        <v>9.692734273942806E-2</v>
      </c>
      <c r="U868" s="4">
        <f t="shared" si="361"/>
        <v>0</v>
      </c>
      <c r="V868" s="4">
        <f t="shared" si="362"/>
        <v>0</v>
      </c>
      <c r="W868" s="5">
        <f t="shared" si="363"/>
        <v>0</v>
      </c>
      <c r="X868" s="5">
        <f t="shared" si="364"/>
        <v>-11.278078575221921</v>
      </c>
      <c r="Y868" s="5">
        <f t="shared" si="365"/>
        <v>12.233742552394959</v>
      </c>
      <c r="Z868" s="5">
        <f>1</f>
        <v>1</v>
      </c>
      <c r="AA868" s="5">
        <f>IF(M868=0,0,const*($T868/omega)*O868*(wy*I868-wz*(H868-V868))/Z868)</f>
        <v>0</v>
      </c>
      <c r="AB868" s="5">
        <f>IF(M868=0,0,const*($T868/omega)*O868*(wz*(G868-U868)-wx*I868)/Z868)</f>
        <v>7.5672775392930198</v>
      </c>
      <c r="AC868" s="5">
        <f>IF(M868=0,0,const*($T868/omega)*O868*(wx*(H868-V868)-wy*(G868-U868))/Z868)</f>
        <v>6.9761440804515775</v>
      </c>
      <c r="AD868" s="5">
        <f t="shared" si="351"/>
        <v>0</v>
      </c>
      <c r="AE868" s="5">
        <f t="shared" si="351"/>
        <v>-3.7108010359289008</v>
      </c>
      <c r="AF868" s="5">
        <f t="shared" si="366"/>
        <v>-12.964113367153463</v>
      </c>
      <c r="AG868">
        <f t="shared" si="377"/>
        <v>0</v>
      </c>
    </row>
    <row r="869" spans="1:33" x14ac:dyDescent="0.2">
      <c r="A869">
        <f t="shared" si="367"/>
        <v>8.369999999999866</v>
      </c>
      <c r="B869" s="5">
        <f t="shared" si="368"/>
        <v>0</v>
      </c>
      <c r="C869" s="5">
        <f t="shared" si="369"/>
        <v>1120.3036707560359</v>
      </c>
      <c r="D869" s="5">
        <f t="shared" si="370"/>
        <v>-254.81638863310397</v>
      </c>
      <c r="E869" s="2">
        <f t="shared" si="352"/>
        <v>373.43455691867865</v>
      </c>
      <c r="F869" s="2">
        <f t="shared" si="371"/>
        <v>0</v>
      </c>
      <c r="G869" s="3">
        <f t="shared" si="372"/>
        <v>0</v>
      </c>
      <c r="H869" s="3">
        <f t="shared" si="373"/>
        <v>92.617675044486191</v>
      </c>
      <c r="I869" s="3">
        <f t="shared" si="374"/>
        <v>-100.63565858874874</v>
      </c>
      <c r="J869" s="2">
        <f t="shared" si="353"/>
        <v>136.76830594197341</v>
      </c>
      <c r="K869" s="2">
        <f t="shared" si="375"/>
        <v>93.229929067466529</v>
      </c>
      <c r="L869" s="5">
        <f t="shared" si="354"/>
        <v>25.586478439805674</v>
      </c>
      <c r="M869" s="3">
        <f t="shared" si="355"/>
        <v>15.852832670812216</v>
      </c>
      <c r="N869" s="2">
        <v>0</v>
      </c>
      <c r="O869" s="2">
        <f t="shared" si="356"/>
        <v>136.76830594197341</v>
      </c>
      <c r="P869" s="2">
        <f t="shared" si="357"/>
        <v>93.229929067466529</v>
      </c>
      <c r="Q869" s="5">
        <f t="shared" si="358"/>
        <v>1.1526794074083169</v>
      </c>
      <c r="R869" s="5">
        <f t="shared" si="359"/>
        <v>0.1566729613075884</v>
      </c>
      <c r="S869" s="4">
        <f t="shared" si="376"/>
        <v>0.11591013401553782</v>
      </c>
      <c r="T869" s="5">
        <f t="shared" si="360"/>
        <v>9.688578608661931E-2</v>
      </c>
      <c r="U869" s="4">
        <f t="shared" si="361"/>
        <v>0</v>
      </c>
      <c r="V869" s="4">
        <f t="shared" si="362"/>
        <v>0</v>
      </c>
      <c r="W869" s="5">
        <f t="shared" si="363"/>
        <v>0</v>
      </c>
      <c r="X869" s="5">
        <f t="shared" si="364"/>
        <v>-11.277484349643871</v>
      </c>
      <c r="Y869" s="5">
        <f t="shared" si="365"/>
        <v>12.253784865638158</v>
      </c>
      <c r="Z869" s="5">
        <f>1</f>
        <v>1</v>
      </c>
      <c r="AA869" s="5">
        <f>IF(M869=0,0,const*($T869/omega)*O869*(wy*I869-wz*(H869-V869))/Z869)</f>
        <v>0</v>
      </c>
      <c r="AB869" s="5">
        <f>IF(M869=0,0,const*($T869/omega)*O869*(wz*(G869-U869)-wx*I869)/Z869)</f>
        <v>7.5776800880967929</v>
      </c>
      <c r="AC869" s="5">
        <f>IF(M869=0,0,const*($T869/omega)*O869*(wx*(H869-V869)-wy*(G869-U869))/Z869)</f>
        <v>6.97394066707969</v>
      </c>
      <c r="AD869" s="5">
        <f t="shared" si="351"/>
        <v>0</v>
      </c>
      <c r="AE869" s="5">
        <f t="shared" si="351"/>
        <v>-3.6998042615470776</v>
      </c>
      <c r="AF869" s="5">
        <f t="shared" si="366"/>
        <v>-12.946274467282151</v>
      </c>
      <c r="AG869">
        <f t="shared" si="377"/>
        <v>0</v>
      </c>
    </row>
    <row r="870" spans="1:33" x14ac:dyDescent="0.2">
      <c r="A870">
        <f t="shared" si="367"/>
        <v>8.3799999999998658</v>
      </c>
      <c r="B870" s="5">
        <f t="shared" si="368"/>
        <v>0</v>
      </c>
      <c r="C870" s="5">
        <f t="shared" si="369"/>
        <v>1121.2296625162678</v>
      </c>
      <c r="D870" s="5">
        <f t="shared" si="370"/>
        <v>-255.82339253271482</v>
      </c>
      <c r="E870" s="2">
        <f t="shared" si="352"/>
        <v>373.74322083875592</v>
      </c>
      <c r="F870" s="2">
        <f t="shared" si="371"/>
        <v>0</v>
      </c>
      <c r="G870" s="3">
        <f t="shared" si="372"/>
        <v>0</v>
      </c>
      <c r="H870" s="3">
        <f t="shared" si="373"/>
        <v>92.580677001870725</v>
      </c>
      <c r="I870" s="3">
        <f t="shared" si="374"/>
        <v>-100.76512133342156</v>
      </c>
      <c r="J870" s="2">
        <f t="shared" si="353"/>
        <v>136.83855973907313</v>
      </c>
      <c r="K870" s="2">
        <f t="shared" si="375"/>
        <v>93.277818499709014</v>
      </c>
      <c r="L870" s="5">
        <f t="shared" si="354"/>
        <v>25.573342177130634</v>
      </c>
      <c r="M870" s="3">
        <f t="shared" si="355"/>
        <v>15.84397235209177</v>
      </c>
      <c r="N870" s="2">
        <v>0</v>
      </c>
      <c r="O870" s="2">
        <f t="shared" si="356"/>
        <v>136.83855973907313</v>
      </c>
      <c r="P870" s="2">
        <f t="shared" si="357"/>
        <v>93.277818499709014</v>
      </c>
      <c r="Q870" s="5">
        <f t="shared" si="358"/>
        <v>1.153271504419765</v>
      </c>
      <c r="R870" s="5">
        <f t="shared" si="359"/>
        <v>0.15664702571787889</v>
      </c>
      <c r="S870" s="4">
        <f t="shared" si="376"/>
        <v>0.11578587484626714</v>
      </c>
      <c r="T870" s="5">
        <f t="shared" si="360"/>
        <v>9.6844226920303131E-2</v>
      </c>
      <c r="U870" s="4">
        <f t="shared" si="361"/>
        <v>0</v>
      </c>
      <c r="V870" s="4">
        <f t="shared" si="362"/>
        <v>0</v>
      </c>
      <c r="W870" s="5">
        <f t="shared" si="363"/>
        <v>0</v>
      </c>
      <c r="X870" s="5">
        <f t="shared" si="364"/>
        <v>-11.276902834915152</v>
      </c>
      <c r="Y870" s="5">
        <f t="shared" si="365"/>
        <v>12.273819108089585</v>
      </c>
      <c r="Z870" s="5">
        <f>1</f>
        <v>1</v>
      </c>
      <c r="AA870" s="5">
        <f>IF(M870=0,0,const*($T870/omega)*O870*(wy*I870-wz*(H870-V870))/Z870)</f>
        <v>0</v>
      </c>
      <c r="AB870" s="5">
        <f>IF(M870=0,0,const*($T870/omega)*O870*(wz*(G870-U870)-wx*I870)/Z870)</f>
        <v>7.5880695304316523</v>
      </c>
      <c r="AC870" s="5">
        <f>IF(M870=0,0,const*($T870/omega)*O870*(wx*(H870-V870)-wy*(G870-U870))/Z870)</f>
        <v>6.9717438431905423</v>
      </c>
      <c r="AD870" s="5">
        <f t="shared" si="351"/>
        <v>0</v>
      </c>
      <c r="AE870" s="5">
        <f t="shared" si="351"/>
        <v>-3.6888333044834996</v>
      </c>
      <c r="AF870" s="5">
        <f t="shared" si="366"/>
        <v>-12.928437048719871</v>
      </c>
      <c r="AG870">
        <f t="shared" si="377"/>
        <v>0</v>
      </c>
    </row>
    <row r="871" spans="1:33" x14ac:dyDescent="0.2">
      <c r="A871">
        <f t="shared" si="367"/>
        <v>8.3899999999998656</v>
      </c>
      <c r="B871" s="5">
        <f t="shared" si="368"/>
        <v>0</v>
      </c>
      <c r="C871" s="5">
        <f t="shared" si="369"/>
        <v>1122.1552848446213</v>
      </c>
      <c r="D871" s="5">
        <f t="shared" si="370"/>
        <v>-256.83169016790146</v>
      </c>
      <c r="E871" s="2">
        <f t="shared" si="352"/>
        <v>374.05176161487378</v>
      </c>
      <c r="F871" s="2">
        <f t="shared" si="371"/>
        <v>0</v>
      </c>
      <c r="G871" s="3">
        <f t="shared" si="372"/>
        <v>0</v>
      </c>
      <c r="H871" s="3">
        <f t="shared" si="373"/>
        <v>92.543788668825897</v>
      </c>
      <c r="I871" s="3">
        <f t="shared" si="374"/>
        <v>-100.89440570390876</v>
      </c>
      <c r="J871" s="2">
        <f t="shared" si="353"/>
        <v>136.90885261196681</v>
      </c>
      <c r="K871" s="2">
        <f t="shared" si="375"/>
        <v>93.325734568484521</v>
      </c>
      <c r="L871" s="5">
        <f t="shared" si="354"/>
        <v>25.56021210075626</v>
      </c>
      <c r="M871" s="3">
        <f t="shared" si="355"/>
        <v>15.835109143908202</v>
      </c>
      <c r="N871" s="2">
        <v>0</v>
      </c>
      <c r="O871" s="2">
        <f t="shared" si="356"/>
        <v>136.90885261196681</v>
      </c>
      <c r="P871" s="2">
        <f t="shared" si="357"/>
        <v>93.325734568484521</v>
      </c>
      <c r="Q871" s="5">
        <f t="shared" si="358"/>
        <v>1.1538639307608978</v>
      </c>
      <c r="R871" s="5">
        <f t="shared" si="359"/>
        <v>0.15662110545019656</v>
      </c>
      <c r="S871" s="4">
        <f t="shared" si="376"/>
        <v>0.11566168908586778</v>
      </c>
      <c r="T871" s="5">
        <f t="shared" si="360"/>
        <v>9.6802665560793907E-2</v>
      </c>
      <c r="U871" s="4">
        <f t="shared" si="361"/>
        <v>0</v>
      </c>
      <c r="V871" s="4">
        <f t="shared" si="362"/>
        <v>0</v>
      </c>
      <c r="W871" s="5">
        <f t="shared" si="363"/>
        <v>0</v>
      </c>
      <c r="X871" s="5">
        <f t="shared" si="364"/>
        <v>-11.276333957435471</v>
      </c>
      <c r="Y871" s="5">
        <f t="shared" si="365"/>
        <v>12.293845211218448</v>
      </c>
      <c r="Z871" s="5">
        <f>1</f>
        <v>1</v>
      </c>
      <c r="AA871" s="5">
        <f>IF(M871=0,0,const*($T871/omega)*O871*(wy*I871-wz*(H871-V871))/Z871)</f>
        <v>0</v>
      </c>
      <c r="AB871" s="5">
        <f>IF(M871=0,0,const*($T871/omega)*O871*(wz*(G871-U871)-wx*I871)/Z871)</f>
        <v>7.5984458353614155</v>
      </c>
      <c r="AC871" s="5">
        <f>IF(M871=0,0,const*($T871/omega)*O871*(wx*(H871-V871)-wy*(G871-U871))/Z871)</f>
        <v>6.969553571313269</v>
      </c>
      <c r="AD871" s="5">
        <f t="shared" si="351"/>
        <v>0</v>
      </c>
      <c r="AE871" s="5">
        <f t="shared" si="351"/>
        <v>-3.6778881220740551</v>
      </c>
      <c r="AF871" s="5">
        <f t="shared" si="366"/>
        <v>-12.910601217468283</v>
      </c>
      <c r="AG871">
        <f t="shared" si="377"/>
        <v>0</v>
      </c>
    </row>
    <row r="872" spans="1:33" x14ac:dyDescent="0.2">
      <c r="A872">
        <f t="shared" si="367"/>
        <v>8.3999999999998654</v>
      </c>
      <c r="B872" s="5">
        <f t="shared" si="368"/>
        <v>0</v>
      </c>
      <c r="C872" s="5">
        <f t="shared" si="369"/>
        <v>1123.0805388369035</v>
      </c>
      <c r="D872" s="5">
        <f t="shared" si="370"/>
        <v>-257.84127975500138</v>
      </c>
      <c r="E872" s="2">
        <f t="shared" si="352"/>
        <v>374.36017961230118</v>
      </c>
      <c r="F872" s="2">
        <f t="shared" si="371"/>
        <v>0</v>
      </c>
      <c r="G872" s="3">
        <f t="shared" si="372"/>
        <v>0</v>
      </c>
      <c r="H872" s="3">
        <f t="shared" si="373"/>
        <v>92.507009787605156</v>
      </c>
      <c r="I872" s="3">
        <f t="shared" si="374"/>
        <v>-101.02351171608345</v>
      </c>
      <c r="J872" s="2">
        <f t="shared" si="353"/>
        <v>136.97918374444245</v>
      </c>
      <c r="K872" s="2">
        <f t="shared" si="375"/>
        <v>93.373676717411342</v>
      </c>
      <c r="L872" s="5">
        <f t="shared" si="354"/>
        <v>25.547088364621885</v>
      </c>
      <c r="M872" s="3">
        <f t="shared" si="355"/>
        <v>15.826243082359266</v>
      </c>
      <c r="N872" s="2">
        <v>0</v>
      </c>
      <c r="O872" s="2">
        <f t="shared" si="356"/>
        <v>136.97918374444245</v>
      </c>
      <c r="P872" s="2">
        <f t="shared" si="357"/>
        <v>93.373676717411342</v>
      </c>
      <c r="Q872" s="5">
        <f t="shared" si="358"/>
        <v>1.1544566795527031</v>
      </c>
      <c r="R872" s="5">
        <f t="shared" si="359"/>
        <v>0.156595200701834</v>
      </c>
      <c r="S872" s="4">
        <f t="shared" si="376"/>
        <v>0.11553757767958207</v>
      </c>
      <c r="T872" s="5">
        <f t="shared" si="360"/>
        <v>9.6761102326250945E-2</v>
      </c>
      <c r="U872" s="4">
        <f t="shared" si="361"/>
        <v>0</v>
      </c>
      <c r="V872" s="4">
        <f t="shared" si="362"/>
        <v>0</v>
      </c>
      <c r="W872" s="5">
        <f t="shared" si="363"/>
        <v>0</v>
      </c>
      <c r="X872" s="5">
        <f t="shared" si="364"/>
        <v>-11.275777643987425</v>
      </c>
      <c r="Y872" s="5">
        <f t="shared" si="365"/>
        <v>12.31386310659826</v>
      </c>
      <c r="Z872" s="5">
        <f>1</f>
        <v>1</v>
      </c>
      <c r="AA872" s="5">
        <f>IF(M872=0,0,const*($T872/omega)*O872*(wy*I872-wz*(H872-V872))/Z872)</f>
        <v>0</v>
      </c>
      <c r="AB872" s="5">
        <f>IF(M872=0,0,const*($T872/omega)*O872*(wz*(G872-U872)-wx*I872)/Z872)</f>
        <v>7.6088089721069343</v>
      </c>
      <c r="AC872" s="5">
        <f>IF(M872=0,0,const*($T872/omega)*O872*(wx*(H872-V872)-wy*(G872-U872))/Z872)</f>
        <v>6.9673698141959832</v>
      </c>
      <c r="AD872" s="5">
        <f t="shared" si="351"/>
        <v>0</v>
      </c>
      <c r="AE872" s="5">
        <f t="shared" si="351"/>
        <v>-3.6669686718804906</v>
      </c>
      <c r="AF872" s="5">
        <f t="shared" si="366"/>
        <v>-12.892767079205754</v>
      </c>
      <c r="AG872">
        <f t="shared" si="377"/>
        <v>0</v>
      </c>
    </row>
    <row r="873" spans="1:33" x14ac:dyDescent="0.2">
      <c r="A873">
        <f t="shared" si="367"/>
        <v>8.4099999999998651</v>
      </c>
      <c r="B873" s="5">
        <f t="shared" si="368"/>
        <v>0</v>
      </c>
      <c r="C873" s="5">
        <f t="shared" si="369"/>
        <v>1124.0054255863458</v>
      </c>
      <c r="D873" s="5">
        <f t="shared" si="370"/>
        <v>-258.85215951051617</v>
      </c>
      <c r="E873" s="2">
        <f t="shared" si="352"/>
        <v>374.66847519544859</v>
      </c>
      <c r="F873" s="2">
        <f t="shared" si="371"/>
        <v>0</v>
      </c>
      <c r="G873" s="3">
        <f t="shared" si="372"/>
        <v>0</v>
      </c>
      <c r="H873" s="3">
        <f t="shared" si="373"/>
        <v>92.470340100886347</v>
      </c>
      <c r="I873" s="3">
        <f t="shared" si="374"/>
        <v>-101.1524393868755</v>
      </c>
      <c r="J873" s="2">
        <f t="shared" si="353"/>
        <v>137.04955232429296</v>
      </c>
      <c r="K873" s="2">
        <f t="shared" si="375"/>
        <v>93.421644392837734</v>
      </c>
      <c r="L873" s="5">
        <f t="shared" si="354"/>
        <v>25.533971121281464</v>
      </c>
      <c r="M873" s="3">
        <f t="shared" si="355"/>
        <v>15.817374203478895</v>
      </c>
      <c r="N873" s="2">
        <v>0</v>
      </c>
      <c r="O873" s="2">
        <f t="shared" si="356"/>
        <v>137.04955232429296</v>
      </c>
      <c r="P873" s="2">
        <f t="shared" si="357"/>
        <v>93.421644392837734</v>
      </c>
      <c r="Q873" s="5">
        <f t="shared" si="358"/>
        <v>1.155049743949923</v>
      </c>
      <c r="R873" s="5">
        <f t="shared" si="359"/>
        <v>0.15656931166823454</v>
      </c>
      <c r="S873" s="4">
        <f t="shared" si="376"/>
        <v>0.11541354156379217</v>
      </c>
      <c r="T873" s="5">
        <f t="shared" si="360"/>
        <v>9.6719537532686889E-2</v>
      </c>
      <c r="U873" s="4">
        <f t="shared" si="361"/>
        <v>0</v>
      </c>
      <c r="V873" s="4">
        <f t="shared" si="362"/>
        <v>0</v>
      </c>
      <c r="W873" s="5">
        <f t="shared" si="363"/>
        <v>0</v>
      </c>
      <c r="X873" s="5">
        <f t="shared" si="364"/>
        <v>-11.275233821734329</v>
      </c>
      <c r="Y873" s="5">
        <f t="shared" si="365"/>
        <v>12.333872725908771</v>
      </c>
      <c r="Z873" s="5">
        <f>1</f>
        <v>1</v>
      </c>
      <c r="AA873" s="5">
        <f>IF(M873=0,0,const*($T873/omega)*O873*(wy*I873-wz*(H873-V873))/Z873)</f>
        <v>0</v>
      </c>
      <c r="AB873" s="5">
        <f>IF(M873=0,0,const*($T873/omega)*O873*(wz*(G873-U873)-wx*I873)/Z873)</f>
        <v>7.6191589100467532</v>
      </c>
      <c r="AC873" s="5">
        <f>IF(M873=0,0,const*($T873/omega)*O873*(wx*(H873-V873)-wy*(G873-U873))/Z873)</f>
        <v>6.9651925348044204</v>
      </c>
      <c r="AD873" s="5">
        <f t="shared" si="351"/>
        <v>0</v>
      </c>
      <c r="AE873" s="5">
        <f t="shared" si="351"/>
        <v>-3.6560749116875755</v>
      </c>
      <c r="AF873" s="5">
        <f t="shared" si="366"/>
        <v>-12.874934739286807</v>
      </c>
      <c r="AG873">
        <f t="shared" si="377"/>
        <v>0</v>
      </c>
    </row>
    <row r="874" spans="1:33" x14ac:dyDescent="0.2">
      <c r="A874">
        <f t="shared" si="367"/>
        <v>8.4199999999998649</v>
      </c>
      <c r="B874" s="5">
        <f t="shared" si="368"/>
        <v>0</v>
      </c>
      <c r="C874" s="5">
        <f t="shared" si="369"/>
        <v>1124.9299461836092</v>
      </c>
      <c r="D874" s="5">
        <f t="shared" si="370"/>
        <v>-259.86432765112187</v>
      </c>
      <c r="E874" s="2">
        <f t="shared" si="352"/>
        <v>374.97664872786976</v>
      </c>
      <c r="F874" s="2">
        <f t="shared" si="371"/>
        <v>0</v>
      </c>
      <c r="G874" s="3">
        <f t="shared" si="372"/>
        <v>0</v>
      </c>
      <c r="H874" s="3">
        <f t="shared" si="373"/>
        <v>92.433779351769473</v>
      </c>
      <c r="I874" s="3">
        <f t="shared" si="374"/>
        <v>-101.28118873426837</v>
      </c>
      <c r="J874" s="2">
        <f t="shared" si="353"/>
        <v>137.11995754330621</v>
      </c>
      <c r="K874" s="2">
        <f t="shared" si="375"/>
        <v>93.469637043835178</v>
      </c>
      <c r="L874" s="5">
        <f t="shared" si="354"/>
        <v>25.520860521910802</v>
      </c>
      <c r="M874" s="3">
        <f t="shared" si="355"/>
        <v>15.808502543236601</v>
      </c>
      <c r="N874" s="2">
        <v>0</v>
      </c>
      <c r="O874" s="2">
        <f t="shared" si="356"/>
        <v>137.11995754330621</v>
      </c>
      <c r="P874" s="2">
        <f t="shared" si="357"/>
        <v>93.469637043835178</v>
      </c>
      <c r="Q874" s="5">
        <f t="shared" si="358"/>
        <v>1.1556431171409682</v>
      </c>
      <c r="R874" s="5">
        <f t="shared" si="359"/>
        <v>0.1565434385430019</v>
      </c>
      <c r="S874" s="4">
        <f t="shared" si="376"/>
        <v>0.1152895816660667</v>
      </c>
      <c r="T874" s="5">
        <f t="shared" si="360"/>
        <v>9.6677971493975931E-2</v>
      </c>
      <c r="U874" s="4">
        <f t="shared" si="361"/>
        <v>0</v>
      </c>
      <c r="V874" s="4">
        <f t="shared" si="362"/>
        <v>0</v>
      </c>
      <c r="W874" s="5">
        <f t="shared" si="363"/>
        <v>0</v>
      </c>
      <c r="X874" s="5">
        <f t="shared" si="364"/>
        <v>-11.274702418218061</v>
      </c>
      <c r="Y874" s="5">
        <f t="shared" si="365"/>
        <v>12.3538740009379</v>
      </c>
      <c r="Z874" s="5">
        <f>1</f>
        <v>1</v>
      </c>
      <c r="AA874" s="5">
        <f>IF(M874=0,0,const*($T874/omega)*O874*(wy*I874-wz*(H874-V874))/Z874)</f>
        <v>0</v>
      </c>
      <c r="AB874" s="5">
        <f>IF(M874=0,0,const*($T874/omega)*O874*(wz*(G874-U874)-wx*I874)/Z874)</f>
        <v>7.6294956187177521</v>
      </c>
      <c r="AC874" s="5">
        <f>IF(M874=0,0,const*($T874/omega)*O874*(wx*(H874-V874)-wy*(G874-U874))/Z874)</f>
        <v>6.9630216963205642</v>
      </c>
      <c r="AD874" s="5">
        <f t="shared" si="351"/>
        <v>0</v>
      </c>
      <c r="AE874" s="5">
        <f t="shared" si="351"/>
        <v>-3.6452067995003086</v>
      </c>
      <c r="AF874" s="5">
        <f t="shared" si="366"/>
        <v>-12.857104302741536</v>
      </c>
      <c r="AG874">
        <f t="shared" si="377"/>
        <v>0</v>
      </c>
    </row>
    <row r="875" spans="1:33" x14ac:dyDescent="0.2">
      <c r="A875">
        <f t="shared" si="367"/>
        <v>8.4299999999998647</v>
      </c>
      <c r="B875" s="5">
        <f t="shared" si="368"/>
        <v>0</v>
      </c>
      <c r="C875" s="5">
        <f t="shared" si="369"/>
        <v>1125.854101716787</v>
      </c>
      <c r="D875" s="5">
        <f t="shared" si="370"/>
        <v>-260.87778239367969</v>
      </c>
      <c r="E875" s="2">
        <f t="shared" si="352"/>
        <v>375.28470057226235</v>
      </c>
      <c r="F875" s="2">
        <f t="shared" si="371"/>
        <v>0</v>
      </c>
      <c r="G875" s="3">
        <f t="shared" si="372"/>
        <v>0</v>
      </c>
      <c r="H875" s="3">
        <f t="shared" si="373"/>
        <v>92.397327283774473</v>
      </c>
      <c r="I875" s="3">
        <f t="shared" si="374"/>
        <v>-101.40975977729579</v>
      </c>
      <c r="J875" s="2">
        <f t="shared" si="353"/>
        <v>137.19039859725524</v>
      </c>
      <c r="K875" s="2">
        <f t="shared" si="375"/>
        <v>93.517654122191701</v>
      </c>
      <c r="L875" s="5">
        <f t="shared" si="354"/>
        <v>25.507756716314848</v>
      </c>
      <c r="M875" s="3">
        <f t="shared" si="355"/>
        <v>15.799628137536921</v>
      </c>
      <c r="N875" s="2">
        <v>0</v>
      </c>
      <c r="O875" s="2">
        <f t="shared" si="356"/>
        <v>137.19039859725524</v>
      </c>
      <c r="P875" s="2">
        <f t="shared" si="357"/>
        <v>93.517654122191701</v>
      </c>
      <c r="Q875" s="5">
        <f t="shared" si="358"/>
        <v>1.1562367923478369</v>
      </c>
      <c r="R875" s="5">
        <f t="shared" si="359"/>
        <v>0.15651758151791009</v>
      </c>
      <c r="S875" s="4">
        <f t="shared" si="376"/>
        <v>0.11516569890520767</v>
      </c>
      <c r="T875" s="5">
        <f t="shared" si="360"/>
        <v>9.6636404521862479E-2</v>
      </c>
      <c r="U875" s="4">
        <f t="shared" si="361"/>
        <v>0</v>
      </c>
      <c r="V875" s="4">
        <f t="shared" si="362"/>
        <v>0</v>
      </c>
      <c r="W875" s="5">
        <f t="shared" si="363"/>
        <v>0</v>
      </c>
      <c r="X875" s="5">
        <f t="shared" si="364"/>
        <v>-11.274183361356918</v>
      </c>
      <c r="Y875" s="5">
        <f t="shared" si="365"/>
        <v>12.373866863583647</v>
      </c>
      <c r="Z875" s="5">
        <f>1</f>
        <v>1</v>
      </c>
      <c r="AA875" s="5">
        <f>IF(M875=0,0,const*($T875/omega)*O875*(wy*I875-wz*(H875-V875))/Z875)</f>
        <v>0</v>
      </c>
      <c r="AB875" s="5">
        <f>IF(M875=0,0,const*($T875/omega)*O875*(wz*(G875-U875)-wx*I875)/Z875)</f>
        <v>7.6398190678157718</v>
      </c>
      <c r="AC875" s="5">
        <f>IF(M875=0,0,const*($T875/omega)*O875*(wx*(H875-V875)-wy*(G875-U875))/Z875)</f>
        <v>6.9608572621413058</v>
      </c>
      <c r="AD875" s="5">
        <f t="shared" si="351"/>
        <v>0</v>
      </c>
      <c r="AE875" s="5">
        <f t="shared" si="351"/>
        <v>-3.6343642935411467</v>
      </c>
      <c r="AF875" s="5">
        <f t="shared" si="366"/>
        <v>-12.839275874275046</v>
      </c>
      <c r="AG875">
        <f t="shared" si="377"/>
        <v>0</v>
      </c>
    </row>
    <row r="876" spans="1:33" x14ac:dyDescent="0.2">
      <c r="A876">
        <f t="shared" si="367"/>
        <v>8.4399999999998645</v>
      </c>
      <c r="B876" s="5">
        <f t="shared" si="368"/>
        <v>0</v>
      </c>
      <c r="C876" s="5">
        <f t="shared" si="369"/>
        <v>1126.77789327141</v>
      </c>
      <c r="D876" s="5">
        <f t="shared" si="370"/>
        <v>-261.89252195524637</v>
      </c>
      <c r="E876" s="2">
        <f t="shared" si="352"/>
        <v>375.59263109046998</v>
      </c>
      <c r="F876" s="2">
        <f t="shared" si="371"/>
        <v>0</v>
      </c>
      <c r="G876" s="3">
        <f t="shared" si="372"/>
        <v>0</v>
      </c>
      <c r="H876" s="3">
        <f t="shared" si="373"/>
        <v>92.360983640839066</v>
      </c>
      <c r="I876" s="3">
        <f t="shared" si="374"/>
        <v>-101.53815253603854</v>
      </c>
      <c r="J876" s="2">
        <f t="shared" si="353"/>
        <v>137.26087468588844</v>
      </c>
      <c r="K876" s="2">
        <f t="shared" si="375"/>
        <v>93.565695082405199</v>
      </c>
      <c r="L876" s="5">
        <f t="shared" si="354"/>
        <v>25.494659852934909</v>
      </c>
      <c r="M876" s="3">
        <f t="shared" si="355"/>
        <v>15.790751022218828</v>
      </c>
      <c r="N876" s="2">
        <v>0</v>
      </c>
      <c r="O876" s="2">
        <f t="shared" si="356"/>
        <v>137.26087468588844</v>
      </c>
      <c r="P876" s="2">
        <f t="shared" si="357"/>
        <v>93.565695082405199</v>
      </c>
      <c r="Q876" s="5">
        <f t="shared" si="358"/>
        <v>1.1568307628260313</v>
      </c>
      <c r="R876" s="5">
        <f t="shared" si="359"/>
        <v>0.15649174078291289</v>
      </c>
      <c r="S876" s="4">
        <f t="shared" si="376"/>
        <v>0.1150418941912968</v>
      </c>
      <c r="T876" s="5">
        <f t="shared" si="360"/>
        <v>9.6594836925969305E-2</v>
      </c>
      <c r="U876" s="4">
        <f t="shared" si="361"/>
        <v>0</v>
      </c>
      <c r="V876" s="4">
        <f t="shared" si="362"/>
        <v>0</v>
      </c>
      <c r="W876" s="5">
        <f t="shared" si="363"/>
        <v>0</v>
      </c>
      <c r="X876" s="5">
        <f t="shared" si="364"/>
        <v>-11.27367657944348</v>
      </c>
      <c r="Y876" s="5">
        <f t="shared" si="365"/>
        <v>12.393851245855982</v>
      </c>
      <c r="Z876" s="5">
        <f>1</f>
        <v>1</v>
      </c>
      <c r="AA876" s="5">
        <f>IF(M876=0,0,const*($T876/omega)*O876*(wy*I876-wz*(H876-V876))/Z876)</f>
        <v>0</v>
      </c>
      <c r="AB876" s="5">
        <f>IF(M876=0,0,const*($T876/omega)*O876*(wz*(G876-U876)-wx*I876)/Z876)</f>
        <v>7.650129227196242</v>
      </c>
      <c r="AC876" s="5">
        <f>IF(M876=0,0,const*($T876/omega)*O876*(wx*(H876-V876)-wy*(G876-U876))/Z876)</f>
        <v>6.9586991958770925</v>
      </c>
      <c r="AD876" s="5">
        <f t="shared" si="351"/>
        <v>0</v>
      </c>
      <c r="AE876" s="5">
        <f t="shared" si="351"/>
        <v>-3.6235473522472379</v>
      </c>
      <c r="AF876" s="5">
        <f t="shared" si="366"/>
        <v>-12.821449558266924</v>
      </c>
      <c r="AG876">
        <f t="shared" si="377"/>
        <v>0</v>
      </c>
    </row>
    <row r="877" spans="1:33" x14ac:dyDescent="0.2">
      <c r="A877">
        <f t="shared" si="367"/>
        <v>8.4499999999998643</v>
      </c>
      <c r="B877" s="5">
        <f t="shared" si="368"/>
        <v>0</v>
      </c>
      <c r="C877" s="5">
        <f t="shared" si="369"/>
        <v>1127.7013219304506</v>
      </c>
      <c r="D877" s="5">
        <f t="shared" si="370"/>
        <v>-262.90854455308465</v>
      </c>
      <c r="E877" s="2">
        <f t="shared" si="352"/>
        <v>375.90044064348353</v>
      </c>
      <c r="F877" s="2">
        <f t="shared" si="371"/>
        <v>0</v>
      </c>
      <c r="G877" s="3">
        <f t="shared" si="372"/>
        <v>0</v>
      </c>
      <c r="H877" s="3">
        <f t="shared" si="373"/>
        <v>92.324748167316599</v>
      </c>
      <c r="I877" s="3">
        <f t="shared" si="374"/>
        <v>-101.66636703162121</v>
      </c>
      <c r="J877" s="2">
        <f t="shared" si="353"/>
        <v>137.33138501291955</v>
      </c>
      <c r="K877" s="2">
        <f t="shared" si="375"/>
        <v>93.613759381676587</v>
      </c>
      <c r="L877" s="5">
        <f t="shared" si="354"/>
        <v>25.481570078855889</v>
      </c>
      <c r="M877" s="3">
        <f t="shared" si="355"/>
        <v>15.781871233055167</v>
      </c>
      <c r="N877" s="2">
        <v>0</v>
      </c>
      <c r="O877" s="2">
        <f t="shared" si="356"/>
        <v>137.33138501291955</v>
      </c>
      <c r="P877" s="2">
        <f t="shared" si="357"/>
        <v>93.613759381676587</v>
      </c>
      <c r="Q877" s="5">
        <f t="shared" si="358"/>
        <v>1.157425021864473</v>
      </c>
      <c r="R877" s="5">
        <f t="shared" si="359"/>
        <v>0.15646591652615383</v>
      </c>
      <c r="S877" s="4">
        <f t="shared" si="376"/>
        <v>0.11491816842574241</v>
      </c>
      <c r="T877" s="5">
        <f t="shared" si="360"/>
        <v>9.6553269013806134E-2</v>
      </c>
      <c r="U877" s="4">
        <f t="shared" si="361"/>
        <v>0</v>
      </c>
      <c r="V877" s="4">
        <f t="shared" si="362"/>
        <v>0</v>
      </c>
      <c r="W877" s="5">
        <f t="shared" si="363"/>
        <v>0</v>
      </c>
      <c r="X877" s="5">
        <f t="shared" si="364"/>
        <v>-11.273182001142487</v>
      </c>
      <c r="Y877" s="5">
        <f t="shared" si="365"/>
        <v>12.413827079878722</v>
      </c>
      <c r="Z877" s="5">
        <f>1</f>
        <v>1</v>
      </c>
      <c r="AA877" s="5">
        <f>IF(M877=0,0,const*($T877/omega)*O877*(wy*I877-wz*(H877-V877))/Z877)</f>
        <v>0</v>
      </c>
      <c r="AB877" s="5">
        <f>IF(M877=0,0,const*($T877/omega)*O877*(wz*(G877-U877)-wx*I877)/Z877)</f>
        <v>7.6604260668747752</v>
      </c>
      <c r="AC877" s="5">
        <f>IF(M877=0,0,const*($T877/omega)*O877*(wx*(H877-V877)-wy*(G877-U877))/Z877)</f>
        <v>6.9565474613505849</v>
      </c>
      <c r="AD877" s="5">
        <f t="shared" si="351"/>
        <v>0</v>
      </c>
      <c r="AE877" s="5">
        <f t="shared" si="351"/>
        <v>-3.612755934267712</v>
      </c>
      <c r="AF877" s="5">
        <f t="shared" si="366"/>
        <v>-12.803625458770693</v>
      </c>
      <c r="AG877">
        <f t="shared" si="377"/>
        <v>0</v>
      </c>
    </row>
    <row r="878" spans="1:33" x14ac:dyDescent="0.2">
      <c r="A878">
        <f t="shared" si="367"/>
        <v>8.4599999999998641</v>
      </c>
      <c r="B878" s="5">
        <f t="shared" si="368"/>
        <v>0</v>
      </c>
      <c r="C878" s="5">
        <f t="shared" si="369"/>
        <v>1128.6243887743269</v>
      </c>
      <c r="D878" s="5">
        <f t="shared" si="370"/>
        <v>-263.92584840467384</v>
      </c>
      <c r="E878" s="2">
        <f t="shared" si="352"/>
        <v>376.20812959144229</v>
      </c>
      <c r="F878" s="2">
        <f t="shared" si="371"/>
        <v>0</v>
      </c>
      <c r="G878" s="3">
        <f t="shared" si="372"/>
        <v>0</v>
      </c>
      <c r="H878" s="3">
        <f t="shared" si="373"/>
        <v>92.288620607973925</v>
      </c>
      <c r="I878" s="3">
        <f t="shared" si="374"/>
        <v>-101.79440328620892</v>
      </c>
      <c r="J878" s="2">
        <f t="shared" si="353"/>
        <v>137.40192878601775</v>
      </c>
      <c r="K878" s="2">
        <f t="shared" si="375"/>
        <v>93.661846479903033</v>
      </c>
      <c r="L878" s="5">
        <f t="shared" si="354"/>
        <v>25.468487539813601</v>
      </c>
      <c r="M878" s="3">
        <f t="shared" si="355"/>
        <v>15.77298880575211</v>
      </c>
      <c r="N878" s="2">
        <v>0</v>
      </c>
      <c r="O878" s="2">
        <f t="shared" si="356"/>
        <v>137.40192878601775</v>
      </c>
      <c r="P878" s="2">
        <f t="shared" si="357"/>
        <v>93.661846479903033</v>
      </c>
      <c r="Q878" s="5">
        <f t="shared" si="358"/>
        <v>1.1580195627854206</v>
      </c>
      <c r="R878" s="5">
        <f t="shared" si="359"/>
        <v>0.15644010893397578</v>
      </c>
      <c r="S878" s="4">
        <f t="shared" si="376"/>
        <v>0.11479452250132602</v>
      </c>
      <c r="T878" s="5">
        <f t="shared" si="360"/>
        <v>9.6511701090778071E-2</v>
      </c>
      <c r="U878" s="4">
        <f t="shared" si="361"/>
        <v>0</v>
      </c>
      <c r="V878" s="4">
        <f t="shared" si="362"/>
        <v>0</v>
      </c>
      <c r="W878" s="5">
        <f t="shared" si="363"/>
        <v>0</v>
      </c>
      <c r="X878" s="5">
        <f t="shared" si="364"/>
        <v>-11.272699555488723</v>
      </c>
      <c r="Y878" s="5">
        <f t="shared" si="365"/>
        <v>12.43379429789138</v>
      </c>
      <c r="Z878" s="5">
        <f>1</f>
        <v>1</v>
      </c>
      <c r="AA878" s="5">
        <f>IF(M878=0,0,const*($T878/omega)*O878*(wy*I878-wz*(H878-V878))/Z878)</f>
        <v>0</v>
      </c>
      <c r="AB878" s="5">
        <f>IF(M878=0,0,const*($T878/omega)*O878*(wz*(G878-U878)-wx*I878)/Z878)</f>
        <v>7.6707095570277719</v>
      </c>
      <c r="AC878" s="5">
        <f>IF(M878=0,0,const*($T878/omega)*O878*(wx*(H878-V878)-wy*(G878-U878))/Z878)</f>
        <v>6.9544020225953274</v>
      </c>
      <c r="AD878" s="5">
        <f t="shared" si="351"/>
        <v>0</v>
      </c>
      <c r="AE878" s="5">
        <f t="shared" si="351"/>
        <v>-3.6019899984609509</v>
      </c>
      <c r="AF878" s="5">
        <f t="shared" si="366"/>
        <v>-12.785803679513293</v>
      </c>
      <c r="AG878">
        <f t="shared" si="377"/>
        <v>0</v>
      </c>
    </row>
    <row r="879" spans="1:33" x14ac:dyDescent="0.2">
      <c r="A879">
        <f t="shared" si="367"/>
        <v>8.4699999999998639</v>
      </c>
      <c r="B879" s="5">
        <f t="shared" si="368"/>
        <v>0</v>
      </c>
      <c r="C879" s="5">
        <f t="shared" si="369"/>
        <v>1129.5470948809068</v>
      </c>
      <c r="D879" s="5">
        <f t="shared" si="370"/>
        <v>-264.94443172771992</v>
      </c>
      <c r="E879" s="2">
        <f t="shared" si="352"/>
        <v>376.51569829363558</v>
      </c>
      <c r="F879" s="2">
        <f t="shared" si="371"/>
        <v>0</v>
      </c>
      <c r="G879" s="3">
        <f t="shared" si="372"/>
        <v>0</v>
      </c>
      <c r="H879" s="3">
        <f t="shared" si="373"/>
        <v>92.252600707989316</v>
      </c>
      <c r="I879" s="3">
        <f t="shared" si="374"/>
        <v>-101.92226132300405</v>
      </c>
      <c r="J879" s="2">
        <f t="shared" si="353"/>
        <v>137.4725052167976</v>
      </c>
      <c r="K879" s="2">
        <f t="shared" si="375"/>
        <v>93.709955839671167</v>
      </c>
      <c r="L879" s="5">
        <f t="shared" si="354"/>
        <v>25.455412380201963</v>
      </c>
      <c r="M879" s="3">
        <f t="shared" si="355"/>
        <v>15.764103775948596</v>
      </c>
      <c r="N879" s="2">
        <v>0</v>
      </c>
      <c r="O879" s="2">
        <f t="shared" si="356"/>
        <v>137.4725052167976</v>
      </c>
      <c r="P879" s="2">
        <f t="shared" si="357"/>
        <v>93.709955839671167</v>
      </c>
      <c r="Q879" s="5">
        <f t="shared" si="358"/>
        <v>1.1586143789443839</v>
      </c>
      <c r="R879" s="5">
        <f t="shared" si="359"/>
        <v>0.15641431819093085</v>
      </c>
      <c r="S879" s="4">
        <f t="shared" si="376"/>
        <v>0.11467095730224897</v>
      </c>
      <c r="T879" s="5">
        <f t="shared" si="360"/>
        <v>9.6470133460194049E-2</v>
      </c>
      <c r="U879" s="4">
        <f t="shared" si="361"/>
        <v>0</v>
      </c>
      <c r="V879" s="4">
        <f t="shared" si="362"/>
        <v>0</v>
      </c>
      <c r="W879" s="5">
        <f t="shared" si="363"/>
        <v>0</v>
      </c>
      <c r="X879" s="5">
        <f t="shared" si="364"/>
        <v>-11.272229171884927</v>
      </c>
      <c r="Y879" s="5">
        <f t="shared" si="365"/>
        <v>12.453752832251027</v>
      </c>
      <c r="Z879" s="5">
        <f>1</f>
        <v>1</v>
      </c>
      <c r="AA879" s="5">
        <f>IF(M879=0,0,const*($T879/omega)*O879*(wy*I879-wz*(H879-V879))/Z879)</f>
        <v>0</v>
      </c>
      <c r="AB879" s="5">
        <f>IF(M879=0,0,const*($T879/omega)*O879*(wz*(G879-U879)-wx*I879)/Z879)</f>
        <v>7.6809796679929931</v>
      </c>
      <c r="AC879" s="5">
        <f>IF(M879=0,0,const*($T879/omega)*O879*(wx*(H879-V879)-wy*(G879-U879))/Z879)</f>
        <v>6.9522628438544238</v>
      </c>
      <c r="AD879" s="5">
        <f t="shared" si="351"/>
        <v>0</v>
      </c>
      <c r="AE879" s="5">
        <f t="shared" si="351"/>
        <v>-3.5912495038919339</v>
      </c>
      <c r="AF879" s="5">
        <f t="shared" si="366"/>
        <v>-12.767984323894549</v>
      </c>
      <c r="AG879">
        <f t="shared" si="377"/>
        <v>0</v>
      </c>
    </row>
    <row r="880" spans="1:33" x14ac:dyDescent="0.2">
      <c r="A880">
        <f t="shared" si="367"/>
        <v>8.4799999999998636</v>
      </c>
      <c r="B880" s="5">
        <f t="shared" si="368"/>
        <v>0</v>
      </c>
      <c r="C880" s="5">
        <f t="shared" si="369"/>
        <v>1130.4694413255113</v>
      </c>
      <c r="D880" s="5">
        <f t="shared" si="370"/>
        <v>-265.96429274016617</v>
      </c>
      <c r="E880" s="2">
        <f t="shared" si="352"/>
        <v>376.82314710850375</v>
      </c>
      <c r="F880" s="2">
        <f t="shared" si="371"/>
        <v>0</v>
      </c>
      <c r="G880" s="3">
        <f t="shared" si="372"/>
        <v>0</v>
      </c>
      <c r="H880" s="3">
        <f t="shared" si="373"/>
        <v>92.216688212950402</v>
      </c>
      <c r="I880" s="3">
        <f t="shared" si="374"/>
        <v>-102.049941166243</v>
      </c>
      <c r="J880" s="2">
        <f t="shared" si="353"/>
        <v>137.54311352080904</v>
      </c>
      <c r="K880" s="2">
        <f t="shared" si="375"/>
        <v>93.758086926250201</v>
      </c>
      <c r="L880" s="5">
        <f t="shared" si="354"/>
        <v>25.442344743080273</v>
      </c>
      <c r="M880" s="3">
        <f t="shared" si="355"/>
        <v>15.755216179215797</v>
      </c>
      <c r="N880" s="2">
        <v>0</v>
      </c>
      <c r="O880" s="2">
        <f t="shared" si="356"/>
        <v>137.54311352080904</v>
      </c>
      <c r="P880" s="2">
        <f t="shared" si="357"/>
        <v>93.758086926250201</v>
      </c>
      <c r="Q880" s="5">
        <f t="shared" si="358"/>
        <v>1.1592094637300399</v>
      </c>
      <c r="R880" s="5">
        <f t="shared" si="359"/>
        <v>0.15638854447978992</v>
      </c>
      <c r="S880" s="4">
        <f t="shared" si="376"/>
        <v>0.11454747370417911</v>
      </c>
      <c r="T880" s="5">
        <f t="shared" si="360"/>
        <v>9.642856642327538E-2</v>
      </c>
      <c r="U880" s="4">
        <f t="shared" si="361"/>
        <v>0</v>
      </c>
      <c r="V880" s="4">
        <f t="shared" si="362"/>
        <v>0</v>
      </c>
      <c r="W880" s="5">
        <f t="shared" si="363"/>
        <v>0</v>
      </c>
      <c r="X880" s="5">
        <f t="shared" si="364"/>
        <v>-11.271770780099676</v>
      </c>
      <c r="Y880" s="5">
        <f t="shared" si="365"/>
        <v>12.473702615434084</v>
      </c>
      <c r="Z880" s="5">
        <f>1</f>
        <v>1</v>
      </c>
      <c r="AA880" s="5">
        <f>IF(M880=0,0,const*($T880/omega)*O880*(wy*I880-wz*(H880-V880))/Z880)</f>
        <v>0</v>
      </c>
      <c r="AB880" s="5">
        <f>IF(M880=0,0,const*($T880/omega)*O880*(wz*(G880-U880)-wx*I880)/Z880)</f>
        <v>7.6912363702701381</v>
      </c>
      <c r="AC880" s="5">
        <f>IF(M880=0,0,const*($T880/omega)*O880*(wx*(H880-V880)-wy*(G880-U880))/Z880)</f>
        <v>6.9501298895792134</v>
      </c>
      <c r="AD880" s="5">
        <f t="shared" ref="AD880:AE943" si="378">W880+AA880</f>
        <v>0</v>
      </c>
      <c r="AE880" s="5">
        <f t="shared" si="378"/>
        <v>-3.5805344098295375</v>
      </c>
      <c r="AF880" s="5">
        <f t="shared" si="366"/>
        <v>-12.750167494986702</v>
      </c>
      <c r="AG880">
        <f t="shared" si="377"/>
        <v>0</v>
      </c>
    </row>
    <row r="881" spans="1:33" x14ac:dyDescent="0.2">
      <c r="A881">
        <f t="shared" si="367"/>
        <v>8.4899999999998634</v>
      </c>
      <c r="B881" s="5">
        <f t="shared" si="368"/>
        <v>0</v>
      </c>
      <c r="C881" s="5">
        <f t="shared" si="369"/>
        <v>1131.3914291809203</v>
      </c>
      <c r="D881" s="5">
        <f t="shared" si="370"/>
        <v>-266.98542966020335</v>
      </c>
      <c r="E881" s="2">
        <f t="shared" si="352"/>
        <v>377.13047639364009</v>
      </c>
      <c r="F881" s="2">
        <f t="shared" si="371"/>
        <v>0</v>
      </c>
      <c r="G881" s="3">
        <f t="shared" si="372"/>
        <v>0</v>
      </c>
      <c r="H881" s="3">
        <f t="shared" si="373"/>
        <v>92.180882868852109</v>
      </c>
      <c r="I881" s="3">
        <f t="shared" si="374"/>
        <v>-102.17744284119287</v>
      </c>
      <c r="J881" s="2">
        <f t="shared" si="353"/>
        <v>137.61375291752736</v>
      </c>
      <c r="K881" s="2">
        <f t="shared" si="375"/>
        <v>93.806239207585108</v>
      </c>
      <c r="L881" s="5">
        <f t="shared" si="354"/>
        <v>25.429284770180413</v>
      </c>
      <c r="M881" s="3">
        <f t="shared" si="355"/>
        <v>15.74632605105656</v>
      </c>
      <c r="N881" s="2">
        <v>0</v>
      </c>
      <c r="O881" s="2">
        <f t="shared" si="356"/>
        <v>137.61375291752736</v>
      </c>
      <c r="P881" s="2">
        <f t="shared" si="357"/>
        <v>93.806239207585108</v>
      </c>
      <c r="Q881" s="5">
        <f t="shared" si="358"/>
        <v>1.1598048105641485</v>
      </c>
      <c r="R881" s="5">
        <f t="shared" si="359"/>
        <v>0.15636278798155248</v>
      </c>
      <c r="S881" s="4">
        <f t="shared" si="376"/>
        <v>0.11442407257429724</v>
      </c>
      <c r="T881" s="5">
        <f t="shared" si="360"/>
        <v>9.6387000279164164E-2</v>
      </c>
      <c r="U881" s="4">
        <f t="shared" si="361"/>
        <v>0</v>
      </c>
      <c r="V881" s="4">
        <f t="shared" si="362"/>
        <v>0</v>
      </c>
      <c r="W881" s="5">
        <f t="shared" si="363"/>
        <v>0</v>
      </c>
      <c r="X881" s="5">
        <f t="shared" si="364"/>
        <v>-11.271324310265317</v>
      </c>
      <c r="Y881" s="5">
        <f t="shared" si="365"/>
        <v>12.493643580038142</v>
      </c>
      <c r="Z881" s="5">
        <f>1</f>
        <v>1</v>
      </c>
      <c r="AA881" s="5">
        <f>IF(M881=0,0,const*($T881/omega)*O881*(wy*I881-wz*(H881-V881))/Z881)</f>
        <v>0</v>
      </c>
      <c r="AB881" s="5">
        <f>IF(M881=0,0,const*($T881/omega)*O881*(wz*(G881-U881)-wx*I881)/Z881)</f>
        <v>7.7014796345214007</v>
      </c>
      <c r="AC881" s="5">
        <f>IF(M881=0,0,const*($T881/omega)*O881*(wx*(H881-V881)-wy*(G881-U881))/Z881)</f>
        <v>6.9480031244279585</v>
      </c>
      <c r="AD881" s="5">
        <f t="shared" si="378"/>
        <v>0</v>
      </c>
      <c r="AE881" s="5">
        <f t="shared" si="378"/>
        <v>-3.5698446757439166</v>
      </c>
      <c r="AF881" s="5">
        <f t="shared" si="366"/>
        <v>-12.732353295533898</v>
      </c>
      <c r="AG881">
        <f t="shared" si="377"/>
        <v>0</v>
      </c>
    </row>
    <row r="882" spans="1:33" x14ac:dyDescent="0.2">
      <c r="A882">
        <f t="shared" si="367"/>
        <v>8.4999999999998632</v>
      </c>
      <c r="B882" s="5">
        <f t="shared" si="368"/>
        <v>0</v>
      </c>
      <c r="C882" s="5">
        <f t="shared" si="369"/>
        <v>1132.313059517375</v>
      </c>
      <c r="D882" s="5">
        <f t="shared" si="370"/>
        <v>-268.00784070628004</v>
      </c>
      <c r="E882" s="2">
        <f t="shared" si="352"/>
        <v>377.43768650579165</v>
      </c>
      <c r="F882" s="2">
        <f t="shared" si="371"/>
        <v>0</v>
      </c>
      <c r="G882" s="3">
        <f t="shared" si="372"/>
        <v>0</v>
      </c>
      <c r="H882" s="3">
        <f t="shared" si="373"/>
        <v>92.145184422094673</v>
      </c>
      <c r="I882" s="3">
        <f t="shared" si="374"/>
        <v>-102.30476637414822</v>
      </c>
      <c r="J882" s="2">
        <f t="shared" si="353"/>
        <v>137.68442263034294</v>
      </c>
      <c r="K882" s="2">
        <f t="shared" si="375"/>
        <v>93.854412154289662</v>
      </c>
      <c r="L882" s="5">
        <f t="shared" si="354"/>
        <v>25.416232601914153</v>
      </c>
      <c r="M882" s="3">
        <f t="shared" si="355"/>
        <v>15.737433426904904</v>
      </c>
      <c r="N882" s="2">
        <v>0</v>
      </c>
      <c r="O882" s="2">
        <f t="shared" si="356"/>
        <v>137.68442263034294</v>
      </c>
      <c r="P882" s="2">
        <f t="shared" si="357"/>
        <v>93.854412154289662</v>
      </c>
      <c r="Q882" s="5">
        <f t="shared" si="358"/>
        <v>1.1604004129014658</v>
      </c>
      <c r="R882" s="5">
        <f t="shared" si="359"/>
        <v>0.15633704887545632</v>
      </c>
      <c r="S882" s="4">
        <f t="shared" si="376"/>
        <v>0.11430075477134392</v>
      </c>
      <c r="T882" s="5">
        <f t="shared" si="360"/>
        <v>9.634543532493188E-2</v>
      </c>
      <c r="U882" s="4">
        <f t="shared" si="361"/>
        <v>0</v>
      </c>
      <c r="V882" s="4">
        <f t="shared" si="362"/>
        <v>0</v>
      </c>
      <c r="W882" s="5">
        <f t="shared" si="363"/>
        <v>0</v>
      </c>
      <c r="X882" s="5">
        <f t="shared" si="364"/>
        <v>-11.270889692875894</v>
      </c>
      <c r="Y882" s="5">
        <f t="shared" si="365"/>
        <v>12.513575658783749</v>
      </c>
      <c r="Z882" s="5">
        <f>1</f>
        <v>1</v>
      </c>
      <c r="AA882" s="5">
        <f>IF(M882=0,0,const*($T882/omega)*O882*(wy*I882-wz*(H882-V882))/Z882)</f>
        <v>0</v>
      </c>
      <c r="AB882" s="5">
        <f>IF(M882=0,0,const*($T882/omega)*O882*(wz*(G882-U882)-wx*I882)/Z882)</f>
        <v>7.7117094315720154</v>
      </c>
      <c r="AC882" s="5">
        <f>IF(M882=0,0,const*($T882/omega)*O882*(wx*(H882-V882)-wy*(G882-U882))/Z882)</f>
        <v>6.9458825132645403</v>
      </c>
      <c r="AD882" s="5">
        <f t="shared" si="378"/>
        <v>0</v>
      </c>
      <c r="AE882" s="5">
        <f t="shared" si="378"/>
        <v>-3.5591802613038785</v>
      </c>
      <c r="AF882" s="5">
        <f t="shared" si="366"/>
        <v>-12.71454182795171</v>
      </c>
      <c r="AG882">
        <f t="shared" si="377"/>
        <v>0</v>
      </c>
    </row>
    <row r="883" spans="1:33" x14ac:dyDescent="0.2">
      <c r="A883">
        <f t="shared" si="367"/>
        <v>8.509999999999863</v>
      </c>
      <c r="B883" s="5">
        <f t="shared" si="368"/>
        <v>0</v>
      </c>
      <c r="C883" s="5">
        <f t="shared" si="369"/>
        <v>1133.2343334025827</v>
      </c>
      <c r="D883" s="5">
        <f t="shared" si="370"/>
        <v>-269.03152409711288</v>
      </c>
      <c r="E883" s="2">
        <f t="shared" si="352"/>
        <v>377.7447778008609</v>
      </c>
      <c r="F883" s="2">
        <f t="shared" si="371"/>
        <v>0</v>
      </c>
      <c r="G883" s="3">
        <f t="shared" si="372"/>
        <v>0</v>
      </c>
      <c r="H883" s="3">
        <f t="shared" si="373"/>
        <v>92.109592619481631</v>
      </c>
      <c r="I883" s="3">
        <f t="shared" si="374"/>
        <v>-102.43191179242773</v>
      </c>
      <c r="J883" s="2">
        <f t="shared" si="353"/>
        <v>137.75512188655114</v>
      </c>
      <c r="K883" s="2">
        <f t="shared" si="375"/>
        <v>93.902605239639485</v>
      </c>
      <c r="L883" s="5">
        <f t="shared" si="354"/>
        <v>25.403188377380346</v>
      </c>
      <c r="M883" s="3">
        <f t="shared" si="355"/>
        <v>15.728538342125477</v>
      </c>
      <c r="N883" s="2">
        <v>0</v>
      </c>
      <c r="O883" s="2">
        <f t="shared" si="356"/>
        <v>137.75512188655114</v>
      </c>
      <c r="P883" s="2">
        <f t="shared" si="357"/>
        <v>93.902605239639485</v>
      </c>
      <c r="Q883" s="5">
        <f t="shared" si="358"/>
        <v>1.1609962642296592</v>
      </c>
      <c r="R883" s="5">
        <f t="shared" si="359"/>
        <v>0.15631132733898734</v>
      </c>
      <c r="S883" s="4">
        <f t="shared" si="376"/>
        <v>0.1141775211456659</v>
      </c>
      <c r="T883" s="5">
        <f t="shared" si="360"/>
        <v>9.6303871855587975E-2</v>
      </c>
      <c r="U883" s="4">
        <f t="shared" si="361"/>
        <v>0</v>
      </c>
      <c r="V883" s="4">
        <f t="shared" si="362"/>
        <v>0</v>
      </c>
      <c r="W883" s="5">
        <f t="shared" si="363"/>
        <v>0</v>
      </c>
      <c r="X883" s="5">
        <f t="shared" si="364"/>
        <v>-11.270466858785074</v>
      </c>
      <c r="Y883" s="5">
        <f t="shared" si="365"/>
        <v>12.533498784516171</v>
      </c>
      <c r="Z883" s="5">
        <f>1</f>
        <v>1</v>
      </c>
      <c r="AA883" s="5">
        <f>IF(M883=0,0,const*($T883/omega)*O883*(wy*I883-wz*(H883-V883))/Z883)</f>
        <v>0</v>
      </c>
      <c r="AB883" s="5">
        <f>IF(M883=0,0,const*($T883/omega)*O883*(wz*(G883-U883)-wx*I883)/Z883)</f>
        <v>7.7219257324107931</v>
      </c>
      <c r="AC883" s="5">
        <f>IF(M883=0,0,const*($T883/omega)*O883*(wx*(H883-V883)-wy*(G883-U883))/Z883)</f>
        <v>6.9437680211571591</v>
      </c>
      <c r="AD883" s="5">
        <f t="shared" si="378"/>
        <v>0</v>
      </c>
      <c r="AE883" s="5">
        <f t="shared" si="378"/>
        <v>-3.548541126374281</v>
      </c>
      <c r="AF883" s="5">
        <f t="shared" si="366"/>
        <v>-12.696733194326669</v>
      </c>
      <c r="AG883">
        <f t="shared" si="377"/>
        <v>0</v>
      </c>
    </row>
    <row r="884" spans="1:33" x14ac:dyDescent="0.2">
      <c r="A884">
        <f t="shared" si="367"/>
        <v>8.5199999999998628</v>
      </c>
      <c r="B884" s="5">
        <f t="shared" si="368"/>
        <v>0</v>
      </c>
      <c r="C884" s="5">
        <f t="shared" si="369"/>
        <v>1134.1552519017212</v>
      </c>
      <c r="D884" s="5">
        <f t="shared" si="370"/>
        <v>-270.0564780516969</v>
      </c>
      <c r="E884" s="2">
        <f t="shared" si="352"/>
        <v>378.05175063390703</v>
      </c>
      <c r="F884" s="2">
        <f t="shared" si="371"/>
        <v>0</v>
      </c>
      <c r="G884" s="3">
        <f t="shared" si="372"/>
        <v>0</v>
      </c>
      <c r="H884" s="3">
        <f t="shared" si="373"/>
        <v>92.074107208217882</v>
      </c>
      <c r="I884" s="3">
        <f t="shared" si="374"/>
        <v>-102.55887912437099</v>
      </c>
      <c r="J884" s="2">
        <f t="shared" si="353"/>
        <v>137.8258499173422</v>
      </c>
      <c r="K884" s="2">
        <f t="shared" si="375"/>
        <v>93.950817939565226</v>
      </c>
      <c r="L884" s="5">
        <f t="shared" si="354"/>
        <v>25.39015223437217</v>
      </c>
      <c r="M884" s="3">
        <f t="shared" si="355"/>
        <v>15.719640832013049</v>
      </c>
      <c r="N884" s="2">
        <v>0</v>
      </c>
      <c r="O884" s="2">
        <f t="shared" si="356"/>
        <v>137.8258499173422</v>
      </c>
      <c r="P884" s="2">
        <f t="shared" si="357"/>
        <v>93.950817939565226</v>
      </c>
      <c r="Q884" s="5">
        <f t="shared" si="358"/>
        <v>1.1615923580692216</v>
      </c>
      <c r="R884" s="5">
        <f t="shared" si="359"/>
        <v>0.15628562354788911</v>
      </c>
      <c r="S884" s="4">
        <f t="shared" si="376"/>
        <v>0.11405437253926265</v>
      </c>
      <c r="T884" s="5">
        <f t="shared" si="360"/>
        <v>9.6262310164088274E-2</v>
      </c>
      <c r="U884" s="4">
        <f t="shared" si="361"/>
        <v>0</v>
      </c>
      <c r="V884" s="4">
        <f t="shared" si="362"/>
        <v>0</v>
      </c>
      <c r="W884" s="5">
        <f t="shared" si="363"/>
        <v>0</v>
      </c>
      <c r="X884" s="5">
        <f t="shared" si="364"/>
        <v>-11.270055739204107</v>
      </c>
      <c r="Y884" s="5">
        <f t="shared" si="365"/>
        <v>12.553412890207152</v>
      </c>
      <c r="Z884" s="5">
        <f>1</f>
        <v>1</v>
      </c>
      <c r="AA884" s="5">
        <f>IF(M884=0,0,const*($T884/omega)*O884*(wy*I884-wz*(H884-V884))/Z884)</f>
        <v>0</v>
      </c>
      <c r="AB884" s="5">
        <f>IF(M884=0,0,const*($T884/omega)*O884*(wz*(G884-U884)-wx*I884)/Z884)</f>
        <v>7.7321285081906455</v>
      </c>
      <c r="AC884" s="5">
        <f>IF(M884=0,0,const*($T884/omega)*O884*(wx*(H884-V884)-wy*(G884-U884))/Z884)</f>
        <v>6.9416596133770359</v>
      </c>
      <c r="AD884" s="5">
        <f t="shared" si="378"/>
        <v>0</v>
      </c>
      <c r="AE884" s="5">
        <f t="shared" si="378"/>
        <v>-3.5379272310134615</v>
      </c>
      <c r="AF884" s="5">
        <f t="shared" si="366"/>
        <v>-12.67892749641581</v>
      </c>
      <c r="AG884">
        <f t="shared" si="377"/>
        <v>0</v>
      </c>
    </row>
    <row r="885" spans="1:33" x14ac:dyDescent="0.2">
      <c r="A885">
        <f t="shared" si="367"/>
        <v>8.5299999999998626</v>
      </c>
      <c r="B885" s="5">
        <f t="shared" si="368"/>
        <v>0</v>
      </c>
      <c r="C885" s="5">
        <f t="shared" si="369"/>
        <v>1135.0758160774417</v>
      </c>
      <c r="D885" s="5">
        <f t="shared" si="370"/>
        <v>-271.08270078931542</v>
      </c>
      <c r="E885" s="2">
        <f t="shared" si="352"/>
        <v>378.35860535914725</v>
      </c>
      <c r="F885" s="2">
        <f t="shared" si="371"/>
        <v>0</v>
      </c>
      <c r="G885" s="3">
        <f t="shared" si="372"/>
        <v>0</v>
      </c>
      <c r="H885" s="3">
        <f t="shared" si="373"/>
        <v>92.038727935907744</v>
      </c>
      <c r="I885" s="3">
        <f t="shared" si="374"/>
        <v>-102.68566839933514</v>
      </c>
      <c r="J885" s="2">
        <f t="shared" si="353"/>
        <v>137.89660595779091</v>
      </c>
      <c r="K885" s="2">
        <f t="shared" si="375"/>
        <v>93.999049732645474</v>
      </c>
      <c r="L885" s="5">
        <f t="shared" si="354"/>
        <v>25.377124309384339</v>
      </c>
      <c r="M885" s="3">
        <f t="shared" si="355"/>
        <v>15.710740931791994</v>
      </c>
      <c r="N885" s="2">
        <v>0</v>
      </c>
      <c r="O885" s="2">
        <f t="shared" si="356"/>
        <v>137.89660595779091</v>
      </c>
      <c r="P885" s="2">
        <f t="shared" si="357"/>
        <v>93.999049732645474</v>
      </c>
      <c r="Q885" s="5">
        <f t="shared" si="358"/>
        <v>1.1621886879733851</v>
      </c>
      <c r="R885" s="5">
        <f t="shared" si="359"/>
        <v>0.15625993767617266</v>
      </c>
      <c r="S885" s="4">
        <f t="shared" si="376"/>
        <v>0.11393130978583281</v>
      </c>
      <c r="T885" s="5">
        <f t="shared" si="360"/>
        <v>9.6220750541343686E-2</v>
      </c>
      <c r="U885" s="4">
        <f t="shared" si="361"/>
        <v>0</v>
      </c>
      <c r="V885" s="4">
        <f t="shared" si="362"/>
        <v>0</v>
      </c>
      <c r="W885" s="5">
        <f t="shared" si="363"/>
        <v>0</v>
      </c>
      <c r="X885" s="5">
        <f t="shared" si="364"/>
        <v>-11.269656265699778</v>
      </c>
      <c r="Y885" s="5">
        <f t="shared" si="365"/>
        <v>12.573317908956643</v>
      </c>
      <c r="Z885" s="5">
        <f>1</f>
        <v>1</v>
      </c>
      <c r="AA885" s="5">
        <f>IF(M885=0,0,const*($T885/omega)*O885*(wy*I885-wz*(H885-V885))/Z885)</f>
        <v>0</v>
      </c>
      <c r="AB885" s="5">
        <f>IF(M885=0,0,const*($T885/omega)*O885*(wz*(G885-U885)-wx*I885)/Z885)</f>
        <v>7.7423177302291011</v>
      </c>
      <c r="AC885" s="5">
        <f>IF(M885=0,0,const*($T885/omega)*O885*(wx*(H885-V885)-wy*(G885-U885))/Z885)</f>
        <v>6.9395572553971405</v>
      </c>
      <c r="AD885" s="5">
        <f t="shared" si="378"/>
        <v>0</v>
      </c>
      <c r="AE885" s="5">
        <f t="shared" si="378"/>
        <v>-3.527338535470677</v>
      </c>
      <c r="AF885" s="5">
        <f t="shared" si="366"/>
        <v>-12.661124835646216</v>
      </c>
      <c r="AG885">
        <f t="shared" si="377"/>
        <v>0</v>
      </c>
    </row>
    <row r="886" spans="1:33" x14ac:dyDescent="0.2">
      <c r="A886">
        <f t="shared" si="367"/>
        <v>8.5399999999998624</v>
      </c>
      <c r="B886" s="5">
        <f t="shared" si="368"/>
        <v>0</v>
      </c>
      <c r="C886" s="5">
        <f t="shared" si="369"/>
        <v>1135.9960269898741</v>
      </c>
      <c r="D886" s="5">
        <f t="shared" si="370"/>
        <v>-272.11019052955055</v>
      </c>
      <c r="E886" s="2">
        <f t="shared" si="352"/>
        <v>378.66534232995804</v>
      </c>
      <c r="F886" s="2">
        <f t="shared" si="371"/>
        <v>0</v>
      </c>
      <c r="G886" s="3">
        <f t="shared" si="372"/>
        <v>0</v>
      </c>
      <c r="H886" s="3">
        <f t="shared" si="373"/>
        <v>92.00345455055303</v>
      </c>
      <c r="I886" s="3">
        <f t="shared" si="374"/>
        <v>-102.81227964769161</v>
      </c>
      <c r="J886" s="2">
        <f t="shared" si="353"/>
        <v>137.96738924684638</v>
      </c>
      <c r="K886" s="2">
        <f t="shared" si="375"/>
        <v>94.047300100099775</v>
      </c>
      <c r="L886" s="5">
        <f t="shared" si="354"/>
        <v>25.364104737620362</v>
      </c>
      <c r="M886" s="3">
        <f t="shared" si="355"/>
        <v>15.70183867661579</v>
      </c>
      <c r="N886" s="2">
        <v>0</v>
      </c>
      <c r="O886" s="2">
        <f t="shared" si="356"/>
        <v>137.96738924684638</v>
      </c>
      <c r="P886" s="2">
        <f t="shared" si="357"/>
        <v>94.047300100099775</v>
      </c>
      <c r="Q886" s="5">
        <f t="shared" si="358"/>
        <v>1.1627852475280342</v>
      </c>
      <c r="R886" s="5">
        <f t="shared" si="359"/>
        <v>0.15623426989612615</v>
      </c>
      <c r="S886" s="4">
        <f t="shared" si="376"/>
        <v>0.11380833371082071</v>
      </c>
      <c r="T886" s="5">
        <f t="shared" si="360"/>
        <v>9.6179193276228689E-2</v>
      </c>
      <c r="U886" s="4">
        <f t="shared" si="361"/>
        <v>0</v>
      </c>
      <c r="V886" s="4">
        <f t="shared" si="362"/>
        <v>0</v>
      </c>
      <c r="W886" s="5">
        <f t="shared" si="363"/>
        <v>0</v>
      </c>
      <c r="X886" s="5">
        <f t="shared" si="364"/>
        <v>-11.269268370192364</v>
      </c>
      <c r="Y886" s="5">
        <f t="shared" si="365"/>
        <v>12.59321377399452</v>
      </c>
      <c r="Z886" s="5">
        <f>1</f>
        <v>1</v>
      </c>
      <c r="AA886" s="5">
        <f>IF(M886=0,0,const*($T886/omega)*O886*(wy*I886-wz*(H886-V886))/Z886)</f>
        <v>0</v>
      </c>
      <c r="AB886" s="5">
        <f>IF(M886=0,0,const*($T886/omega)*O886*(wz*(G886-U886)-wx*I886)/Z886)</f>
        <v>7.7524933700088052</v>
      </c>
      <c r="AC886" s="5">
        <f>IF(M886=0,0,const*($T886/omega)*O886*(wx*(H886-V886)-wy*(G886-U886))/Z886)</f>
        <v>6.9374609128908968</v>
      </c>
      <c r="AD886" s="5">
        <f t="shared" si="378"/>
        <v>0</v>
      </c>
      <c r="AE886" s="5">
        <f t="shared" si="378"/>
        <v>-3.5167750001835589</v>
      </c>
      <c r="AF886" s="5">
        <f t="shared" si="366"/>
        <v>-12.64332531311458</v>
      </c>
      <c r="AG886">
        <f t="shared" si="377"/>
        <v>0</v>
      </c>
    </row>
    <row r="887" spans="1:33" x14ac:dyDescent="0.2">
      <c r="A887">
        <f t="shared" si="367"/>
        <v>8.5499999999998622</v>
      </c>
      <c r="B887" s="5">
        <f t="shared" si="368"/>
        <v>0</v>
      </c>
      <c r="C887" s="5">
        <f t="shared" si="369"/>
        <v>1136.9158856966296</v>
      </c>
      <c r="D887" s="5">
        <f t="shared" si="370"/>
        <v>-273.13894549229309</v>
      </c>
      <c r="E887" s="2">
        <f t="shared" si="352"/>
        <v>378.97196189887654</v>
      </c>
      <c r="F887" s="2">
        <f t="shared" si="371"/>
        <v>0</v>
      </c>
      <c r="G887" s="3">
        <f t="shared" si="372"/>
        <v>0</v>
      </c>
      <c r="H887" s="3">
        <f t="shared" si="373"/>
        <v>91.968286800551198</v>
      </c>
      <c r="I887" s="3">
        <f t="shared" si="374"/>
        <v>-102.93871290082275</v>
      </c>
      <c r="J887" s="2">
        <f t="shared" si="353"/>
        <v>138.03819902732161</v>
      </c>
      <c r="K887" s="2">
        <f t="shared" si="375"/>
        <v>94.095568525781601</v>
      </c>
      <c r="L887" s="5">
        <f t="shared" si="354"/>
        <v>25.351093652999751</v>
      </c>
      <c r="M887" s="3">
        <f t="shared" si="355"/>
        <v>15.692934101566523</v>
      </c>
      <c r="N887" s="2">
        <v>0</v>
      </c>
      <c r="O887" s="2">
        <f t="shared" si="356"/>
        <v>138.03819902732161</v>
      </c>
      <c r="P887" s="2">
        <f t="shared" si="357"/>
        <v>94.095568525781601</v>
      </c>
      <c r="Q887" s="5">
        <f t="shared" si="358"/>
        <v>1.1633820303516187</v>
      </c>
      <c r="R887" s="5">
        <f t="shared" si="359"/>
        <v>0.15620862037832464</v>
      </c>
      <c r="S887" s="4">
        <f t="shared" si="376"/>
        <v>0.11368544513146288</v>
      </c>
      <c r="T887" s="5">
        <f t="shared" si="360"/>
        <v>9.6137638655589969E-2</v>
      </c>
      <c r="U887" s="4">
        <f t="shared" si="361"/>
        <v>0</v>
      </c>
      <c r="V887" s="4">
        <f t="shared" si="362"/>
        <v>0</v>
      </c>
      <c r="W887" s="5">
        <f t="shared" si="363"/>
        <v>0</v>
      </c>
      <c r="X887" s="5">
        <f t="shared" si="364"/>
        <v>-11.268891984953624</v>
      </c>
      <c r="Y887" s="5">
        <f t="shared" si="365"/>
        <v>12.613100418682274</v>
      </c>
      <c r="Z887" s="5">
        <f>1</f>
        <v>1</v>
      </c>
      <c r="AA887" s="5">
        <f>IF(M887=0,0,const*($T887/omega)*O887*(wy*I887-wz*(H887-V887))/Z887)</f>
        <v>0</v>
      </c>
      <c r="AB887" s="5">
        <f>IF(M887=0,0,const*($T887/omega)*O887*(wz*(G887-U887)-wx*I887)/Z887)</f>
        <v>7.7626553991779907</v>
      </c>
      <c r="AC887" s="5">
        <f>IF(M887=0,0,const*($T887/omega)*O887*(wx*(H887-V887)-wy*(G887-U887))/Z887)</f>
        <v>6.9353705517309088</v>
      </c>
      <c r="AD887" s="5">
        <f t="shared" si="378"/>
        <v>0</v>
      </c>
      <c r="AE887" s="5">
        <f t="shared" si="378"/>
        <v>-3.5062365857756337</v>
      </c>
      <c r="AF887" s="5">
        <f t="shared" si="366"/>
        <v>-12.625529029586815</v>
      </c>
      <c r="AG887">
        <f t="shared" si="377"/>
        <v>0</v>
      </c>
    </row>
    <row r="888" spans="1:33" x14ac:dyDescent="0.2">
      <c r="A888">
        <f t="shared" si="367"/>
        <v>8.5599999999998619</v>
      </c>
      <c r="B888" s="5">
        <f t="shared" si="368"/>
        <v>0</v>
      </c>
      <c r="C888" s="5">
        <f t="shared" si="369"/>
        <v>1137.8353932528059</v>
      </c>
      <c r="D888" s="5">
        <f t="shared" si="370"/>
        <v>-274.1689638977528</v>
      </c>
      <c r="E888" s="2">
        <f t="shared" si="352"/>
        <v>379.27846441760198</v>
      </c>
      <c r="F888" s="2">
        <f t="shared" si="371"/>
        <v>0</v>
      </c>
      <c r="G888" s="3">
        <f t="shared" si="372"/>
        <v>0</v>
      </c>
      <c r="H888" s="3">
        <f t="shared" si="373"/>
        <v>91.933224434693443</v>
      </c>
      <c r="I888" s="3">
        <f t="shared" si="374"/>
        <v>-103.06496819111862</v>
      </c>
      <c r="J888" s="2">
        <f t="shared" si="353"/>
        <v>138.10903454588339</v>
      </c>
      <c r="K888" s="2">
        <f t="shared" si="375"/>
        <v>94.143854496171357</v>
      </c>
      <c r="L888" s="5">
        <f t="shared" si="354"/>
        <v>25.338091188165183</v>
      </c>
      <c r="M888" s="3">
        <f t="shared" si="355"/>
        <v>15.684027241654396</v>
      </c>
      <c r="N888" s="2">
        <v>0</v>
      </c>
      <c r="O888" s="2">
        <f t="shared" si="356"/>
        <v>138.10903454588339</v>
      </c>
      <c r="P888" s="2">
        <f t="shared" si="357"/>
        <v>94.143854496171357</v>
      </c>
      <c r="Q888" s="5">
        <f t="shared" si="358"/>
        <v>1.163979030095067</v>
      </c>
      <c r="R888" s="5">
        <f t="shared" si="359"/>
        <v>0.15618298929163962</v>
      </c>
      <c r="S888" s="4">
        <f t="shared" si="376"/>
        <v>0.11356264485683416</v>
      </c>
      <c r="T888" s="5">
        <f t="shared" si="360"/>
        <v>9.6096086964254993E-2</v>
      </c>
      <c r="U888" s="4">
        <f t="shared" si="361"/>
        <v>0</v>
      </c>
      <c r="V888" s="4">
        <f t="shared" si="362"/>
        <v>0</v>
      </c>
      <c r="W888" s="5">
        <f t="shared" si="363"/>
        <v>0</v>
      </c>
      <c r="X888" s="5">
        <f t="shared" si="364"/>
        <v>-11.268527042604786</v>
      </c>
      <c r="Y888" s="5">
        <f t="shared" si="365"/>
        <v>12.63297777651472</v>
      </c>
      <c r="Z888" s="5">
        <f>1</f>
        <v>1</v>
      </c>
      <c r="AA888" s="5">
        <f>IF(M888=0,0,const*($T888/omega)*O888*(wy*I888-wz*(H888-V888))/Z888)</f>
        <v>0</v>
      </c>
      <c r="AB888" s="5">
        <f>IF(M888=0,0,const*($T888/omega)*O888*(wz*(G888-U888)-wx*I888)/Z888)</f>
        <v>7.7728037895509949</v>
      </c>
      <c r="AC888" s="5">
        <f>IF(M888=0,0,const*($T888/omega)*O888*(wx*(H888-V888)-wy*(G888-U888))/Z888)</f>
        <v>6.9332861379877126</v>
      </c>
      <c r="AD888" s="5">
        <f t="shared" si="378"/>
        <v>0</v>
      </c>
      <c r="AE888" s="5">
        <f t="shared" si="378"/>
        <v>-3.4957232530537912</v>
      </c>
      <c r="AF888" s="5">
        <f t="shared" si="366"/>
        <v>-12.607736085497567</v>
      </c>
      <c r="AG888">
        <f t="shared" si="377"/>
        <v>0</v>
      </c>
    </row>
    <row r="889" spans="1:33" x14ac:dyDescent="0.2">
      <c r="A889">
        <f t="shared" si="367"/>
        <v>8.5699999999998617</v>
      </c>
      <c r="B889" s="5">
        <f t="shared" si="368"/>
        <v>0</v>
      </c>
      <c r="C889" s="5">
        <f t="shared" si="369"/>
        <v>1138.7545507109901</v>
      </c>
      <c r="D889" s="5">
        <f t="shared" si="370"/>
        <v>-275.20024396646829</v>
      </c>
      <c r="E889" s="2">
        <f t="shared" si="352"/>
        <v>379.58485023699672</v>
      </c>
      <c r="F889" s="2">
        <f t="shared" si="371"/>
        <v>0</v>
      </c>
      <c r="G889" s="3">
        <f t="shared" si="372"/>
        <v>0</v>
      </c>
      <c r="H889" s="3">
        <f t="shared" si="373"/>
        <v>91.898267202162899</v>
      </c>
      <c r="I889" s="3">
        <f t="shared" si="374"/>
        <v>-103.1910455519736</v>
      </c>
      <c r="J889" s="2">
        <f t="shared" si="353"/>
        <v>138.17989505304169</v>
      </c>
      <c r="K889" s="2">
        <f t="shared" si="375"/>
        <v>94.192157500369248</v>
      </c>
      <c r="L889" s="5">
        <f t="shared" si="354"/>
        <v>25.32509747448978</v>
      </c>
      <c r="M889" s="3">
        <f t="shared" si="355"/>
        <v>15.675118131817241</v>
      </c>
      <c r="N889" s="2">
        <v>0</v>
      </c>
      <c r="O889" s="2">
        <f t="shared" si="356"/>
        <v>138.17989505304169</v>
      </c>
      <c r="P889" s="2">
        <f t="shared" si="357"/>
        <v>94.192157500369248</v>
      </c>
      <c r="Q889" s="5">
        <f t="shared" si="358"/>
        <v>1.1645762404416991</v>
      </c>
      <c r="R889" s="5">
        <f t="shared" si="359"/>
        <v>0.15615737680324879</v>
      </c>
      <c r="S889" s="4">
        <f t="shared" si="376"/>
        <v>0.11343993368789429</v>
      </c>
      <c r="T889" s="5">
        <f t="shared" si="360"/>
        <v>9.6054538485040655E-2</v>
      </c>
      <c r="U889" s="4">
        <f t="shared" si="361"/>
        <v>0</v>
      </c>
      <c r="V889" s="4">
        <f t="shared" si="362"/>
        <v>0</v>
      </c>
      <c r="W889" s="5">
        <f t="shared" si="363"/>
        <v>0</v>
      </c>
      <c r="X889" s="5">
        <f t="shared" si="364"/>
        <v>-11.268173476114521</v>
      </c>
      <c r="Y889" s="5">
        <f t="shared" si="365"/>
        <v>12.652845781121622</v>
      </c>
      <c r="Z889" s="5">
        <f>1</f>
        <v>1</v>
      </c>
      <c r="AA889" s="5">
        <f>IF(M889=0,0,const*($T889/omega)*O889*(wy*I889-wz*(H889-V889))/Z889)</f>
        <v>0</v>
      </c>
      <c r="AB889" s="5">
        <f>IF(M889=0,0,const*($T889/omega)*O889*(wz*(G889-U889)-wx*I889)/Z889)</f>
        <v>7.7829385131086939</v>
      </c>
      <c r="AC889" s="5">
        <f>IF(M889=0,0,const*($T889/omega)*O889*(wx*(H889-V889)-wy*(G889-U889))/Z889)</f>
        <v>6.9312076379284999</v>
      </c>
      <c r="AD889" s="5">
        <f t="shared" si="378"/>
        <v>0</v>
      </c>
      <c r="AE889" s="5">
        <f t="shared" si="378"/>
        <v>-3.4852349630058272</v>
      </c>
      <c r="AF889" s="5">
        <f t="shared" si="366"/>
        <v>-12.589946580949878</v>
      </c>
      <c r="AG889">
        <f t="shared" si="377"/>
        <v>0</v>
      </c>
    </row>
    <row r="890" spans="1:33" x14ac:dyDescent="0.2">
      <c r="A890">
        <f t="shared" si="367"/>
        <v>8.5799999999998615</v>
      </c>
      <c r="B890" s="5">
        <f t="shared" si="368"/>
        <v>0</v>
      </c>
      <c r="C890" s="5">
        <f t="shared" si="369"/>
        <v>1139.6733591212637</v>
      </c>
      <c r="D890" s="5">
        <f t="shared" si="370"/>
        <v>-276.23278391931706</v>
      </c>
      <c r="E890" s="2">
        <f t="shared" si="352"/>
        <v>379.89111970708791</v>
      </c>
      <c r="F890" s="2">
        <f t="shared" si="371"/>
        <v>0</v>
      </c>
      <c r="G890" s="3">
        <f t="shared" si="372"/>
        <v>0</v>
      </c>
      <c r="H890" s="3">
        <f t="shared" si="373"/>
        <v>91.863414852532841</v>
      </c>
      <c r="I890" s="3">
        <f t="shared" si="374"/>
        <v>-103.3169450177831</v>
      </c>
      <c r="J890" s="2">
        <f t="shared" si="353"/>
        <v>138.25077980313949</v>
      </c>
      <c r="K890" s="2">
        <f t="shared" si="375"/>
        <v>94.240477030088272</v>
      </c>
      <c r="L890" s="5">
        <f t="shared" si="354"/>
        <v>25.31211264208422</v>
      </c>
      <c r="M890" s="3">
        <f t="shared" si="355"/>
        <v>15.666206806920043</v>
      </c>
      <c r="N890" s="2">
        <v>0</v>
      </c>
      <c r="O890" s="2">
        <f t="shared" si="356"/>
        <v>138.25077980313949</v>
      </c>
      <c r="P890" s="2">
        <f t="shared" si="357"/>
        <v>94.240477030088272</v>
      </c>
      <c r="Q890" s="5">
        <f t="shared" si="358"/>
        <v>1.1651736551071386</v>
      </c>
      <c r="R890" s="5">
        <f t="shared" si="359"/>
        <v>0.15613178307864564</v>
      </c>
      <c r="S890" s="4">
        <f t="shared" si="376"/>
        <v>0.11331731241753389</v>
      </c>
      <c r="T890" s="5">
        <f t="shared" si="360"/>
        <v>9.6012993498761801E-2</v>
      </c>
      <c r="U890" s="4">
        <f t="shared" si="361"/>
        <v>0</v>
      </c>
      <c r="V890" s="4">
        <f t="shared" si="362"/>
        <v>0</v>
      </c>
      <c r="W890" s="5">
        <f t="shared" si="363"/>
        <v>0</v>
      </c>
      <c r="X890" s="5">
        <f t="shared" si="364"/>
        <v>-11.267831218796992</v>
      </c>
      <c r="Y890" s="5">
        <f t="shared" si="365"/>
        <v>12.672704366269384</v>
      </c>
      <c r="Z890" s="5">
        <f>1</f>
        <v>1</v>
      </c>
      <c r="AA890" s="5">
        <f>IF(M890=0,0,const*($T890/omega)*O890*(wy*I890-wz*(H890-V890))/Z890)</f>
        <v>0</v>
      </c>
      <c r="AB890" s="5">
        <f>IF(M890=0,0,const*($T890/omega)*O890*(wz*(G890-U890)-wx*I890)/Z890)</f>
        <v>7.7930595419989697</v>
      </c>
      <c r="AC890" s="5">
        <f>IF(M890=0,0,const*($T890/omega)*O890*(wx*(H890-V890)-wy*(G890-U890))/Z890)</f>
        <v>6.9291350180158684</v>
      </c>
      <c r="AD890" s="5">
        <f t="shared" si="378"/>
        <v>0</v>
      </c>
      <c r="AE890" s="5">
        <f t="shared" si="378"/>
        <v>-3.4747716767980226</v>
      </c>
      <c r="AF890" s="5">
        <f t="shared" si="366"/>
        <v>-12.572160615714747</v>
      </c>
      <c r="AG890">
        <f t="shared" si="377"/>
        <v>0</v>
      </c>
    </row>
    <row r="891" spans="1:33" x14ac:dyDescent="0.2">
      <c r="A891">
        <f t="shared" si="367"/>
        <v>8.5899999999998613</v>
      </c>
      <c r="B891" s="5">
        <f t="shared" si="368"/>
        <v>0</v>
      </c>
      <c r="C891" s="5">
        <f t="shared" si="369"/>
        <v>1140.5918195312051</v>
      </c>
      <c r="D891" s="5">
        <f t="shared" si="370"/>
        <v>-277.26658197752568</v>
      </c>
      <c r="E891" s="2">
        <f t="shared" si="352"/>
        <v>380.19727317706838</v>
      </c>
      <c r="F891" s="2">
        <f t="shared" si="371"/>
        <v>0</v>
      </c>
      <c r="G891" s="3">
        <f t="shared" si="372"/>
        <v>0</v>
      </c>
      <c r="H891" s="3">
        <f t="shared" si="373"/>
        <v>91.82866713576486</v>
      </c>
      <c r="I891" s="3">
        <f t="shared" si="374"/>
        <v>-103.44266662394024</v>
      </c>
      <c r="J891" s="2">
        <f t="shared" si="353"/>
        <v>138.32168805434216</v>
      </c>
      <c r="K891" s="2">
        <f t="shared" si="375"/>
        <v>94.288812579647001</v>
      </c>
      <c r="L891" s="5">
        <f t="shared" si="354"/>
        <v>25.299136819803987</v>
      </c>
      <c r="M891" s="3">
        <f t="shared" si="355"/>
        <v>15.657293301754459</v>
      </c>
      <c r="N891" s="2">
        <v>0</v>
      </c>
      <c r="O891" s="2">
        <f t="shared" si="356"/>
        <v>138.32168805434216</v>
      </c>
      <c r="P891" s="2">
        <f t="shared" si="357"/>
        <v>94.288812579647001</v>
      </c>
      <c r="Q891" s="5">
        <f t="shared" si="358"/>
        <v>1.1657712678392236</v>
      </c>
      <c r="R891" s="5">
        <f t="shared" si="359"/>
        <v>0.15610620828164923</v>
      </c>
      <c r="S891" s="4">
        <f t="shared" si="376"/>
        <v>0.11319478183062087</v>
      </c>
      <c r="T891" s="5">
        <f t="shared" si="360"/>
        <v>9.5971452284239991E-2</v>
      </c>
      <c r="U891" s="4">
        <f t="shared" si="361"/>
        <v>0</v>
      </c>
      <c r="V891" s="4">
        <f t="shared" si="362"/>
        <v>0</v>
      </c>
      <c r="W891" s="5">
        <f t="shared" si="363"/>
        <v>0</v>
      </c>
      <c r="X891" s="5">
        <f t="shared" si="364"/>
        <v>-11.267500204309833</v>
      </c>
      <c r="Y891" s="5">
        <f t="shared" si="365"/>
        <v>12.692553465862659</v>
      </c>
      <c r="Z891" s="5">
        <f>1</f>
        <v>1</v>
      </c>
      <c r="AA891" s="5">
        <f>IF(M891=0,0,const*($T891/omega)*O891*(wy*I891-wz*(H891-V891))/Z891)</f>
        <v>0</v>
      </c>
      <c r="AB891" s="5">
        <f>IF(M891=0,0,const*($T891/omega)*O891*(wz*(G891-U891)-wx*I891)/Z891)</f>
        <v>7.8031668485371632</v>
      </c>
      <c r="AC891" s="5">
        <f>IF(M891=0,0,const*($T891/omega)*O891*(wx*(H891-V891)-wy*(G891-U891))/Z891)</f>
        <v>6.9270682449065824</v>
      </c>
      <c r="AD891" s="5">
        <f t="shared" si="378"/>
        <v>0</v>
      </c>
      <c r="AE891" s="5">
        <f t="shared" si="378"/>
        <v>-3.4643333557726699</v>
      </c>
      <c r="AF891" s="5">
        <f t="shared" si="366"/>
        <v>-12.554378289230758</v>
      </c>
      <c r="AG891">
        <f t="shared" si="377"/>
        <v>0</v>
      </c>
    </row>
    <row r="892" spans="1:33" x14ac:dyDescent="0.2">
      <c r="A892">
        <f t="shared" si="367"/>
        <v>8.5999999999998611</v>
      </c>
      <c r="B892" s="5">
        <f t="shared" si="368"/>
        <v>0</v>
      </c>
      <c r="C892" s="5">
        <f t="shared" si="369"/>
        <v>1141.5099329858951</v>
      </c>
      <c r="D892" s="5">
        <f t="shared" si="370"/>
        <v>-278.30163636267957</v>
      </c>
      <c r="E892" s="2">
        <f t="shared" si="352"/>
        <v>380.50331099529836</v>
      </c>
      <c r="F892" s="2">
        <f t="shared" si="371"/>
        <v>0</v>
      </c>
      <c r="G892" s="3">
        <f t="shared" si="372"/>
        <v>0</v>
      </c>
      <c r="H892" s="3">
        <f t="shared" si="373"/>
        <v>91.794023802207136</v>
      </c>
      <c r="I892" s="3">
        <f t="shared" si="374"/>
        <v>-103.56821040683255</v>
      </c>
      <c r="J892" s="2">
        <f t="shared" si="353"/>
        <v>138.39261906862703</v>
      </c>
      <c r="K892" s="2">
        <f t="shared" si="375"/>
        <v>94.337163645962519</v>
      </c>
      <c r="L892" s="5">
        <f t="shared" si="354"/>
        <v>25.286170135256523</v>
      </c>
      <c r="M892" s="3">
        <f t="shared" si="355"/>
        <v>15.648377651038372</v>
      </c>
      <c r="N892" s="2">
        <v>0</v>
      </c>
      <c r="O892" s="2">
        <f t="shared" si="356"/>
        <v>138.39261906862703</v>
      </c>
      <c r="P892" s="2">
        <f t="shared" si="357"/>
        <v>94.337163645962519</v>
      </c>
      <c r="Q892" s="5">
        <f t="shared" si="358"/>
        <v>1.1663690724179208</v>
      </c>
      <c r="R892" s="5">
        <f t="shared" si="359"/>
        <v>0.15608065257441361</v>
      </c>
      <c r="S892" s="4">
        <f t="shared" si="376"/>
        <v>0.11307234270404662</v>
      </c>
      <c r="T892" s="5">
        <f t="shared" si="360"/>
        <v>9.5929915118312017E-2</v>
      </c>
      <c r="U892" s="4">
        <f t="shared" si="361"/>
        <v>0</v>
      </c>
      <c r="V892" s="4">
        <f t="shared" si="362"/>
        <v>0</v>
      </c>
      <c r="W892" s="5">
        <f t="shared" si="363"/>
        <v>0</v>
      </c>
      <c r="X892" s="5">
        <f t="shared" si="364"/>
        <v>-11.267180366652186</v>
      </c>
      <c r="Y892" s="5">
        <f t="shared" si="365"/>
        <v>12.712393013945951</v>
      </c>
      <c r="Z892" s="5">
        <f>1</f>
        <v>1</v>
      </c>
      <c r="AA892" s="5">
        <f>IF(M892=0,0,const*($T892/omega)*O892*(wy*I892-wz*(H892-V892))/Z892)</f>
        <v>0</v>
      </c>
      <c r="AB892" s="5">
        <f>IF(M892=0,0,const*($T892/omega)*O892*(wz*(G892-U892)-wx*I892)/Z892)</f>
        <v>7.8132604052065</v>
      </c>
      <c r="AC892" s="5">
        <f>IF(M892=0,0,const*($T892/omega)*O892*(wx*(H892-V892)-wy*(G892-U892))/Z892)</f>
        <v>6.9250072854503291</v>
      </c>
      <c r="AD892" s="5">
        <f t="shared" si="378"/>
        <v>0</v>
      </c>
      <c r="AE892" s="5">
        <f t="shared" si="378"/>
        <v>-3.4539199614456857</v>
      </c>
      <c r="AF892" s="5">
        <f t="shared" si="366"/>
        <v>-12.53659970060372</v>
      </c>
      <c r="AG892">
        <f t="shared" si="377"/>
        <v>0</v>
      </c>
    </row>
    <row r="893" spans="1:33" x14ac:dyDescent="0.2">
      <c r="A893">
        <f t="shared" si="367"/>
        <v>8.6099999999998609</v>
      </c>
      <c r="B893" s="5">
        <f t="shared" si="368"/>
        <v>0</v>
      </c>
      <c r="C893" s="5">
        <f t="shared" si="369"/>
        <v>1142.4277005279191</v>
      </c>
      <c r="D893" s="5">
        <f t="shared" si="370"/>
        <v>-279.33794529673293</v>
      </c>
      <c r="E893" s="2">
        <f t="shared" si="352"/>
        <v>380.80923350930635</v>
      </c>
      <c r="F893" s="2">
        <f t="shared" si="371"/>
        <v>0</v>
      </c>
      <c r="G893" s="3">
        <f t="shared" si="372"/>
        <v>0</v>
      </c>
      <c r="H893" s="3">
        <f t="shared" si="373"/>
        <v>91.759484602592678</v>
      </c>
      <c r="I893" s="3">
        <f t="shared" si="374"/>
        <v>-103.69357640383859</v>
      </c>
      <c r="J893" s="2">
        <f t="shared" si="353"/>
        <v>138.46357211177298</v>
      </c>
      <c r="K893" s="2">
        <f t="shared" si="375"/>
        <v>94.385529728543261</v>
      </c>
      <c r="L893" s="5">
        <f t="shared" si="354"/>
        <v>25.273212714808388</v>
      </c>
      <c r="M893" s="3">
        <f t="shared" si="355"/>
        <v>15.639459889415418</v>
      </c>
      <c r="N893" s="2">
        <v>0</v>
      </c>
      <c r="O893" s="2">
        <f t="shared" si="356"/>
        <v>138.46357211177298</v>
      </c>
      <c r="P893" s="2">
        <f t="shared" si="357"/>
        <v>94.385529728543261</v>
      </c>
      <c r="Q893" s="5">
        <f t="shared" si="358"/>
        <v>1.1669670626552349</v>
      </c>
      <c r="R893" s="5">
        <f t="shared" si="359"/>
        <v>0.15605511611743766</v>
      </c>
      <c r="S893" s="4">
        <f t="shared" si="376"/>
        <v>0.11294999580677191</v>
      </c>
      <c r="T893" s="5">
        <f t="shared" si="360"/>
        <v>9.588838227583861E-2</v>
      </c>
      <c r="U893" s="4">
        <f t="shared" si="361"/>
        <v>0</v>
      </c>
      <c r="V893" s="4">
        <f t="shared" si="362"/>
        <v>0</v>
      </c>
      <c r="W893" s="5">
        <f t="shared" si="363"/>
        <v>0</v>
      </c>
      <c r="X893" s="5">
        <f t="shared" si="364"/>
        <v>-11.26687164016275</v>
      </c>
      <c r="Y893" s="5">
        <f t="shared" si="365"/>
        <v>12.732222944705246</v>
      </c>
      <c r="Z893" s="5">
        <f>1</f>
        <v>1</v>
      </c>
      <c r="AA893" s="5">
        <f>IF(M893=0,0,const*($T893/omega)*O893*(wy*I893-wz*(H893-V893))/Z893)</f>
        <v>0</v>
      </c>
      <c r="AB893" s="5">
        <f>IF(M893=0,0,const*($T893/omega)*O893*(wz*(G893-U893)-wx*I893)/Z893)</f>
        <v>7.8233401846585124</v>
      </c>
      <c r="AC893" s="5">
        <f>IF(M893=0,0,const*($T893/omega)*O893*(wx*(H893-V893)-wy*(G893-U893))/Z893)</f>
        <v>6.9229521066884807</v>
      </c>
      <c r="AD893" s="5">
        <f t="shared" si="378"/>
        <v>0</v>
      </c>
      <c r="AE893" s="5">
        <f t="shared" si="378"/>
        <v>-3.4435314555042371</v>
      </c>
      <c r="AF893" s="5">
        <f t="shared" si="366"/>
        <v>-12.518824948606273</v>
      </c>
      <c r="AG893">
        <f t="shared" si="377"/>
        <v>0</v>
      </c>
    </row>
    <row r="894" spans="1:33" x14ac:dyDescent="0.2">
      <c r="A894">
        <f t="shared" si="367"/>
        <v>8.6199999999998607</v>
      </c>
      <c r="B894" s="5">
        <f t="shared" si="368"/>
        <v>0</v>
      </c>
      <c r="C894" s="5">
        <f t="shared" si="369"/>
        <v>1143.3451231973722</v>
      </c>
      <c r="D894" s="5">
        <f t="shared" si="370"/>
        <v>-280.37550700201876</v>
      </c>
      <c r="E894" s="2">
        <f t="shared" si="352"/>
        <v>381.11504106579076</v>
      </c>
      <c r="F894" s="2">
        <f t="shared" si="371"/>
        <v>0</v>
      </c>
      <c r="G894" s="3">
        <f t="shared" si="372"/>
        <v>0</v>
      </c>
      <c r="H894" s="3">
        <f t="shared" si="373"/>
        <v>91.725049288037638</v>
      </c>
      <c r="I894" s="3">
        <f t="shared" si="374"/>
        <v>-103.81876465332465</v>
      </c>
      <c r="J894" s="2">
        <f t="shared" si="353"/>
        <v>138.53454645334986</v>
      </c>
      <c r="K894" s="2">
        <f t="shared" si="375"/>
        <v>94.433910329481833</v>
      </c>
      <c r="L894" s="5">
        <f t="shared" si="354"/>
        <v>25.260264683592432</v>
      </c>
      <c r="M894" s="3">
        <f t="shared" si="355"/>
        <v>15.630540051454528</v>
      </c>
      <c r="N894" s="2">
        <v>0</v>
      </c>
      <c r="O894" s="2">
        <f t="shared" si="356"/>
        <v>138.53454645334986</v>
      </c>
      <c r="P894" s="2">
        <f t="shared" si="357"/>
        <v>94.433910329481833</v>
      </c>
      <c r="Q894" s="5">
        <f t="shared" si="358"/>
        <v>1.1675652323951213</v>
      </c>
      <c r="R894" s="5">
        <f t="shared" si="359"/>
        <v>0.1560295990695745</v>
      </c>
      <c r="S894" s="4">
        <f t="shared" si="376"/>
        <v>0.11282774189987302</v>
      </c>
      <c r="T894" s="5">
        <f t="shared" si="360"/>
        <v>9.5846854029713019E-2</v>
      </c>
      <c r="U894" s="4">
        <f t="shared" si="361"/>
        <v>0</v>
      </c>
      <c r="V894" s="4">
        <f t="shared" si="362"/>
        <v>0</v>
      </c>
      <c r="W894" s="5">
        <f t="shared" si="363"/>
        <v>0</v>
      </c>
      <c r="X894" s="5">
        <f t="shared" si="364"/>
        <v>-11.266573959517812</v>
      </c>
      <c r="Y894" s="5">
        <f t="shared" si="365"/>
        <v>12.752043192469566</v>
      </c>
      <c r="Z894" s="5">
        <f>1</f>
        <v>1</v>
      </c>
      <c r="AA894" s="5">
        <f>IF(M894=0,0,const*($T894/omega)*O894*(wy*I894-wz*(H894-V894))/Z894)</f>
        <v>0</v>
      </c>
      <c r="AB894" s="5">
        <f>IF(M894=0,0,const*($T894/omega)*O894*(wz*(G894-U894)-wx*I894)/Z894)</f>
        <v>7.8334061597134577</v>
      </c>
      <c r="AC894" s="5">
        <f>IF(M894=0,0,const*($T894/omega)*O894*(wx*(H894-V894)-wy*(G894-U894))/Z894)</f>
        <v>6.9209026758528758</v>
      </c>
      <c r="AD894" s="5">
        <f t="shared" si="378"/>
        <v>0</v>
      </c>
      <c r="AE894" s="5">
        <f t="shared" si="378"/>
        <v>-3.4331677998043544</v>
      </c>
      <c r="AF894" s="5">
        <f t="shared" si="366"/>
        <v>-12.501054131677556</v>
      </c>
      <c r="AG894">
        <f t="shared" si="377"/>
        <v>0</v>
      </c>
    </row>
    <row r="895" spans="1:33" x14ac:dyDescent="0.2">
      <c r="A895">
        <f t="shared" si="367"/>
        <v>8.6299999999998604</v>
      </c>
      <c r="B895" s="5">
        <f t="shared" si="368"/>
        <v>0</v>
      </c>
      <c r="C895" s="5">
        <f t="shared" si="369"/>
        <v>1144.2622020318627</v>
      </c>
      <c r="D895" s="5">
        <f t="shared" si="370"/>
        <v>-281.41431970125859</v>
      </c>
      <c r="E895" s="2">
        <f t="shared" si="352"/>
        <v>381.42073401062089</v>
      </c>
      <c r="F895" s="2">
        <f t="shared" si="371"/>
        <v>0</v>
      </c>
      <c r="G895" s="3">
        <f t="shared" si="372"/>
        <v>0</v>
      </c>
      <c r="H895" s="3">
        <f t="shared" si="373"/>
        <v>91.690717610039599</v>
      </c>
      <c r="I895" s="3">
        <f t="shared" si="374"/>
        <v>-103.94377519464142</v>
      </c>
      <c r="J895" s="2">
        <f t="shared" si="353"/>
        <v>138.60554136670791</v>
      </c>
      <c r="K895" s="2">
        <f t="shared" si="375"/>
        <v>94.48230495344778</v>
      </c>
      <c r="L895" s="5">
        <f t="shared" si="354"/>
        <v>25.247326165514945</v>
      </c>
      <c r="M895" s="3">
        <f t="shared" si="355"/>
        <v>15.621618171649494</v>
      </c>
      <c r="N895" s="2">
        <v>0</v>
      </c>
      <c r="O895" s="2">
        <f t="shared" si="356"/>
        <v>138.60554136670791</v>
      </c>
      <c r="P895" s="2">
        <f t="shared" si="357"/>
        <v>94.48230495344778</v>
      </c>
      <c r="Q895" s="5">
        <f t="shared" si="358"/>
        <v>1.1681635755133968</v>
      </c>
      <c r="R895" s="5">
        <f t="shared" si="359"/>
        <v>0.15600410158804126</v>
      </c>
      <c r="S895" s="4">
        <f t="shared" si="376"/>
        <v>0.11270558173658776</v>
      </c>
      <c r="T895" s="5">
        <f t="shared" si="360"/>
        <v>9.5805330650869783E-2</v>
      </c>
      <c r="U895" s="4">
        <f t="shared" si="361"/>
        <v>0</v>
      </c>
      <c r="V895" s="4">
        <f t="shared" si="362"/>
        <v>0</v>
      </c>
      <c r="W895" s="5">
        <f t="shared" si="363"/>
        <v>0</v>
      </c>
      <c r="X895" s="5">
        <f t="shared" si="364"/>
        <v>-11.26628725972931</v>
      </c>
      <c r="Y895" s="5">
        <f t="shared" si="365"/>
        <v>12.77185369171254</v>
      </c>
      <c r="Z895" s="5">
        <f>1</f>
        <v>1</v>
      </c>
      <c r="AA895" s="5">
        <f>IF(M895=0,0,const*($T895/omega)*O895*(wy*I895-wz*(H895-V895))/Z895)</f>
        <v>0</v>
      </c>
      <c r="AB895" s="5">
        <f>IF(M895=0,0,const*($T895/omega)*O895*(wz*(G895-U895)-wx*I895)/Z895)</f>
        <v>7.8434583033607206</v>
      </c>
      <c r="AC895" s="5">
        <f>IF(M895=0,0,const*($T895/omega)*O895*(wx*(H895-V895)-wy*(G895-U895))/Z895)</f>
        <v>6.9188589603645969</v>
      </c>
      <c r="AD895" s="5">
        <f t="shared" si="378"/>
        <v>0</v>
      </c>
      <c r="AE895" s="5">
        <f t="shared" si="378"/>
        <v>-3.4228289563685896</v>
      </c>
      <c r="AF895" s="5">
        <f t="shared" si="366"/>
        <v>-12.483287347922861</v>
      </c>
      <c r="AG895">
        <f t="shared" si="377"/>
        <v>0</v>
      </c>
    </row>
    <row r="896" spans="1:33" x14ac:dyDescent="0.2">
      <c r="A896">
        <f t="shared" si="367"/>
        <v>8.6399999999998602</v>
      </c>
      <c r="B896" s="5">
        <f t="shared" si="368"/>
        <v>0</v>
      </c>
      <c r="C896" s="5">
        <f t="shared" si="369"/>
        <v>1145.1789380665155</v>
      </c>
      <c r="D896" s="5">
        <f t="shared" si="370"/>
        <v>-282.45438161757244</v>
      </c>
      <c r="E896" s="2">
        <f t="shared" si="352"/>
        <v>381.7263126888385</v>
      </c>
      <c r="F896" s="2">
        <f t="shared" si="371"/>
        <v>0</v>
      </c>
      <c r="G896" s="3">
        <f t="shared" si="372"/>
        <v>0</v>
      </c>
      <c r="H896" s="3">
        <f t="shared" si="373"/>
        <v>91.656489320475913</v>
      </c>
      <c r="I896" s="3">
        <f t="shared" si="374"/>
        <v>-104.06860806812065</v>
      </c>
      <c r="J896" s="2">
        <f t="shared" si="353"/>
        <v>138.67655612896729</v>
      </c>
      <c r="K896" s="2">
        <f t="shared" si="375"/>
        <v>94.530713107680498</v>
      </c>
      <c r="L896" s="5">
        <f t="shared" si="354"/>
        <v>25.234397283262769</v>
      </c>
      <c r="M896" s="3">
        <f t="shared" si="355"/>
        <v>15.61269428441852</v>
      </c>
      <c r="N896" s="2">
        <v>0</v>
      </c>
      <c r="O896" s="2">
        <f t="shared" si="356"/>
        <v>138.67655612896729</v>
      </c>
      <c r="P896" s="2">
        <f t="shared" si="357"/>
        <v>94.530713107680498</v>
      </c>
      <c r="Q896" s="5">
        <f t="shared" si="358"/>
        <v>1.1687620859176504</v>
      </c>
      <c r="R896" s="5">
        <f t="shared" si="359"/>
        <v>0.15597862382842853</v>
      </c>
      <c r="S896" s="4">
        <f t="shared" si="376"/>
        <v>0.11258351606236118</v>
      </c>
      <c r="T896" s="5">
        <f t="shared" si="360"/>
        <v>9.5763812408293264E-2</v>
      </c>
      <c r="U896" s="4">
        <f t="shared" si="361"/>
        <v>0</v>
      </c>
      <c r="V896" s="4">
        <f t="shared" si="362"/>
        <v>0</v>
      </c>
      <c r="W896" s="5">
        <f t="shared" si="363"/>
        <v>0</v>
      </c>
      <c r="X896" s="5">
        <f t="shared" si="364"/>
        <v>-11.266011476142907</v>
      </c>
      <c r="Y896" s="5">
        <f t="shared" si="365"/>
        <v>12.791654377053964</v>
      </c>
      <c r="Z896" s="5">
        <f>1</f>
        <v>1</v>
      </c>
      <c r="AA896" s="5">
        <f>IF(M896=0,0,const*($T896/omega)*O896*(wy*I896-wz*(H896-V896))/Z896)</f>
        <v>0</v>
      </c>
      <c r="AB896" s="5">
        <f>IF(M896=0,0,const*($T896/omega)*O896*(wz*(G896-U896)-wx*I896)/Z896)</f>
        <v>7.8534965887592074</v>
      </c>
      <c r="AC896" s="5">
        <f>IF(M896=0,0,const*($T896/omega)*O896*(wx*(H896-V896)-wy*(G896-U896))/Z896)</f>
        <v>6.9168209278327613</v>
      </c>
      <c r="AD896" s="5">
        <f t="shared" si="378"/>
        <v>0</v>
      </c>
      <c r="AE896" s="5">
        <f t="shared" si="378"/>
        <v>-3.4125148873836997</v>
      </c>
      <c r="AF896" s="5">
        <f t="shared" si="366"/>
        <v>-12.465524695113274</v>
      </c>
      <c r="AG896">
        <f t="shared" si="377"/>
        <v>0</v>
      </c>
    </row>
    <row r="897" spans="1:33" x14ac:dyDescent="0.2">
      <c r="A897">
        <f t="shared" si="367"/>
        <v>8.64999999999986</v>
      </c>
      <c r="B897" s="5">
        <f t="shared" si="368"/>
        <v>0</v>
      </c>
      <c r="C897" s="5">
        <f t="shared" si="369"/>
        <v>1146.0953323339759</v>
      </c>
      <c r="D897" s="5">
        <f t="shared" si="370"/>
        <v>-283.49569097448841</v>
      </c>
      <c r="E897" s="2">
        <f t="shared" si="352"/>
        <v>382.03177744465864</v>
      </c>
      <c r="F897" s="2">
        <f t="shared" si="371"/>
        <v>0</v>
      </c>
      <c r="G897" s="3">
        <f t="shared" si="372"/>
        <v>0</v>
      </c>
      <c r="H897" s="3">
        <f t="shared" si="373"/>
        <v>91.622364171602072</v>
      </c>
      <c r="I897" s="3">
        <f t="shared" si="374"/>
        <v>-104.19326331507179</v>
      </c>
      <c r="J897" s="2">
        <f t="shared" si="353"/>
        <v>138.7475900210074</v>
      </c>
      <c r="K897" s="2">
        <f t="shared" si="375"/>
        <v>94.579134301981867</v>
      </c>
      <c r="L897" s="5">
        <f t="shared" si="354"/>
        <v>25.221478158310436</v>
      </c>
      <c r="M897" s="3">
        <f t="shared" si="355"/>
        <v>15.603768424103786</v>
      </c>
      <c r="N897" s="2">
        <v>0</v>
      </c>
      <c r="O897" s="2">
        <f t="shared" si="356"/>
        <v>138.7475900210074</v>
      </c>
      <c r="P897" s="2">
        <f t="shared" si="357"/>
        <v>94.579134301981867</v>
      </c>
      <c r="Q897" s="5">
        <f t="shared" si="358"/>
        <v>1.1693607575471536</v>
      </c>
      <c r="R897" s="5">
        <f t="shared" si="359"/>
        <v>0.15595316594470995</v>
      </c>
      <c r="S897" s="4">
        <f t="shared" si="376"/>
        <v>0.11246154561489148</v>
      </c>
      <c r="T897" s="5">
        <f t="shared" si="360"/>
        <v>9.5722299569026281E-2</v>
      </c>
      <c r="U897" s="4">
        <f t="shared" si="361"/>
        <v>0</v>
      </c>
      <c r="V897" s="4">
        <f t="shared" si="362"/>
        <v>0</v>
      </c>
      <c r="W897" s="5">
        <f t="shared" si="363"/>
        <v>0</v>
      </c>
      <c r="X897" s="5">
        <f t="shared" si="364"/>
        <v>-11.26574654443605</v>
      </c>
      <c r="Y897" s="5">
        <f t="shared" si="365"/>
        <v>12.811445183261316</v>
      </c>
      <c r="Z897" s="5">
        <f>1</f>
        <v>1</v>
      </c>
      <c r="AA897" s="5">
        <f>IF(M897=0,0,const*($T897/omega)*O897*(wy*I897-wz*(H897-V897))/Z897)</f>
        <v>0</v>
      </c>
      <c r="AB897" s="5">
        <f>IF(M897=0,0,const*($T897/omega)*O897*(wz*(G897-U897)-wx*I897)/Z897)</f>
        <v>7.8635209892377098</v>
      </c>
      <c r="AC897" s="5">
        <f>IF(M897=0,0,const*($T897/omega)*O897*(wx*(H897-V897)-wy*(G897-U897))/Z897)</f>
        <v>6.9147885460533018</v>
      </c>
      <c r="AD897" s="5">
        <f t="shared" si="378"/>
        <v>0</v>
      </c>
      <c r="AE897" s="5">
        <f t="shared" si="378"/>
        <v>-3.4022255551983402</v>
      </c>
      <c r="AF897" s="5">
        <f t="shared" si="366"/>
        <v>-12.447766270685381</v>
      </c>
      <c r="AG897">
        <f t="shared" si="377"/>
        <v>0</v>
      </c>
    </row>
    <row r="898" spans="1:33" x14ac:dyDescent="0.2">
      <c r="A898">
        <f t="shared" si="367"/>
        <v>8.6599999999998598</v>
      </c>
      <c r="B898" s="5">
        <f t="shared" si="368"/>
        <v>0</v>
      </c>
      <c r="C898" s="5">
        <f t="shared" si="369"/>
        <v>1147.011385864414</v>
      </c>
      <c r="D898" s="5">
        <f t="shared" si="370"/>
        <v>-284.53824599595271</v>
      </c>
      <c r="E898" s="2">
        <f t="shared" si="352"/>
        <v>382.33712862147132</v>
      </c>
      <c r="F898" s="2">
        <f t="shared" si="371"/>
        <v>0</v>
      </c>
      <c r="G898" s="3">
        <f t="shared" si="372"/>
        <v>0</v>
      </c>
      <c r="H898" s="3">
        <f t="shared" si="373"/>
        <v>91.588341916050084</v>
      </c>
      <c r="I898" s="3">
        <f t="shared" si="374"/>
        <v>-104.31774097777864</v>
      </c>
      <c r="J898" s="2">
        <f t="shared" si="353"/>
        <v>138.81864232745619</v>
      </c>
      <c r="K898" s="2">
        <f t="shared" si="375"/>
        <v>94.627568048709051</v>
      </c>
      <c r="L898" s="5">
        <f t="shared" si="354"/>
        <v>25.208568910927301</v>
      </c>
      <c r="M898" s="3">
        <f t="shared" si="355"/>
        <v>15.594840624971029</v>
      </c>
      <c r="N898" s="2">
        <v>0</v>
      </c>
      <c r="O898" s="2">
        <f t="shared" si="356"/>
        <v>138.81864232745619</v>
      </c>
      <c r="P898" s="2">
        <f t="shared" si="357"/>
        <v>94.627568048709051</v>
      </c>
      <c r="Q898" s="5">
        <f t="shared" si="358"/>
        <v>1.1699595843727717</v>
      </c>
      <c r="R898" s="5">
        <f t="shared" si="359"/>
        <v>0.15592772808925182</v>
      </c>
      <c r="S898" s="4">
        <f t="shared" si="376"/>
        <v>0.11233967112417588</v>
      </c>
      <c r="T898" s="5">
        <f t="shared" si="360"/>
        <v>9.5680792398179032E-2</v>
      </c>
      <c r="U898" s="4">
        <f t="shared" si="361"/>
        <v>0</v>
      </c>
      <c r="V898" s="4">
        <f t="shared" si="362"/>
        <v>0</v>
      </c>
      <c r="W898" s="5">
        <f t="shared" si="363"/>
        <v>0</v>
      </c>
      <c r="X898" s="5">
        <f t="shared" si="364"/>
        <v>-11.265492400616074</v>
      </c>
      <c r="Y898" s="5">
        <f t="shared" si="365"/>
        <v>12.831226045251279</v>
      </c>
      <c r="Z898" s="5">
        <f>1</f>
        <v>1</v>
      </c>
      <c r="AA898" s="5">
        <f>IF(M898=0,0,const*($T898/omega)*O898*(wy*I898-wz*(H898-V898))/Z898)</f>
        <v>0</v>
      </c>
      <c r="AB898" s="5">
        <f>IF(M898=0,0,const*($T898/omega)*O898*(wz*(G898-U898)-wx*I898)/Z898)</f>
        <v>7.8735314782953045</v>
      </c>
      <c r="AC898" s="5">
        <f>IF(M898=0,0,const*($T898/omega)*O898*(wx*(H898-V898)-wy*(G898-U898))/Z898)</f>
        <v>6.9127617830077881</v>
      </c>
      <c r="AD898" s="5">
        <f t="shared" si="378"/>
        <v>0</v>
      </c>
      <c r="AE898" s="5">
        <f t="shared" si="378"/>
        <v>-3.3919609223207692</v>
      </c>
      <c r="AF898" s="5">
        <f t="shared" si="366"/>
        <v>-12.430012171740934</v>
      </c>
      <c r="AG898">
        <f t="shared" si="377"/>
        <v>0</v>
      </c>
    </row>
    <row r="899" spans="1:33" x14ac:dyDescent="0.2">
      <c r="A899">
        <f t="shared" si="367"/>
        <v>8.6699999999998596</v>
      </c>
      <c r="B899" s="5">
        <f t="shared" si="368"/>
        <v>0</v>
      </c>
      <c r="C899" s="5">
        <f t="shared" si="369"/>
        <v>1147.9270996855284</v>
      </c>
      <c r="D899" s="5">
        <f t="shared" si="370"/>
        <v>-285.58204490633909</v>
      </c>
      <c r="E899" s="2">
        <f t="shared" si="352"/>
        <v>382.64236656184283</v>
      </c>
      <c r="F899" s="2">
        <f t="shared" si="371"/>
        <v>0</v>
      </c>
      <c r="G899" s="3">
        <f t="shared" si="372"/>
        <v>0</v>
      </c>
      <c r="H899" s="3">
        <f t="shared" si="373"/>
        <v>91.554422306826879</v>
      </c>
      <c r="I899" s="3">
        <f t="shared" si="374"/>
        <v>-104.44204109949605</v>
      </c>
      <c r="J899" s="2">
        <f t="shared" si="353"/>
        <v>138.88971233667965</v>
      </c>
      <c r="K899" s="2">
        <f t="shared" si="375"/>
        <v>94.676013862767306</v>
      </c>
      <c r="L899" s="5">
        <f t="shared" si="354"/>
        <v>25.195669660184617</v>
      </c>
      <c r="M899" s="3">
        <f t="shared" si="355"/>
        <v>15.585910921209104</v>
      </c>
      <c r="N899" s="2">
        <v>0</v>
      </c>
      <c r="O899" s="2">
        <f t="shared" si="356"/>
        <v>138.88971233667965</v>
      </c>
      <c r="P899" s="2">
        <f t="shared" si="357"/>
        <v>94.676013862767306</v>
      </c>
      <c r="Q899" s="5">
        <f t="shared" si="358"/>
        <v>1.1705585603968731</v>
      </c>
      <c r="R899" s="5">
        <f t="shared" si="359"/>
        <v>0.15590231041282251</v>
      </c>
      <c r="S899" s="4">
        <f t="shared" si="376"/>
        <v>0.11221789331255595</v>
      </c>
      <c r="T899" s="5">
        <f t="shared" si="360"/>
        <v>9.5639291158937337E-2</v>
      </c>
      <c r="U899" s="4">
        <f t="shared" si="361"/>
        <v>0</v>
      </c>
      <c r="V899" s="4">
        <f t="shared" si="362"/>
        <v>0</v>
      </c>
      <c r="W899" s="5">
        <f t="shared" si="363"/>
        <v>0</v>
      </c>
      <c r="X899" s="5">
        <f t="shared" si="364"/>
        <v>-11.265248981018281</v>
      </c>
      <c r="Y899" s="5">
        <f t="shared" si="365"/>
        <v>12.850996898091237</v>
      </c>
      <c r="Z899" s="5">
        <f>1</f>
        <v>1</v>
      </c>
      <c r="AA899" s="5">
        <f>IF(M899=0,0,const*($T899/omega)*O899*(wy*I899-wz*(H899-V899))/Z899)</f>
        <v>0</v>
      </c>
      <c r="AB899" s="5">
        <f>IF(M899=0,0,const*($T899/omega)*O899*(wz*(G899-U899)-wx*I899)/Z899)</f>
        <v>7.8835280296016812</v>
      </c>
      <c r="AC899" s="5">
        <f>IF(M899=0,0,const*($T899/omega)*O899*(wx*(H899-V899)-wy*(G899-U899))/Z899)</f>
        <v>6.910740606862209</v>
      </c>
      <c r="AD899" s="5">
        <f t="shared" si="378"/>
        <v>0</v>
      </c>
      <c r="AE899" s="5">
        <f t="shared" si="378"/>
        <v>-3.3817209514166002</v>
      </c>
      <c r="AF899" s="5">
        <f t="shared" si="366"/>
        <v>-12.412262495046555</v>
      </c>
      <c r="AG899">
        <f t="shared" si="377"/>
        <v>0</v>
      </c>
    </row>
    <row r="900" spans="1:33" x14ac:dyDescent="0.2">
      <c r="A900">
        <f t="shared" si="367"/>
        <v>8.6799999999998594</v>
      </c>
      <c r="B900" s="5">
        <f t="shared" si="368"/>
        <v>0</v>
      </c>
      <c r="C900" s="5">
        <f t="shared" si="369"/>
        <v>1148.8424748225491</v>
      </c>
      <c r="D900" s="5">
        <f t="shared" si="370"/>
        <v>-286.6270859304588</v>
      </c>
      <c r="E900" s="2">
        <f t="shared" si="352"/>
        <v>382.94749160751638</v>
      </c>
      <c r="F900" s="2">
        <f t="shared" si="371"/>
        <v>0</v>
      </c>
      <c r="G900" s="3">
        <f t="shared" si="372"/>
        <v>0</v>
      </c>
      <c r="H900" s="3">
        <f t="shared" si="373"/>
        <v>91.520605097312711</v>
      </c>
      <c r="I900" s="3">
        <f t="shared" si="374"/>
        <v>-104.56616372444651</v>
      </c>
      <c r="J900" s="2">
        <f t="shared" si="353"/>
        <v>138.96079934077099</v>
      </c>
      <c r="K900" s="2">
        <f t="shared" si="375"/>
        <v>94.724471261602574</v>
      </c>
      <c r="L900" s="5">
        <f t="shared" si="354"/>
        <v>25.182780523962649</v>
      </c>
      <c r="M900" s="3">
        <f t="shared" si="355"/>
        <v>15.576979346929589</v>
      </c>
      <c r="N900" s="2">
        <v>0</v>
      </c>
      <c r="O900" s="2">
        <f t="shared" si="356"/>
        <v>138.96079934077099</v>
      </c>
      <c r="P900" s="2">
        <f t="shared" si="357"/>
        <v>94.724471261602574</v>
      </c>
      <c r="Q900" s="5">
        <f t="shared" si="358"/>
        <v>1.1711576796532392</v>
      </c>
      <c r="R900" s="5">
        <f t="shared" si="359"/>
        <v>0.15587691306460211</v>
      </c>
      <c r="S900" s="4">
        <f t="shared" si="376"/>
        <v>0.11209621289476358</v>
      </c>
      <c r="T900" s="5">
        <f t="shared" si="360"/>
        <v>9.5597796112571701E-2</v>
      </c>
      <c r="U900" s="4">
        <f t="shared" si="361"/>
        <v>0</v>
      </c>
      <c r="V900" s="4">
        <f t="shared" si="362"/>
        <v>0</v>
      </c>
      <c r="W900" s="5">
        <f t="shared" si="363"/>
        <v>0</v>
      </c>
      <c r="X900" s="5">
        <f t="shared" si="364"/>
        <v>-11.265016222304059</v>
      </c>
      <c r="Y900" s="5">
        <f t="shared" si="365"/>
        <v>12.870757677000757</v>
      </c>
      <c r="Z900" s="5">
        <f>1</f>
        <v>1</v>
      </c>
      <c r="AA900" s="5">
        <f>IF(M900=0,0,const*($T900/omega)*O900*(wy*I900-wz*(H900-V900))/Z900)</f>
        <v>0</v>
      </c>
      <c r="AB900" s="5">
        <f>IF(M900=0,0,const*($T900/omega)*O900*(wz*(G900-U900)-wx*I900)/Z900)</f>
        <v>7.8935106169975136</v>
      </c>
      <c r="AC900" s="5">
        <f>IF(M900=0,0,const*($T900/omega)*O900*(wx*(H900-V900)-wy*(G900-U900))/Z900)</f>
        <v>6.9087249859658035</v>
      </c>
      <c r="AD900" s="5">
        <f t="shared" si="378"/>
        <v>0</v>
      </c>
      <c r="AE900" s="5">
        <f t="shared" si="378"/>
        <v>-3.3715056053065453</v>
      </c>
      <c r="AF900" s="5">
        <f t="shared" si="366"/>
        <v>-12.394517337033438</v>
      </c>
      <c r="AG900">
        <f t="shared" si="377"/>
        <v>0</v>
      </c>
    </row>
    <row r="901" spans="1:33" x14ac:dyDescent="0.2">
      <c r="A901">
        <f t="shared" si="367"/>
        <v>8.6899999999998592</v>
      </c>
      <c r="B901" s="5">
        <f t="shared" si="368"/>
        <v>0</v>
      </c>
      <c r="C901" s="5">
        <f t="shared" si="369"/>
        <v>1149.7575122982421</v>
      </c>
      <c r="D901" s="5">
        <f t="shared" si="370"/>
        <v>-287.6733672935701</v>
      </c>
      <c r="E901" s="2">
        <f t="shared" si="352"/>
        <v>383.25250409941401</v>
      </c>
      <c r="F901" s="2">
        <f t="shared" si="371"/>
        <v>0</v>
      </c>
      <c r="G901" s="3">
        <f t="shared" si="372"/>
        <v>0</v>
      </c>
      <c r="H901" s="3">
        <f t="shared" si="373"/>
        <v>91.486890041259642</v>
      </c>
      <c r="I901" s="3">
        <f t="shared" si="374"/>
        <v>-104.69010889781684</v>
      </c>
      <c r="J901" s="2">
        <f t="shared" si="353"/>
        <v>139.03190263554004</v>
      </c>
      <c r="K901" s="2">
        <f t="shared" si="375"/>
        <v>94.772939765194295</v>
      </c>
      <c r="L901" s="5">
        <f t="shared" si="354"/>
        <v>25.169901618957702</v>
      </c>
      <c r="M901" s="3">
        <f t="shared" si="355"/>
        <v>15.568045936166346</v>
      </c>
      <c r="N901" s="2">
        <v>0</v>
      </c>
      <c r="O901" s="2">
        <f t="shared" si="356"/>
        <v>139.03190263554004</v>
      </c>
      <c r="P901" s="2">
        <f t="shared" si="357"/>
        <v>94.772939765194295</v>
      </c>
      <c r="Q901" s="5">
        <f t="shared" si="358"/>
        <v>1.171756936206976</v>
      </c>
      <c r="R901" s="5">
        <f t="shared" si="359"/>
        <v>0.1558515361921918</v>
      </c>
      <c r="S901" s="4">
        <f t="shared" si="376"/>
        <v>0.1119746305779661</v>
      </c>
      <c r="T901" s="5">
        <f t="shared" si="360"/>
        <v>9.5556307518445738E-2</v>
      </c>
      <c r="U901" s="4">
        <f t="shared" si="361"/>
        <v>0</v>
      </c>
      <c r="V901" s="4">
        <f t="shared" si="362"/>
        <v>0</v>
      </c>
      <c r="W901" s="5">
        <f t="shared" si="363"/>
        <v>0</v>
      </c>
      <c r="X901" s="5">
        <f t="shared" si="364"/>
        <v>-11.264794061458989</v>
      </c>
      <c r="Y901" s="5">
        <f t="shared" si="365"/>
        <v>12.890508317353058</v>
      </c>
      <c r="Z901" s="5">
        <f>1</f>
        <v>1</v>
      </c>
      <c r="AA901" s="5">
        <f>IF(M901=0,0,const*($T901/omega)*O901*(wy*I901-wz*(H901-V901))/Z901)</f>
        <v>0</v>
      </c>
      <c r="AB901" s="5">
        <f>IF(M901=0,0,const*($T901/omega)*O901*(wz*(G901-U901)-wx*I901)/Z901)</f>
        <v>7.9034792144947961</v>
      </c>
      <c r="AC901" s="5">
        <f>IF(M901=0,0,const*($T901/omega)*O901*(wx*(H901-V901)-wy*(G901-U901))/Z901)</f>
        <v>6.9067148888498773</v>
      </c>
      <c r="AD901" s="5">
        <f t="shared" si="378"/>
        <v>0</v>
      </c>
      <c r="AE901" s="5">
        <f t="shared" si="378"/>
        <v>-3.3613148469641931</v>
      </c>
      <c r="AF901" s="5">
        <f t="shared" si="366"/>
        <v>-12.376776793797063</v>
      </c>
      <c r="AG901">
        <f t="shared" si="377"/>
        <v>0</v>
      </c>
    </row>
    <row r="902" spans="1:33" x14ac:dyDescent="0.2">
      <c r="A902">
        <f t="shared" si="367"/>
        <v>8.699999999999859</v>
      </c>
      <c r="B902" s="5">
        <f t="shared" si="368"/>
        <v>0</v>
      </c>
      <c r="C902" s="5">
        <f t="shared" si="369"/>
        <v>1150.6722131329122</v>
      </c>
      <c r="D902" s="5">
        <f t="shared" si="370"/>
        <v>-288.72088722138795</v>
      </c>
      <c r="E902" s="2">
        <f t="shared" si="352"/>
        <v>383.5574043776374</v>
      </c>
      <c r="F902" s="2">
        <f t="shared" si="371"/>
        <v>0</v>
      </c>
      <c r="G902" s="3">
        <f t="shared" si="372"/>
        <v>0</v>
      </c>
      <c r="H902" s="3">
        <f t="shared" si="373"/>
        <v>91.453276892790001</v>
      </c>
      <c r="I902" s="3">
        <f t="shared" si="374"/>
        <v>-104.81387666575482</v>
      </c>
      <c r="J902" s="2">
        <f t="shared" si="353"/>
        <v>139.10302152050249</v>
      </c>
      <c r="K902" s="2">
        <f t="shared" si="375"/>
        <v>94.821418896048044</v>
      </c>
      <c r="L902" s="5">
        <f t="shared" si="354"/>
        <v>25.157033060689248</v>
      </c>
      <c r="M902" s="3">
        <f t="shared" si="355"/>
        <v>15.559110722875145</v>
      </c>
      <c r="N902" s="2">
        <v>0</v>
      </c>
      <c r="O902" s="2">
        <f t="shared" si="356"/>
        <v>139.10302152050249</v>
      </c>
      <c r="P902" s="2">
        <f t="shared" si="357"/>
        <v>94.821418896048044</v>
      </c>
      <c r="Q902" s="5">
        <f t="shared" si="358"/>
        <v>1.1723563241544206</v>
      </c>
      <c r="R902" s="5">
        <f t="shared" si="359"/>
        <v>0.15582617994162343</v>
      </c>
      <c r="S902" s="4">
        <f t="shared" si="376"/>
        <v>0.11185314706181186</v>
      </c>
      <c r="T902" s="5">
        <f t="shared" si="360"/>
        <v>9.5514825634024969E-2</v>
      </c>
      <c r="U902" s="4">
        <f t="shared" si="361"/>
        <v>0</v>
      </c>
      <c r="V902" s="4">
        <f t="shared" si="362"/>
        <v>0</v>
      </c>
      <c r="W902" s="5">
        <f t="shared" si="363"/>
        <v>0</v>
      </c>
      <c r="X902" s="5">
        <f t="shared" si="364"/>
        <v>-11.264582435790985</v>
      </c>
      <c r="Y902" s="5">
        <f t="shared" si="365"/>
        <v>12.910248754676466</v>
      </c>
      <c r="Z902" s="5">
        <f>1</f>
        <v>1</v>
      </c>
      <c r="AA902" s="5">
        <f>IF(M902=0,0,const*($T902/omega)*O902*(wy*I902-wz*(H902-V902))/Z902)</f>
        <v>0</v>
      </c>
      <c r="AB902" s="5">
        <f>IF(M902=0,0,const*($T902/omega)*O902*(wz*(G902-U902)-wx*I902)/Z902)</f>
        <v>7.9134337962771717</v>
      </c>
      <c r="AC902" s="5">
        <f>IF(M902=0,0,const*($T902/omega)*O902*(wx*(H902-V902)-wy*(G902-U902))/Z902)</f>
        <v>6.9047102842266268</v>
      </c>
      <c r="AD902" s="5">
        <f t="shared" si="378"/>
        <v>0</v>
      </c>
      <c r="AE902" s="5">
        <f t="shared" si="378"/>
        <v>-3.3511486395138128</v>
      </c>
      <c r="AF902" s="5">
        <f t="shared" si="366"/>
        <v>-12.359040961096905</v>
      </c>
      <c r="AG902">
        <f t="shared" si="377"/>
        <v>0</v>
      </c>
    </row>
    <row r="903" spans="1:33" x14ac:dyDescent="0.2">
      <c r="A903">
        <f t="shared" si="367"/>
        <v>8.7099999999998587</v>
      </c>
      <c r="B903" s="5">
        <f t="shared" si="368"/>
        <v>0</v>
      </c>
      <c r="C903" s="5">
        <f t="shared" si="369"/>
        <v>1151.5865783444083</v>
      </c>
      <c r="D903" s="5">
        <f t="shared" si="370"/>
        <v>-289.76964394009354</v>
      </c>
      <c r="E903" s="2">
        <f t="shared" si="352"/>
        <v>383.86219278146945</v>
      </c>
      <c r="F903" s="2">
        <f t="shared" si="371"/>
        <v>0</v>
      </c>
      <c r="G903" s="3">
        <f t="shared" si="372"/>
        <v>0</v>
      </c>
      <c r="H903" s="3">
        <f t="shared" si="373"/>
        <v>91.419765406394859</v>
      </c>
      <c r="I903" s="3">
        <f t="shared" si="374"/>
        <v>-104.93746707536579</v>
      </c>
      <c r="J903" s="2">
        <f t="shared" si="353"/>
        <v>139.17415529886915</v>
      </c>
      <c r="K903" s="2">
        <f t="shared" si="375"/>
        <v>94.869908179188243</v>
      </c>
      <c r="L903" s="5">
        <f t="shared" si="354"/>
        <v>25.144174963506916</v>
      </c>
      <c r="M903" s="3">
        <f t="shared" si="355"/>
        <v>15.550173740933248</v>
      </c>
      <c r="N903" s="2">
        <v>0</v>
      </c>
      <c r="O903" s="2">
        <f t="shared" si="356"/>
        <v>139.17415529886915</v>
      </c>
      <c r="P903" s="2">
        <f t="shared" si="357"/>
        <v>94.869908179188243</v>
      </c>
      <c r="Q903" s="5">
        <f t="shared" si="358"/>
        <v>1.1729558376230542</v>
      </c>
      <c r="R903" s="5">
        <f t="shared" si="359"/>
        <v>0.15580084445736889</v>
      </c>
      <c r="S903" s="4">
        <f t="shared" si="376"/>
        <v>0.11173176303847558</v>
      </c>
      <c r="T903" s="5">
        <f t="shared" si="360"/>
        <v>9.5473350714885372E-2</v>
      </c>
      <c r="U903" s="4">
        <f t="shared" si="361"/>
        <v>0</v>
      </c>
      <c r="V903" s="4">
        <f t="shared" si="362"/>
        <v>0</v>
      </c>
      <c r="W903" s="5">
        <f t="shared" si="363"/>
        <v>0</v>
      </c>
      <c r="X903" s="5">
        <f t="shared" si="364"/>
        <v>-11.264381282928403</v>
      </c>
      <c r="Y903" s="5">
        <f t="shared" si="365"/>
        <v>12.929978924655833</v>
      </c>
      <c r="Z903" s="5">
        <f>1</f>
        <v>1</v>
      </c>
      <c r="AA903" s="5">
        <f>IF(M903=0,0,const*($T903/omega)*O903*(wy*I903-wz*(H903-V903))/Z903)</f>
        <v>0</v>
      </c>
      <c r="AB903" s="5">
        <f>IF(M903=0,0,const*($T903/omega)*O903*(wz*(G903-U903)-wx*I903)/Z903)</f>
        <v>7.9233743367002427</v>
      </c>
      <c r="AC903" s="5">
        <f>IF(M903=0,0,const*($T903/omega)*O903*(wx*(H903-V903)-wy*(G903-U903))/Z903)</f>
        <v>6.9027111409879698</v>
      </c>
      <c r="AD903" s="5">
        <f t="shared" si="378"/>
        <v>0</v>
      </c>
      <c r="AE903" s="5">
        <f t="shared" si="378"/>
        <v>-3.34100694622816</v>
      </c>
      <c r="AF903" s="5">
        <f t="shared" si="366"/>
        <v>-12.341309934356197</v>
      </c>
      <c r="AG903">
        <f t="shared" si="377"/>
        <v>0</v>
      </c>
    </row>
    <row r="904" spans="1:33" x14ac:dyDescent="0.2">
      <c r="A904">
        <f t="shared" si="367"/>
        <v>8.7199999999998585</v>
      </c>
      <c r="B904" s="5">
        <f t="shared" si="368"/>
        <v>0</v>
      </c>
      <c r="C904" s="5">
        <f t="shared" si="369"/>
        <v>1152.5006089481249</v>
      </c>
      <c r="D904" s="5">
        <f t="shared" si="370"/>
        <v>-290.81963567634392</v>
      </c>
      <c r="E904" s="2">
        <f t="shared" si="352"/>
        <v>384.16686964937497</v>
      </c>
      <c r="F904" s="2">
        <f t="shared" si="371"/>
        <v>0</v>
      </c>
      <c r="G904" s="3">
        <f t="shared" si="372"/>
        <v>0</v>
      </c>
      <c r="H904" s="3">
        <f t="shared" si="373"/>
        <v>91.386355336932581</v>
      </c>
      <c r="I904" s="3">
        <f t="shared" si="374"/>
        <v>-105.06088017470935</v>
      </c>
      <c r="J904" s="2">
        <f t="shared" si="353"/>
        <v>139.24530327753516</v>
      </c>
      <c r="K904" s="2">
        <f t="shared" si="375"/>
        <v>94.918407142150755</v>
      </c>
      <c r="L904" s="5">
        <f t="shared" si="354"/>
        <v>25.131327440597559</v>
      </c>
      <c r="M904" s="3">
        <f t="shared" si="355"/>
        <v>15.541235024139011</v>
      </c>
      <c r="N904" s="2">
        <v>0</v>
      </c>
      <c r="O904" s="2">
        <f t="shared" si="356"/>
        <v>139.24530327753516</v>
      </c>
      <c r="P904" s="2">
        <f t="shared" si="357"/>
        <v>94.918407142150755</v>
      </c>
      <c r="Q904" s="5">
        <f t="shared" si="358"/>
        <v>1.1735554707714082</v>
      </c>
      <c r="R904" s="5">
        <f t="shared" si="359"/>
        <v>0.15577552988234955</v>
      </c>
      <c r="S904" s="4">
        <f t="shared" si="376"/>
        <v>0.11161047919270339</v>
      </c>
      <c r="T904" s="5">
        <f t="shared" si="360"/>
        <v>9.5431883014722149E-2</v>
      </c>
      <c r="U904" s="4">
        <f t="shared" si="361"/>
        <v>0</v>
      </c>
      <c r="V904" s="4">
        <f t="shared" si="362"/>
        <v>0</v>
      </c>
      <c r="W904" s="5">
        <f t="shared" si="363"/>
        <v>0</v>
      </c>
      <c r="X904" s="5">
        <f t="shared" si="364"/>
        <v>-11.264190540818214</v>
      </c>
      <c r="Y904" s="5">
        <f t="shared" si="365"/>
        <v>12.949698763133966</v>
      </c>
      <c r="Z904" s="5">
        <f>1</f>
        <v>1</v>
      </c>
      <c r="AA904" s="5">
        <f>IF(M904=0,0,const*($T904/omega)*O904*(wy*I904-wz*(H904-V904))/Z904)</f>
        <v>0</v>
      </c>
      <c r="AB904" s="5">
        <f>IF(M904=0,0,const*($T904/omega)*O904*(wz*(G904-U904)-wx*I904)/Z904)</f>
        <v>7.9333008102918914</v>
      </c>
      <c r="AC904" s="5">
        <f>IF(M904=0,0,const*($T904/omega)*O904*(wx*(H904-V904)-wy*(G904-U904))/Z904)</f>
        <v>6.9007174282043913</v>
      </c>
      <c r="AD904" s="5">
        <f t="shared" si="378"/>
        <v>0</v>
      </c>
      <c r="AE904" s="5">
        <f t="shared" si="378"/>
        <v>-3.330889730526323</v>
      </c>
      <c r="AF904" s="5">
        <f t="shared" si="366"/>
        <v>-12.323583808661642</v>
      </c>
      <c r="AG904">
        <f t="shared" si="377"/>
        <v>0</v>
      </c>
    </row>
    <row r="905" spans="1:33" x14ac:dyDescent="0.2">
      <c r="A905">
        <f t="shared" si="367"/>
        <v>8.7299999999998583</v>
      </c>
      <c r="B905" s="5">
        <f t="shared" si="368"/>
        <v>0</v>
      </c>
      <c r="C905" s="5">
        <f t="shared" si="369"/>
        <v>1153.4143059570076</v>
      </c>
      <c r="D905" s="5">
        <f t="shared" si="370"/>
        <v>-291.87086065728147</v>
      </c>
      <c r="E905" s="2">
        <f t="shared" si="352"/>
        <v>384.47143531900252</v>
      </c>
      <c r="F905" s="2">
        <f t="shared" si="371"/>
        <v>0</v>
      </c>
      <c r="G905" s="3">
        <f t="shared" si="372"/>
        <v>0</v>
      </c>
      <c r="H905" s="3">
        <f t="shared" si="373"/>
        <v>91.35304643962732</v>
      </c>
      <c r="I905" s="3">
        <f t="shared" si="374"/>
        <v>-105.18411601279597</v>
      </c>
      <c r="J905" s="2">
        <f t="shared" si="353"/>
        <v>139.31646476706919</v>
      </c>
      <c r="K905" s="2">
        <f t="shared" si="375"/>
        <v>94.96691531497558</v>
      </c>
      <c r="L905" s="5">
        <f t="shared" si="354"/>
        <v>25.118490603992282</v>
      </c>
      <c r="M905" s="3">
        <f t="shared" si="355"/>
        <v>15.532294606211524</v>
      </c>
      <c r="N905" s="2">
        <v>0</v>
      </c>
      <c r="O905" s="2">
        <f t="shared" si="356"/>
        <v>139.31646476706919</v>
      </c>
      <c r="P905" s="2">
        <f t="shared" si="357"/>
        <v>94.96691531497558</v>
      </c>
      <c r="Q905" s="5">
        <f t="shared" si="358"/>
        <v>1.1741552177889749</v>
      </c>
      <c r="R905" s="5">
        <f t="shared" si="359"/>
        <v>0.15575023635794585</v>
      </c>
      <c r="S905" s="4">
        <f t="shared" si="376"/>
        <v>0.11148929620185824</v>
      </c>
      <c r="T905" s="5">
        <f t="shared" si="360"/>
        <v>9.5390422785358336E-2</v>
      </c>
      <c r="U905" s="4">
        <f t="shared" si="361"/>
        <v>0</v>
      </c>
      <c r="V905" s="4">
        <f t="shared" si="362"/>
        <v>0</v>
      </c>
      <c r="W905" s="5">
        <f t="shared" si="363"/>
        <v>0</v>
      </c>
      <c r="X905" s="5">
        <f t="shared" si="364"/>
        <v>-11.264010147724138</v>
      </c>
      <c r="Y905" s="5">
        <f t="shared" si="365"/>
        <v>12.969408206113025</v>
      </c>
      <c r="Z905" s="5">
        <f>1</f>
        <v>1</v>
      </c>
      <c r="AA905" s="5">
        <f>IF(M905=0,0,const*($T905/omega)*O905*(wy*I905-wz*(H905-V905))/Z905)</f>
        <v>0</v>
      </c>
      <c r="AB905" s="5">
        <f>IF(M905=0,0,const*($T905/omega)*O905*(wz*(G905-U905)-wx*I905)/Z905)</f>
        <v>7.9432131917525766</v>
      </c>
      <c r="AC905" s="5">
        <f>IF(M905=0,0,const*($T905/omega)*O905*(wx*(H905-V905)-wy*(G905-U905))/Z905)</f>
        <v>6.8987291151237846</v>
      </c>
      <c r="AD905" s="5">
        <f t="shared" si="378"/>
        <v>0</v>
      </c>
      <c r="AE905" s="5">
        <f t="shared" si="378"/>
        <v>-3.3207969559715611</v>
      </c>
      <c r="AF905" s="5">
        <f t="shared" si="366"/>
        <v>-12.305862678763191</v>
      </c>
      <c r="AG905">
        <f t="shared" si="377"/>
        <v>0</v>
      </c>
    </row>
    <row r="906" spans="1:33" x14ac:dyDescent="0.2">
      <c r="A906">
        <f t="shared" si="367"/>
        <v>8.7399999999998581</v>
      </c>
      <c r="B906" s="5">
        <f t="shared" si="368"/>
        <v>0</v>
      </c>
      <c r="C906" s="5">
        <f t="shared" si="369"/>
        <v>1154.3276703815561</v>
      </c>
      <c r="D906" s="5">
        <f t="shared" si="370"/>
        <v>-292.92331711054334</v>
      </c>
      <c r="E906" s="2">
        <f t="shared" si="352"/>
        <v>384.77589012718539</v>
      </c>
      <c r="F906" s="2">
        <f t="shared" si="371"/>
        <v>0</v>
      </c>
      <c r="G906" s="3">
        <f t="shared" si="372"/>
        <v>0</v>
      </c>
      <c r="H906" s="3">
        <f t="shared" si="373"/>
        <v>91.319838470067609</v>
      </c>
      <c r="I906" s="3">
        <f t="shared" si="374"/>
        <v>-105.30717463958359</v>
      </c>
      <c r="J906" s="2">
        <f t="shared" si="353"/>
        <v>139.38763908170264</v>
      </c>
      <c r="K906" s="2">
        <f t="shared" si="375"/>
        <v>95.01543223019948</v>
      </c>
      <c r="L906" s="5">
        <f t="shared" si="354"/>
        <v>25.105664564573402</v>
      </c>
      <c r="M906" s="3">
        <f t="shared" si="355"/>
        <v>15.523352520790189</v>
      </c>
      <c r="N906" s="2">
        <v>0</v>
      </c>
      <c r="O906" s="2">
        <f t="shared" si="356"/>
        <v>139.38763908170264</v>
      </c>
      <c r="P906" s="2">
        <f t="shared" si="357"/>
        <v>95.01543223019948</v>
      </c>
      <c r="Q906" s="5">
        <f t="shared" si="358"/>
        <v>1.1747550728961165</v>
      </c>
      <c r="R906" s="5">
        <f t="shared" si="359"/>
        <v>0.15572496402400643</v>
      </c>
      <c r="S906" s="4">
        <f t="shared" si="376"/>
        <v>0.11136821473596457</v>
      </c>
      <c r="T906" s="5">
        <f t="shared" si="360"/>
        <v>9.5348970276753514E-2</v>
      </c>
      <c r="U906" s="4">
        <f t="shared" si="361"/>
        <v>0</v>
      </c>
      <c r="V906" s="4">
        <f t="shared" si="362"/>
        <v>0</v>
      </c>
      <c r="W906" s="5">
        <f t="shared" si="363"/>
        <v>0</v>
      </c>
      <c r="X906" s="5">
        <f t="shared" si="364"/>
        <v>-11.263840042224814</v>
      </c>
      <c r="Y906" s="5">
        <f t="shared" si="365"/>
        <v>12.989107189755906</v>
      </c>
      <c r="Z906" s="5">
        <f>1</f>
        <v>1</v>
      </c>
      <c r="AA906" s="5">
        <f>IF(M906=0,0,const*($T906/omega)*O906*(wy*I906-wz*(H906-V906))/Z906)</f>
        <v>0</v>
      </c>
      <c r="AB906" s="5">
        <f>IF(M906=0,0,const*($T906/omega)*O906*(wz*(G906-U906)-wx*I906)/Z906)</f>
        <v>7.9531114559556118</v>
      </c>
      <c r="AC906" s="5">
        <f>IF(M906=0,0,const*($T906/omega)*O906*(wx*(H906-V906)-wy*(G906-U906))/Z906)</f>
        <v>6.8967461711703049</v>
      </c>
      <c r="AD906" s="5">
        <f t="shared" si="378"/>
        <v>0</v>
      </c>
      <c r="AE906" s="5">
        <f t="shared" si="378"/>
        <v>-3.3107285862692022</v>
      </c>
      <c r="AF906" s="5">
        <f t="shared" si="366"/>
        <v>-12.288146639073787</v>
      </c>
      <c r="AG906">
        <f t="shared" si="377"/>
        <v>0</v>
      </c>
    </row>
    <row r="907" spans="1:33" x14ac:dyDescent="0.2">
      <c r="A907">
        <f t="shared" si="367"/>
        <v>8.7499999999998579</v>
      </c>
      <c r="B907" s="5">
        <f t="shared" si="368"/>
        <v>0</v>
      </c>
      <c r="C907" s="5">
        <f t="shared" si="369"/>
        <v>1155.2407032298277</v>
      </c>
      <c r="D907" s="5">
        <f t="shared" si="370"/>
        <v>-293.97700326427116</v>
      </c>
      <c r="E907" s="2">
        <f t="shared" si="352"/>
        <v>385.08023440994253</v>
      </c>
      <c r="F907" s="2">
        <f t="shared" si="371"/>
        <v>0</v>
      </c>
      <c r="G907" s="3">
        <f t="shared" si="372"/>
        <v>0</v>
      </c>
      <c r="H907" s="3">
        <f t="shared" si="373"/>
        <v>91.286731184204911</v>
      </c>
      <c r="I907" s="3">
        <f t="shared" si="374"/>
        <v>-105.43005610597433</v>
      </c>
      <c r="J907" s="2">
        <f t="shared" si="353"/>
        <v>139.45882553931889</v>
      </c>
      <c r="K907" s="2">
        <f t="shared" si="375"/>
        <v>95.063957422848588</v>
      </c>
      <c r="L907" s="5">
        <f t="shared" si="354"/>
        <v>25.092849432081486</v>
      </c>
      <c r="M907" s="3">
        <f t="shared" si="355"/>
        <v>15.51440880143438</v>
      </c>
      <c r="N907" s="2">
        <v>0</v>
      </c>
      <c r="O907" s="2">
        <f t="shared" si="356"/>
        <v>139.45882553931889</v>
      </c>
      <c r="P907" s="2">
        <f t="shared" si="357"/>
        <v>95.063957422848588</v>
      </c>
      <c r="Q907" s="5">
        <f t="shared" si="358"/>
        <v>1.175355030343973</v>
      </c>
      <c r="R907" s="5">
        <f t="shared" si="359"/>
        <v>0.15569971301885766</v>
      </c>
      <c r="S907" s="4">
        <f t="shared" si="376"/>
        <v>0.11124723545775353</v>
      </c>
      <c r="T907" s="5">
        <f t="shared" si="360"/>
        <v>9.53075257370124E-2</v>
      </c>
      <c r="U907" s="4">
        <f t="shared" si="361"/>
        <v>0</v>
      </c>
      <c r="V907" s="4">
        <f t="shared" si="362"/>
        <v>0</v>
      </c>
      <c r="W907" s="5">
        <f t="shared" si="363"/>
        <v>0</v>
      </c>
      <c r="X907" s="5">
        <f t="shared" si="364"/>
        <v>-11.263680163211978</v>
      </c>
      <c r="Y907" s="5">
        <f t="shared" si="365"/>
        <v>13.00879565038762</v>
      </c>
      <c r="Z907" s="5">
        <f>1</f>
        <v>1</v>
      </c>
      <c r="AA907" s="5">
        <f>IF(M907=0,0,const*($T907/omega)*O907*(wy*I907-wz*(H907-V907))/Z907)</f>
        <v>0</v>
      </c>
      <c r="AB907" s="5">
        <f>IF(M907=0,0,const*($T907/omega)*O907*(wz*(G907-U907)-wx*I907)/Z907)</f>
        <v>7.9629955779474662</v>
      </c>
      <c r="AC907" s="5">
        <f>IF(M907=0,0,const*($T907/omega)*O907*(wx*(H907-V907)-wy*(G907-U907))/Z907)</f>
        <v>6.8947685659432292</v>
      </c>
      <c r="AD907" s="5">
        <f t="shared" si="378"/>
        <v>0</v>
      </c>
      <c r="AE907" s="5">
        <f t="shared" si="378"/>
        <v>-3.3006845852645119</v>
      </c>
      <c r="AF907" s="5">
        <f t="shared" si="366"/>
        <v>-12.27043578366915</v>
      </c>
      <c r="AG907">
        <f t="shared" si="377"/>
        <v>0</v>
      </c>
    </row>
    <row r="908" spans="1:33" x14ac:dyDescent="0.2">
      <c r="A908">
        <f t="shared" si="367"/>
        <v>8.7599999999998577</v>
      </c>
      <c r="B908" s="5">
        <f t="shared" si="368"/>
        <v>0</v>
      </c>
      <c r="C908" s="5">
        <f t="shared" si="369"/>
        <v>1156.1534055074405</v>
      </c>
      <c r="D908" s="5">
        <f t="shared" si="370"/>
        <v>-295.0319173471201</v>
      </c>
      <c r="E908" s="2">
        <f t="shared" si="352"/>
        <v>385.38446850248016</v>
      </c>
      <c r="F908" s="2">
        <f t="shared" si="371"/>
        <v>0</v>
      </c>
      <c r="G908" s="3">
        <f t="shared" si="372"/>
        <v>0</v>
      </c>
      <c r="H908" s="3">
        <f t="shared" si="373"/>
        <v>91.253724338352271</v>
      </c>
      <c r="I908" s="3">
        <f t="shared" si="374"/>
        <v>-105.55276046381103</v>
      </c>
      <c r="J908" s="2">
        <f t="shared" si="353"/>
        <v>139.53002346144237</v>
      </c>
      <c r="K908" s="2">
        <f t="shared" si="375"/>
        <v>95.112490430431052</v>
      </c>
      <c r="L908" s="5">
        <f t="shared" si="354"/>
        <v>25.080045315122277</v>
      </c>
      <c r="M908" s="3">
        <f t="shared" si="355"/>
        <v>15.505463481623051</v>
      </c>
      <c r="N908" s="2">
        <v>0</v>
      </c>
      <c r="O908" s="2">
        <f t="shared" si="356"/>
        <v>139.53002346144237</v>
      </c>
      <c r="P908" s="2">
        <f t="shared" si="357"/>
        <v>95.112490430431052</v>
      </c>
      <c r="Q908" s="5">
        <f t="shared" si="358"/>
        <v>1.1759550844143716</v>
      </c>
      <c r="R908" s="5">
        <f t="shared" si="359"/>
        <v>0.15567448347931301</v>
      </c>
      <c r="S908" s="4">
        <f t="shared" si="376"/>
        <v>0.11112635902270754</v>
      </c>
      <c r="T908" s="5">
        <f t="shared" si="360"/>
        <v>9.526608941239352E-2</v>
      </c>
      <c r="U908" s="4">
        <f t="shared" si="361"/>
        <v>0</v>
      </c>
      <c r="V908" s="4">
        <f t="shared" si="362"/>
        <v>0</v>
      </c>
      <c r="W908" s="5">
        <f t="shared" si="363"/>
        <v>0</v>
      </c>
      <c r="X908" s="5">
        <f t="shared" si="364"/>
        <v>-11.263530449888652</v>
      </c>
      <c r="Y908" s="5">
        <f t="shared" si="365"/>
        <v>13.028473524496654</v>
      </c>
      <c r="Z908" s="5">
        <f>1</f>
        <v>1</v>
      </c>
      <c r="AA908" s="5">
        <f>IF(M908=0,0,const*($T908/omega)*O908*(wy*I908-wz*(H908-V908))/Z908)</f>
        <v>0</v>
      </c>
      <c r="AB908" s="5">
        <f>IF(M908=0,0,const*($T908/omega)*O908*(wz*(G908-U908)-wx*I908)/Z908)</f>
        <v>7.972865532948016</v>
      </c>
      <c r="AC908" s="5">
        <f>IF(M908=0,0,const*($T908/omega)*O908*(wx*(H908-V908)-wy*(G908-U908))/Z908)</f>
        <v>6.8927962692158253</v>
      </c>
      <c r="AD908" s="5">
        <f t="shared" si="378"/>
        <v>0</v>
      </c>
      <c r="AE908" s="5">
        <f t="shared" si="378"/>
        <v>-3.2906649169406359</v>
      </c>
      <c r="AF908" s="5">
        <f t="shared" si="366"/>
        <v>-12.25273020628752</v>
      </c>
      <c r="AG908">
        <f t="shared" si="377"/>
        <v>0</v>
      </c>
    </row>
    <row r="909" spans="1:33" x14ac:dyDescent="0.2">
      <c r="A909">
        <f t="shared" si="367"/>
        <v>8.7699999999998575</v>
      </c>
      <c r="B909" s="5">
        <f t="shared" si="368"/>
        <v>0</v>
      </c>
      <c r="C909" s="5">
        <f t="shared" si="369"/>
        <v>1157.0657782175781</v>
      </c>
      <c r="D909" s="5">
        <f t="shared" si="370"/>
        <v>-296.0880575882685</v>
      </c>
      <c r="E909" s="2">
        <f t="shared" si="352"/>
        <v>385.6885927391927</v>
      </c>
      <c r="F909" s="2">
        <f t="shared" si="371"/>
        <v>0</v>
      </c>
      <c r="G909" s="3">
        <f t="shared" si="372"/>
        <v>0</v>
      </c>
      <c r="H909" s="3">
        <f t="shared" si="373"/>
        <v>91.220817689182866</v>
      </c>
      <c r="I909" s="3">
        <f t="shared" si="374"/>
        <v>-105.6752877658739</v>
      </c>
      <c r="J909" s="2">
        <f t="shared" si="353"/>
        <v>139.6012321732276</v>
      </c>
      <c r="K909" s="2">
        <f t="shared" si="375"/>
        <v>95.161030792929509</v>
      </c>
      <c r="L909" s="5">
        <f t="shared" si="354"/>
        <v>25.067252321173704</v>
      </c>
      <c r="M909" s="3">
        <f t="shared" si="355"/>
        <v>15.496516594754384</v>
      </c>
      <c r="N909" s="2">
        <v>0</v>
      </c>
      <c r="O909" s="2">
        <f t="shared" si="356"/>
        <v>139.6012321732276</v>
      </c>
      <c r="P909" s="2">
        <f t="shared" si="357"/>
        <v>95.161030792929509</v>
      </c>
      <c r="Q909" s="5">
        <f t="shared" si="358"/>
        <v>1.1765552294197337</v>
      </c>
      <c r="R909" s="5">
        <f t="shared" si="359"/>
        <v>0.15564927554068228</v>
      </c>
      <c r="S909" s="4">
        <f t="shared" si="376"/>
        <v>0.11100558607910532</v>
      </c>
      <c r="T909" s="5">
        <f t="shared" si="360"/>
        <v>9.5224661547317957E-2</v>
      </c>
      <c r="U909" s="4">
        <f t="shared" si="361"/>
        <v>0</v>
      </c>
      <c r="V909" s="4">
        <f t="shared" si="362"/>
        <v>0</v>
      </c>
      <c r="W909" s="5">
        <f t="shared" si="363"/>
        <v>0</v>
      </c>
      <c r="X909" s="5">
        <f t="shared" si="364"/>
        <v>-11.263390841767313</v>
      </c>
      <c r="Y909" s="5">
        <f t="shared" si="365"/>
        <v>13.048140748736271</v>
      </c>
      <c r="Z909" s="5">
        <f>1</f>
        <v>1</v>
      </c>
      <c r="AA909" s="5">
        <f>IF(M909=0,0,const*($T909/omega)*O909*(wy*I909-wz*(H909-V909))/Z909)</f>
        <v>0</v>
      </c>
      <c r="AB909" s="5">
        <f>IF(M909=0,0,const*($T909/omega)*O909*(wz*(G909-U909)-wx*I909)/Z909)</f>
        <v>7.9827212963508067</v>
      </c>
      <c r="AC909" s="5">
        <f>IF(M909=0,0,const*($T909/omega)*O909*(wx*(H909-V909)-wy*(G909-U909))/Z909)</f>
        <v>6.8908292509342157</v>
      </c>
      <c r="AD909" s="5">
        <f t="shared" si="378"/>
        <v>0</v>
      </c>
      <c r="AE909" s="5">
        <f t="shared" si="378"/>
        <v>-3.2806695454165062</v>
      </c>
      <c r="AF909" s="5">
        <f t="shared" si="366"/>
        <v>-12.235030000329512</v>
      </c>
      <c r="AG909">
        <f t="shared" si="377"/>
        <v>0</v>
      </c>
    </row>
    <row r="910" spans="1:33" x14ac:dyDescent="0.2">
      <c r="A910">
        <f t="shared" si="367"/>
        <v>8.7799999999998573</v>
      </c>
      <c r="B910" s="5">
        <f t="shared" si="368"/>
        <v>0</v>
      </c>
      <c r="C910" s="5">
        <f t="shared" si="369"/>
        <v>1157.9778223609928</v>
      </c>
      <c r="D910" s="5">
        <f t="shared" si="370"/>
        <v>-297.14542221742727</v>
      </c>
      <c r="E910" s="2">
        <f t="shared" si="352"/>
        <v>385.99260745366428</v>
      </c>
      <c r="F910" s="2">
        <f t="shared" si="371"/>
        <v>0</v>
      </c>
      <c r="G910" s="3">
        <f t="shared" si="372"/>
        <v>0</v>
      </c>
      <c r="H910" s="3">
        <f t="shared" si="373"/>
        <v>91.188010993728696</v>
      </c>
      <c r="I910" s="3">
        <f t="shared" si="374"/>
        <v>-105.79763806587719</v>
      </c>
      <c r="J910" s="2">
        <f t="shared" si="353"/>
        <v>139.67245100344854</v>
      </c>
      <c r="K910" s="2">
        <f t="shared" si="375"/>
        <v>95.209578052793816</v>
      </c>
      <c r="L910" s="5">
        <f t="shared" si="354"/>
        <v>25.054470556592779</v>
      </c>
      <c r="M910" s="3">
        <f t="shared" si="355"/>
        <v>15.487568174145421</v>
      </c>
      <c r="N910" s="2">
        <v>0</v>
      </c>
      <c r="O910" s="2">
        <f t="shared" si="356"/>
        <v>139.67245100344854</v>
      </c>
      <c r="P910" s="2">
        <f t="shared" si="357"/>
        <v>95.209578052793816</v>
      </c>
      <c r="Q910" s="5">
        <f t="shared" si="358"/>
        <v>1.1771554597029852</v>
      </c>
      <c r="R910" s="5">
        <f t="shared" si="359"/>
        <v>0.15562408933678107</v>
      </c>
      <c r="S910" s="4">
        <f t="shared" si="376"/>
        <v>0.11088491726806619</v>
      </c>
      <c r="T910" s="5">
        <f t="shared" si="360"/>
        <v>9.5183242384377836E-2</v>
      </c>
      <c r="U910" s="4">
        <f t="shared" si="361"/>
        <v>0</v>
      </c>
      <c r="V910" s="4">
        <f t="shared" si="362"/>
        <v>0</v>
      </c>
      <c r="W910" s="5">
        <f t="shared" si="363"/>
        <v>0</v>
      </c>
      <c r="X910" s="5">
        <f t="shared" si="364"/>
        <v>-11.263261278668123</v>
      </c>
      <c r="Y910" s="5">
        <f t="shared" si="365"/>
        <v>13.067797259925884</v>
      </c>
      <c r="Z910" s="5">
        <f>1</f>
        <v>1</v>
      </c>
      <c r="AA910" s="5">
        <f>IF(M910=0,0,const*($T910/omega)*O910*(wy*I910-wz*(H910-V910))/Z910)</f>
        <v>0</v>
      </c>
      <c r="AB910" s="5">
        <f>IF(M910=0,0,const*($T910/omega)*O910*(wz*(G910-U910)-wx*I910)/Z910)</f>
        <v>7.9925628437233138</v>
      </c>
      <c r="AC910" s="5">
        <f>IF(M910=0,0,const*($T910/omega)*O910*(wx*(H910-V910)-wy*(G910-U910))/Z910)</f>
        <v>6.8888674812162609</v>
      </c>
      <c r="AD910" s="5">
        <f t="shared" si="378"/>
        <v>0</v>
      </c>
      <c r="AE910" s="5">
        <f t="shared" si="378"/>
        <v>-3.2706984349448094</v>
      </c>
      <c r="AF910" s="5">
        <f t="shared" si="366"/>
        <v>-12.217335258857855</v>
      </c>
      <c r="AG910">
        <f t="shared" si="377"/>
        <v>0</v>
      </c>
    </row>
    <row r="911" spans="1:33" x14ac:dyDescent="0.2">
      <c r="A911">
        <f t="shared" si="367"/>
        <v>8.789999999999857</v>
      </c>
      <c r="B911" s="5">
        <f t="shared" si="368"/>
        <v>0</v>
      </c>
      <c r="C911" s="5">
        <f t="shared" si="369"/>
        <v>1158.8895389360084</v>
      </c>
      <c r="D911" s="5">
        <f t="shared" si="370"/>
        <v>-298.20400946484898</v>
      </c>
      <c r="E911" s="2">
        <f t="shared" si="352"/>
        <v>386.29651297866945</v>
      </c>
      <c r="F911" s="2">
        <f t="shared" si="371"/>
        <v>0</v>
      </c>
      <c r="G911" s="3">
        <f t="shared" si="372"/>
        <v>0</v>
      </c>
      <c r="H911" s="3">
        <f t="shared" si="373"/>
        <v>91.15530400937925</v>
      </c>
      <c r="I911" s="3">
        <f t="shared" si="374"/>
        <v>-105.91981141846577</v>
      </c>
      <c r="J911" s="2">
        <f t="shared" si="353"/>
        <v>139.74367928448751</v>
      </c>
      <c r="K911" s="2">
        <f t="shared" si="375"/>
        <v>95.258131754933544</v>
      </c>
      <c r="L911" s="5">
        <f t="shared" si="354"/>
        <v>25.04170012662253</v>
      </c>
      <c r="M911" s="3">
        <f t="shared" si="355"/>
        <v>15.478618253031716</v>
      </c>
      <c r="N911" s="2">
        <v>0</v>
      </c>
      <c r="O911" s="2">
        <f t="shared" si="356"/>
        <v>139.74367928448751</v>
      </c>
      <c r="P911" s="2">
        <f t="shared" si="357"/>
        <v>95.258131754933544</v>
      </c>
      <c r="Q911" s="5">
        <f t="shared" si="358"/>
        <v>1.1777557696374634</v>
      </c>
      <c r="R911" s="5">
        <f t="shared" si="359"/>
        <v>0.15559892499993991</v>
      </c>
      <c r="S911" s="4">
        <f t="shared" si="376"/>
        <v>0.11076435322359475</v>
      </c>
      <c r="T911" s="5">
        <f t="shared" si="360"/>
        <v>9.5141832164345089E-2</v>
      </c>
      <c r="U911" s="4">
        <f t="shared" si="361"/>
        <v>0</v>
      </c>
      <c r="V911" s="4">
        <f t="shared" si="362"/>
        <v>0</v>
      </c>
      <c r="W911" s="5">
        <f t="shared" si="363"/>
        <v>0</v>
      </c>
      <c r="X911" s="5">
        <f t="shared" si="364"/>
        <v>-11.26314170071713</v>
      </c>
      <c r="Y911" s="5">
        <f t="shared" si="365"/>
        <v>13.087442995052333</v>
      </c>
      <c r="Z911" s="5">
        <f>1</f>
        <v>1</v>
      </c>
      <c r="AA911" s="5">
        <f>IF(M911=0,0,const*($T911/omega)*O911*(wy*I911-wz*(H911-V911))/Z911)</f>
        <v>0</v>
      </c>
      <c r="AB911" s="5">
        <f>IF(M911=0,0,const*($T911/omega)*O911*(wz*(G911-U911)-wx*I911)/Z911)</f>
        <v>8.0023901508071731</v>
      </c>
      <c r="AC911" s="5">
        <f>IF(M911=0,0,const*($T911/omega)*O911*(wx*(H911-V911)-wy*(G911-U911))/Z911)</f>
        <v>6.8869109303504477</v>
      </c>
      <c r="AD911" s="5">
        <f t="shared" si="378"/>
        <v>0</v>
      </c>
      <c r="AE911" s="5">
        <f t="shared" si="378"/>
        <v>-3.2607515499099566</v>
      </c>
      <c r="AF911" s="5">
        <f t="shared" si="366"/>
        <v>-12.199646074597219</v>
      </c>
      <c r="AG911">
        <f t="shared" si="377"/>
        <v>0</v>
      </c>
    </row>
    <row r="912" spans="1:33" x14ac:dyDescent="0.2">
      <c r="A912">
        <f t="shared" si="367"/>
        <v>8.7999999999998568</v>
      </c>
      <c r="B912" s="5">
        <f t="shared" si="368"/>
        <v>0</v>
      </c>
      <c r="C912" s="5">
        <f t="shared" si="369"/>
        <v>1159.8009289385247</v>
      </c>
      <c r="D912" s="5">
        <f t="shared" si="370"/>
        <v>-299.26381756133736</v>
      </c>
      <c r="E912" s="2">
        <f t="shared" si="352"/>
        <v>386.60030964617494</v>
      </c>
      <c r="F912" s="2">
        <f t="shared" si="371"/>
        <v>0</v>
      </c>
      <c r="G912" s="3">
        <f t="shared" si="372"/>
        <v>0</v>
      </c>
      <c r="H912" s="3">
        <f t="shared" si="373"/>
        <v>91.122696493880156</v>
      </c>
      <c r="I912" s="3">
        <f t="shared" si="374"/>
        <v>-106.04180787921175</v>
      </c>
      <c r="J912" s="2">
        <f t="shared" si="353"/>
        <v>139.81491635232433</v>
      </c>
      <c r="K912" s="2">
        <f t="shared" si="375"/>
        <v>95.306691446710516</v>
      </c>
      <c r="L912" s="5">
        <f t="shared" si="354"/>
        <v>25.028941135398917</v>
      </c>
      <c r="M912" s="3">
        <f t="shared" si="355"/>
        <v>15.469666864566982</v>
      </c>
      <c r="N912" s="2">
        <v>0</v>
      </c>
      <c r="O912" s="2">
        <f t="shared" si="356"/>
        <v>139.81491635232433</v>
      </c>
      <c r="P912" s="2">
        <f t="shared" si="357"/>
        <v>95.306691446710516</v>
      </c>
      <c r="Q912" s="5">
        <f t="shared" si="358"/>
        <v>1.1783561536268248</v>
      </c>
      <c r="R912" s="5">
        <f t="shared" si="359"/>
        <v>0.15557378266101357</v>
      </c>
      <c r="S912" s="4">
        <f t="shared" si="376"/>
        <v>0.11064389457262518</v>
      </c>
      <c r="T912" s="5">
        <f t="shared" si="360"/>
        <v>9.5100431126180052E-2</v>
      </c>
      <c r="U912" s="4">
        <f t="shared" si="361"/>
        <v>0</v>
      </c>
      <c r="V912" s="4">
        <f t="shared" si="362"/>
        <v>0</v>
      </c>
      <c r="W912" s="5">
        <f t="shared" si="363"/>
        <v>0</v>
      </c>
      <c r="X912" s="5">
        <f t="shared" si="364"/>
        <v>-11.263032048344488</v>
      </c>
      <c r="Y912" s="5">
        <f t="shared" si="365"/>
        <v>13.107077891271187</v>
      </c>
      <c r="Z912" s="5">
        <f>1</f>
        <v>1</v>
      </c>
      <c r="AA912" s="5">
        <f>IF(M912=0,0,const*($T912/omega)*O912*(wy*I912-wz*(H912-V912))/Z912)</f>
        <v>0</v>
      </c>
      <c r="AB912" s="5">
        <f>IF(M912=0,0,const*($T912/omega)*O912*(wz*(G912-U912)-wx*I912)/Z912)</f>
        <v>8.0122031935184133</v>
      </c>
      <c r="AC912" s="5">
        <f>IF(M912=0,0,const*($T912/omega)*O912*(wx*(H912-V912)-wy*(G912-U912))/Z912)</f>
        <v>6.8849595687947724</v>
      </c>
      <c r="AD912" s="5">
        <f t="shared" si="378"/>
        <v>0</v>
      </c>
      <c r="AE912" s="5">
        <f t="shared" si="378"/>
        <v>-3.2508288548260751</v>
      </c>
      <c r="AF912" s="5">
        <f t="shared" si="366"/>
        <v>-12.181962539934041</v>
      </c>
      <c r="AG912">
        <f t="shared" si="377"/>
        <v>0</v>
      </c>
    </row>
    <row r="913" spans="1:33" x14ac:dyDescent="0.2">
      <c r="A913">
        <f t="shared" si="367"/>
        <v>8.8099999999998566</v>
      </c>
      <c r="B913" s="5">
        <f t="shared" si="368"/>
        <v>0</v>
      </c>
      <c r="C913" s="5">
        <f t="shared" si="369"/>
        <v>1160.7119933620208</v>
      </c>
      <c r="D913" s="5">
        <f t="shared" si="370"/>
        <v>-300.32484473825644</v>
      </c>
      <c r="E913" s="2">
        <f t="shared" si="352"/>
        <v>386.9039977873403</v>
      </c>
      <c r="F913" s="2">
        <f t="shared" si="371"/>
        <v>0</v>
      </c>
      <c r="G913" s="3">
        <f t="shared" si="372"/>
        <v>0</v>
      </c>
      <c r="H913" s="3">
        <f t="shared" si="373"/>
        <v>91.090188205331899</v>
      </c>
      <c r="I913" s="3">
        <f t="shared" si="374"/>
        <v>-106.16362750461109</v>
      </c>
      <c r="J913" s="2">
        <f t="shared" si="353"/>
        <v>139.88616154652541</v>
      </c>
      <c r="K913" s="2">
        <f t="shared" si="375"/>
        <v>95.355256677931436</v>
      </c>
      <c r="L913" s="5">
        <f t="shared" si="354"/>
        <v>25.01619368595771</v>
      </c>
      <c r="M913" s="3">
        <f t="shared" si="355"/>
        <v>15.460714041822756</v>
      </c>
      <c r="N913" s="2">
        <v>0</v>
      </c>
      <c r="O913" s="2">
        <f t="shared" si="356"/>
        <v>139.88616154652541</v>
      </c>
      <c r="P913" s="2">
        <f t="shared" si="357"/>
        <v>95.355256677931436</v>
      </c>
      <c r="Q913" s="5">
        <f t="shared" si="358"/>
        <v>1.1789566061049541</v>
      </c>
      <c r="R913" s="5">
        <f t="shared" si="359"/>
        <v>0.15554866244939036</v>
      </c>
      <c r="S913" s="4">
        <f t="shared" si="376"/>
        <v>0.11052354193506556</v>
      </c>
      <c r="T913" s="5">
        <f t="shared" si="360"/>
        <v>9.5059039507040061E-2</v>
      </c>
      <c r="U913" s="4">
        <f t="shared" si="361"/>
        <v>0</v>
      </c>
      <c r="V913" s="4">
        <f t="shared" si="362"/>
        <v>0</v>
      </c>
      <c r="W913" s="5">
        <f t="shared" si="363"/>
        <v>0</v>
      </c>
      <c r="X913" s="5">
        <f t="shared" si="364"/>
        <v>-11.262932262282693</v>
      </c>
      <c r="Y913" s="5">
        <f t="shared" si="365"/>
        <v>13.126701885908016</v>
      </c>
      <c r="Z913" s="5">
        <f>1</f>
        <v>1</v>
      </c>
      <c r="AA913" s="5">
        <f>IF(M913=0,0,const*($T913/omega)*O913*(wy*I913-wz*(H913-V913))/Z913)</f>
        <v>0</v>
      </c>
      <c r="AB913" s="5">
        <f>IF(M913=0,0,const*($T913/omega)*O913*(wz*(G913-U913)-wx*I913)/Z913)</f>
        <v>8.0220019479476914</v>
      </c>
      <c r="AC913" s="5">
        <f>IF(M913=0,0,const*($T913/omega)*O913*(wx*(H913-V913)-wy*(G913-U913))/Z913)</f>
        <v>6.8830133671756473</v>
      </c>
      <c r="AD913" s="5">
        <f t="shared" si="378"/>
        <v>0</v>
      </c>
      <c r="AE913" s="5">
        <f t="shared" si="378"/>
        <v>-3.2409303143350012</v>
      </c>
      <c r="AF913" s="5">
        <f t="shared" si="366"/>
        <v>-12.164284746916337</v>
      </c>
      <c r="AG913">
        <f t="shared" si="377"/>
        <v>0</v>
      </c>
    </row>
    <row r="914" spans="1:33" x14ac:dyDescent="0.2">
      <c r="A914">
        <f t="shared" si="367"/>
        <v>8.8199999999998564</v>
      </c>
      <c r="B914" s="5">
        <f t="shared" si="368"/>
        <v>0</v>
      </c>
      <c r="C914" s="5">
        <f t="shared" si="369"/>
        <v>1161.6227331975585</v>
      </c>
      <c r="D914" s="5">
        <f t="shared" si="370"/>
        <v>-301.38708922753989</v>
      </c>
      <c r="E914" s="2">
        <f t="shared" si="352"/>
        <v>387.2075777325195</v>
      </c>
      <c r="F914" s="2">
        <f t="shared" si="371"/>
        <v>0</v>
      </c>
      <c r="G914" s="3">
        <f t="shared" si="372"/>
        <v>0</v>
      </c>
      <c r="H914" s="3">
        <f t="shared" si="373"/>
        <v>91.057778902188545</v>
      </c>
      <c r="I914" s="3">
        <f t="shared" si="374"/>
        <v>-106.28527035208025</v>
      </c>
      <c r="J914" s="2">
        <f t="shared" si="353"/>
        <v>139.95741421023268</v>
      </c>
      <c r="K914" s="2">
        <f t="shared" si="375"/>
        <v>95.403827000840266</v>
      </c>
      <c r="L914" s="5">
        <f t="shared" si="354"/>
        <v>25.003457880241378</v>
      </c>
      <c r="M914" s="3">
        <f t="shared" si="355"/>
        <v>15.451759817788057</v>
      </c>
      <c r="N914" s="2">
        <v>0</v>
      </c>
      <c r="O914" s="2">
        <f t="shared" si="356"/>
        <v>139.95741421023268</v>
      </c>
      <c r="P914" s="2">
        <f t="shared" si="357"/>
        <v>95.403827000840266</v>
      </c>
      <c r="Q914" s="5">
        <f t="shared" si="358"/>
        <v>1.1795571215358698</v>
      </c>
      <c r="R914" s="5">
        <f t="shared" si="359"/>
        <v>0.15552356449300128</v>
      </c>
      <c r="S914" s="4">
        <f t="shared" si="376"/>
        <v>0.11040329592384206</v>
      </c>
      <c r="T914" s="5">
        <f t="shared" si="360"/>
        <v>9.5017657542288192E-2</v>
      </c>
      <c r="U914" s="4">
        <f t="shared" si="361"/>
        <v>0</v>
      </c>
      <c r="V914" s="4">
        <f t="shared" si="362"/>
        <v>0</v>
      </c>
      <c r="W914" s="5">
        <f t="shared" si="363"/>
        <v>0</v>
      </c>
      <c r="X914" s="5">
        <f t="shared" si="364"/>
        <v>-11.262842283564808</v>
      </c>
      <c r="Y914" s="5">
        <f t="shared" si="365"/>
        <v>13.146314916459653</v>
      </c>
      <c r="Z914" s="5">
        <f>1</f>
        <v>1</v>
      </c>
      <c r="AA914" s="5">
        <f>IF(M914=0,0,const*($T914/omega)*O914*(wy*I914-wz*(H914-V914))/Z914)</f>
        <v>0</v>
      </c>
      <c r="AB914" s="5">
        <f>IF(M914=0,0,const*($T914/omega)*O914*(wz*(G914-U914)-wx*I914)/Z914)</f>
        <v>8.031786390360482</v>
      </c>
      <c r="AC914" s="5">
        <f>IF(M914=0,0,const*($T914/omega)*O914*(wx*(H914-V914)-wy*(G914-U914))/Z914)</f>
        <v>6.8810722962867965</v>
      </c>
      <c r="AD914" s="5">
        <f t="shared" si="378"/>
        <v>0</v>
      </c>
      <c r="AE914" s="5">
        <f t="shared" si="378"/>
        <v>-3.2310558932043261</v>
      </c>
      <c r="AF914" s="5">
        <f t="shared" si="366"/>
        <v>-12.146612787253549</v>
      </c>
      <c r="AG914">
        <f t="shared" si="377"/>
        <v>0</v>
      </c>
    </row>
    <row r="915" spans="1:33" x14ac:dyDescent="0.2">
      <c r="A915">
        <f t="shared" si="367"/>
        <v>8.8299999999998562</v>
      </c>
      <c r="B915" s="5">
        <f t="shared" si="368"/>
        <v>0</v>
      </c>
      <c r="C915" s="5">
        <f t="shared" si="369"/>
        <v>1162.5331494337856</v>
      </c>
      <c r="D915" s="5">
        <f t="shared" si="370"/>
        <v>-302.45054926170002</v>
      </c>
      <c r="E915" s="2">
        <f t="shared" si="352"/>
        <v>387.5110498112619</v>
      </c>
      <c r="F915" s="2">
        <f t="shared" si="371"/>
        <v>0</v>
      </c>
      <c r="G915" s="3">
        <f t="shared" si="372"/>
        <v>0</v>
      </c>
      <c r="H915" s="3">
        <f t="shared" si="373"/>
        <v>91.025468343256506</v>
      </c>
      <c r="I915" s="3">
        <f t="shared" si="374"/>
        <v>-106.40673647995278</v>
      </c>
      <c r="J915" s="2">
        <f t="shared" si="353"/>
        <v>140.02867369015286</v>
      </c>
      <c r="K915" s="2">
        <f t="shared" si="375"/>
        <v>95.452401970111012</v>
      </c>
      <c r="L915" s="5">
        <f t="shared" si="354"/>
        <v>24.990733819105913</v>
      </c>
      <c r="M915" s="3">
        <f t="shared" si="355"/>
        <v>15.442804225369054</v>
      </c>
      <c r="N915" s="2">
        <v>0</v>
      </c>
      <c r="O915" s="2">
        <f t="shared" si="356"/>
        <v>140.02867369015286</v>
      </c>
      <c r="P915" s="2">
        <f t="shared" si="357"/>
        <v>95.452401970111012</v>
      </c>
      <c r="Q915" s="5">
        <f t="shared" si="358"/>
        <v>1.1801576944136347</v>
      </c>
      <c r="R915" s="5">
        <f t="shared" si="359"/>
        <v>0.15549848891832924</v>
      </c>
      <c r="S915" s="4">
        <f t="shared" si="376"/>
        <v>0.11028315714494287</v>
      </c>
      <c r="T915" s="5">
        <f t="shared" si="360"/>
        <v>9.4976285465501659E-2</v>
      </c>
      <c r="U915" s="4">
        <f t="shared" si="361"/>
        <v>0</v>
      </c>
      <c r="V915" s="4">
        <f t="shared" si="362"/>
        <v>0</v>
      </c>
      <c r="W915" s="5">
        <f t="shared" si="363"/>
        <v>0</v>
      </c>
      <c r="X915" s="5">
        <f t="shared" si="364"/>
        <v>-11.262762053522748</v>
      </c>
      <c r="Y915" s="5">
        <f t="shared" si="365"/>
        <v>13.165916920595455</v>
      </c>
      <c r="Z915" s="5">
        <f>1</f>
        <v>1</v>
      </c>
      <c r="AA915" s="5">
        <f>IF(M915=0,0,const*($T915/omega)*O915*(wy*I915-wz*(H915-V915))/Z915)</f>
        <v>0</v>
      </c>
      <c r="AB915" s="5">
        <f>IF(M915=0,0,const*($T915/omega)*O915*(wz*(G915-U915)-wx*I915)/Z915)</f>
        <v>8.0415564971973001</v>
      </c>
      <c r="AC915" s="5">
        <f>IF(M915=0,0,const*($T915/omega)*O915*(wx*(H915-V915)-wy*(G915-U915))/Z915)</f>
        <v>6.8791363270881725</v>
      </c>
      <c r="AD915" s="5">
        <f t="shared" si="378"/>
        <v>0</v>
      </c>
      <c r="AE915" s="5">
        <f t="shared" si="378"/>
        <v>-3.2212055563254474</v>
      </c>
      <c r="AF915" s="5">
        <f t="shared" si="366"/>
        <v>-12.128946752316374</v>
      </c>
      <c r="AG915">
        <f t="shared" si="377"/>
        <v>0</v>
      </c>
    </row>
    <row r="916" spans="1:33" x14ac:dyDescent="0.2">
      <c r="A916">
        <f t="shared" si="367"/>
        <v>8.839999999999856</v>
      </c>
      <c r="B916" s="5">
        <f t="shared" si="368"/>
        <v>0</v>
      </c>
      <c r="C916" s="5">
        <f t="shared" si="369"/>
        <v>1163.4432430569404</v>
      </c>
      <c r="D916" s="5">
        <f t="shared" si="370"/>
        <v>-303.51522307383715</v>
      </c>
      <c r="E916" s="2">
        <f t="shared" si="352"/>
        <v>387.81441435231346</v>
      </c>
      <c r="F916" s="2">
        <f t="shared" si="371"/>
        <v>0</v>
      </c>
      <c r="G916" s="3">
        <f t="shared" si="372"/>
        <v>0</v>
      </c>
      <c r="H916" s="3">
        <f t="shared" si="373"/>
        <v>90.993256287693256</v>
      </c>
      <c r="I916" s="3">
        <f t="shared" si="374"/>
        <v>-106.52802594747595</v>
      </c>
      <c r="J916" s="2">
        <f t="shared" si="353"/>
        <v>140.09993933654624</v>
      </c>
      <c r="K916" s="2">
        <f t="shared" si="375"/>
        <v>95.500981142839976</v>
      </c>
      <c r="L916" s="5">
        <f t="shared" si="354"/>
        <v>24.978021602327672</v>
      </c>
      <c r="M916" s="3">
        <f t="shared" si="355"/>
        <v>15.433847297388741</v>
      </c>
      <c r="N916" s="2">
        <v>0</v>
      </c>
      <c r="O916" s="2">
        <f t="shared" si="356"/>
        <v>140.09993933654624</v>
      </c>
      <c r="P916" s="2">
        <f t="shared" si="357"/>
        <v>95.500981142839976</v>
      </c>
      <c r="Q916" s="5">
        <f t="shared" si="358"/>
        <v>1.1807583192622613</v>
      </c>
      <c r="R916" s="5">
        <f t="shared" si="359"/>
        <v>0.15547343585041823</v>
      </c>
      <c r="S916" s="4">
        <f t="shared" si="376"/>
        <v>0.11016312619746219</v>
      </c>
      <c r="T916" s="5">
        <f t="shared" si="360"/>
        <v>9.4934923508480651E-2</v>
      </c>
      <c r="U916" s="4">
        <f t="shared" si="361"/>
        <v>0</v>
      </c>
      <c r="V916" s="4">
        <f t="shared" si="362"/>
        <v>0</v>
      </c>
      <c r="W916" s="5">
        <f t="shared" si="363"/>
        <v>0</v>
      </c>
      <c r="X916" s="5">
        <f t="shared" si="364"/>
        <v>-11.262691513785507</v>
      </c>
      <c r="Y916" s="5">
        <f t="shared" si="365"/>
        <v>13.185507836158516</v>
      </c>
      <c r="Z916" s="5">
        <f>1</f>
        <v>1</v>
      </c>
      <c r="AA916" s="5">
        <f>IF(M916=0,0,const*($T916/omega)*O916*(wy*I916-wz*(H916-V916))/Z916)</f>
        <v>0</v>
      </c>
      <c r="AB916" s="5">
        <f>IF(M916=0,0,const*($T916/omega)*O916*(wz*(G916-U916)-wx*I916)/Z916)</f>
        <v>8.0513122450738823</v>
      </c>
      <c r="AC916" s="5">
        <f>IF(M916=0,0,const*($T916/omega)*O916*(wx*(H916-V916)-wy*(G916-U916))/Z916)</f>
        <v>6.8772054307048682</v>
      </c>
      <c r="AD916" s="5">
        <f t="shared" si="378"/>
        <v>0</v>
      </c>
      <c r="AE916" s="5">
        <f t="shared" si="378"/>
        <v>-3.2113792687116245</v>
      </c>
      <c r="AF916" s="5">
        <f t="shared" si="366"/>
        <v>-12.111286733136616</v>
      </c>
      <c r="AG916">
        <f t="shared" si="377"/>
        <v>0</v>
      </c>
    </row>
    <row r="917" spans="1:33" x14ac:dyDescent="0.2">
      <c r="A917">
        <f t="shared" si="367"/>
        <v>8.8499999999998558</v>
      </c>
      <c r="B917" s="5">
        <f t="shared" si="368"/>
        <v>0</v>
      </c>
      <c r="C917" s="5">
        <f t="shared" si="369"/>
        <v>1164.3530150508541</v>
      </c>
      <c r="D917" s="5">
        <f t="shared" si="370"/>
        <v>-304.58110889764856</v>
      </c>
      <c r="E917" s="2">
        <f t="shared" si="352"/>
        <v>388.11767168361803</v>
      </c>
      <c r="F917" s="2">
        <f t="shared" si="371"/>
        <v>0</v>
      </c>
      <c r="G917" s="3">
        <f t="shared" si="372"/>
        <v>0</v>
      </c>
      <c r="H917" s="3">
        <f t="shared" si="373"/>
        <v>90.961142495006143</v>
      </c>
      <c r="I917" s="3">
        <f t="shared" si="374"/>
        <v>-106.64913881480732</v>
      </c>
      <c r="J917" s="2">
        <f t="shared" si="353"/>
        <v>140.17121050321586</v>
      </c>
      <c r="K917" s="2">
        <f t="shared" si="375"/>
        <v>95.54956407853841</v>
      </c>
      <c r="L917" s="5">
        <f t="shared" si="354"/>
        <v>24.965321328610223</v>
      </c>
      <c r="M917" s="3">
        <f t="shared" si="355"/>
        <v>15.424889066586623</v>
      </c>
      <c r="N917" s="2">
        <v>0</v>
      </c>
      <c r="O917" s="2">
        <f t="shared" si="356"/>
        <v>140.17121050321586</v>
      </c>
      <c r="P917" s="2">
        <f t="shared" si="357"/>
        <v>95.54956407853841</v>
      </c>
      <c r="Q917" s="5">
        <f t="shared" si="358"/>
        <v>1.1813589906356194</v>
      </c>
      <c r="R917" s="5">
        <f t="shared" si="359"/>
        <v>0.15544840541288246</v>
      </c>
      <c r="S917" s="4">
        <f t="shared" si="376"/>
        <v>0.11004320367364409</v>
      </c>
      <c r="T917" s="5">
        <f t="shared" si="360"/>
        <v>9.4893571901256857E-2</v>
      </c>
      <c r="U917" s="4">
        <f t="shared" si="361"/>
        <v>0</v>
      </c>
      <c r="V917" s="4">
        <f t="shared" si="362"/>
        <v>0</v>
      </c>
      <c r="W917" s="5">
        <f t="shared" si="363"/>
        <v>0</v>
      </c>
      <c r="X917" s="5">
        <f t="shared" si="364"/>
        <v>-11.262630606277439</v>
      </c>
      <c r="Y917" s="5">
        <f t="shared" si="365"/>
        <v>13.205087601166888</v>
      </c>
      <c r="Z917" s="5">
        <f>1</f>
        <v>1</v>
      </c>
      <c r="AA917" s="5">
        <f>IF(M917=0,0,const*($T917/omega)*O917*(wy*I917-wz*(H917-V917))/Z917)</f>
        <v>0</v>
      </c>
      <c r="AB917" s="5">
        <f>IF(M917=0,0,const*($T917/omega)*O917*(wz*(G917-U917)-wx*I917)/Z917)</f>
        <v>8.0610536107813875</v>
      </c>
      <c r="AC917" s="5">
        <f>IF(M917=0,0,const*($T917/omega)*O917*(wx*(H917-V917)-wy*(G917-U917))/Z917)</f>
        <v>6.8752795784260492</v>
      </c>
      <c r="AD917" s="5">
        <f t="shared" si="378"/>
        <v>0</v>
      </c>
      <c r="AE917" s="5">
        <f t="shared" si="378"/>
        <v>-3.2015769954960511</v>
      </c>
      <c r="AF917" s="5">
        <f t="shared" si="366"/>
        <v>-12.093632820407063</v>
      </c>
      <c r="AG917">
        <f t="shared" si="377"/>
        <v>0</v>
      </c>
    </row>
    <row r="918" spans="1:33" x14ac:dyDescent="0.2">
      <c r="A918">
        <f t="shared" si="367"/>
        <v>8.8599999999998555</v>
      </c>
      <c r="B918" s="5">
        <f t="shared" si="368"/>
        <v>0</v>
      </c>
      <c r="C918" s="5">
        <f t="shared" si="369"/>
        <v>1165.2624663969543</v>
      </c>
      <c r="D918" s="5">
        <f t="shared" si="370"/>
        <v>-305.64820496743761</v>
      </c>
      <c r="E918" s="2">
        <f t="shared" si="352"/>
        <v>388.42082213231811</v>
      </c>
      <c r="F918" s="2">
        <f t="shared" si="371"/>
        <v>0</v>
      </c>
      <c r="G918" s="3">
        <f t="shared" si="372"/>
        <v>0</v>
      </c>
      <c r="H918" s="3">
        <f t="shared" si="373"/>
        <v>90.929126725051177</v>
      </c>
      <c r="I918" s="3">
        <f t="shared" si="374"/>
        <v>-106.77007514301138</v>
      </c>
      <c r="J918" s="2">
        <f t="shared" si="353"/>
        <v>140.24248654749641</v>
      </c>
      <c r="K918" s="2">
        <f t="shared" si="375"/>
        <v>95.598150339125013</v>
      </c>
      <c r="L918" s="5">
        <f t="shared" si="354"/>
        <v>24.952633095591104</v>
      </c>
      <c r="M918" s="3">
        <f t="shared" si="355"/>
        <v>15.41592956561839</v>
      </c>
      <c r="N918" s="2">
        <v>0</v>
      </c>
      <c r="O918" s="2">
        <f t="shared" si="356"/>
        <v>140.24248654749641</v>
      </c>
      <c r="P918" s="2">
        <f t="shared" si="357"/>
        <v>95.598150339125013</v>
      </c>
      <c r="Q918" s="5">
        <f t="shared" si="358"/>
        <v>1.1819597031173441</v>
      </c>
      <c r="R918" s="5">
        <f t="shared" si="359"/>
        <v>0.15542339772791547</v>
      </c>
      <c r="S918" s="4">
        <f t="shared" si="376"/>
        <v>0.10992339015892608</v>
      </c>
      <c r="T918" s="5">
        <f t="shared" si="360"/>
        <v>9.4852230872101942E-2</v>
      </c>
      <c r="U918" s="4">
        <f t="shared" si="361"/>
        <v>0</v>
      </c>
      <c r="V918" s="4">
        <f t="shared" si="362"/>
        <v>0</v>
      </c>
      <c r="W918" s="5">
        <f t="shared" si="363"/>
        <v>0</v>
      </c>
      <c r="X918" s="5">
        <f t="shared" si="364"/>
        <v>-11.262579273216542</v>
      </c>
      <c r="Y918" s="5">
        <f t="shared" si="365"/>
        <v>13.224656153814788</v>
      </c>
      <c r="Z918" s="5">
        <f>1</f>
        <v>1</v>
      </c>
      <c r="AA918" s="5">
        <f>IF(M918=0,0,const*($T918/omega)*O918*(wy*I918-wz*(H918-V918))/Z918)</f>
        <v>0</v>
      </c>
      <c r="AB918" s="5">
        <f>IF(M918=0,0,const*($T918/omega)*O918*(wz*(G918-U918)-wx*I918)/Z918)</f>
        <v>8.0707805712865621</v>
      </c>
      <c r="AC918" s="5">
        <f>IF(M918=0,0,const*($T918/omega)*O918*(wx*(H918-V918)-wy*(G918-U918))/Z918)</f>
        <v>6.8733587417038722</v>
      </c>
      <c r="AD918" s="5">
        <f t="shared" si="378"/>
        <v>0</v>
      </c>
      <c r="AE918" s="5">
        <f t="shared" si="378"/>
        <v>-3.1917987019299794</v>
      </c>
      <c r="AF918" s="5">
        <f t="shared" si="366"/>
        <v>-12.07598510448134</v>
      </c>
      <c r="AG918">
        <f t="shared" si="377"/>
        <v>0</v>
      </c>
    </row>
    <row r="919" spans="1:33" x14ac:dyDescent="0.2">
      <c r="A919">
        <f t="shared" si="367"/>
        <v>8.8699999999998553</v>
      </c>
      <c r="B919" s="5">
        <f t="shared" si="368"/>
        <v>0</v>
      </c>
      <c r="C919" s="5">
        <f t="shared" si="369"/>
        <v>1166.1715980742697</v>
      </c>
      <c r="D919" s="5">
        <f t="shared" si="370"/>
        <v>-306.7165095181229</v>
      </c>
      <c r="E919" s="2">
        <f t="shared" si="352"/>
        <v>388.72386602475655</v>
      </c>
      <c r="F919" s="2">
        <f t="shared" si="371"/>
        <v>0</v>
      </c>
      <c r="G919" s="3">
        <f t="shared" si="372"/>
        <v>0</v>
      </c>
      <c r="H919" s="3">
        <f t="shared" si="373"/>
        <v>90.897208738031878</v>
      </c>
      <c r="I919" s="3">
        <f t="shared" si="374"/>
        <v>-106.89083499405619</v>
      </c>
      <c r="J919" s="2">
        <f t="shared" si="353"/>
        <v>140.31376683024331</v>
      </c>
      <c r="K919" s="2">
        <f t="shared" si="375"/>
        <v>95.646739488918399</v>
      </c>
      <c r="L919" s="5">
        <f t="shared" si="354"/>
        <v>24.939956999848587</v>
      </c>
      <c r="M919" s="3">
        <f t="shared" si="355"/>
        <v>15.406968827055604</v>
      </c>
      <c r="N919" s="2">
        <v>0</v>
      </c>
      <c r="O919" s="2">
        <f t="shared" si="356"/>
        <v>140.31376683024331</v>
      </c>
      <c r="P919" s="2">
        <f t="shared" si="357"/>
        <v>95.646739488918399</v>
      </c>
      <c r="Q919" s="5">
        <f t="shared" si="358"/>
        <v>1.1825604513207435</v>
      </c>
      <c r="R919" s="5">
        <f t="shared" si="359"/>
        <v>0.15539841291629919</v>
      </c>
      <c r="S919" s="4">
        <f t="shared" si="376"/>
        <v>0.1098036862319826</v>
      </c>
      <c r="T919" s="5">
        <f t="shared" si="360"/>
        <v>9.4810900647536278E-2</v>
      </c>
      <c r="U919" s="4">
        <f t="shared" si="361"/>
        <v>0</v>
      </c>
      <c r="V919" s="4">
        <f t="shared" si="362"/>
        <v>0</v>
      </c>
      <c r="W919" s="5">
        <f t="shared" si="363"/>
        <v>0</v>
      </c>
      <c r="X919" s="5">
        <f t="shared" si="364"/>
        <v>-11.262537457112741</v>
      </c>
      <c r="Y919" s="5">
        <f t="shared" si="365"/>
        <v>13.244213432473783</v>
      </c>
      <c r="Z919" s="5">
        <f>1</f>
        <v>1</v>
      </c>
      <c r="AA919" s="5">
        <f>IF(M919=0,0,const*($T919/omega)*O919*(wy*I919-wz*(H919-V919))/Z919)</f>
        <v>0</v>
      </c>
      <c r="AB919" s="5">
        <f>IF(M919=0,0,const*($T919/omega)*O919*(wz*(G919-U919)-wx*I919)/Z919)</f>
        <v>8.0804931037318966</v>
      </c>
      <c r="AC919" s="5">
        <f>IF(M919=0,0,const*($T919/omega)*O919*(wx*(H919-V919)-wy*(G919-U919))/Z919)</f>
        <v>6.8714428921524275</v>
      </c>
      <c r="AD919" s="5">
        <f t="shared" si="378"/>
        <v>0</v>
      </c>
      <c r="AE919" s="5">
        <f t="shared" si="378"/>
        <v>-3.182044353380844</v>
      </c>
      <c r="AF919" s="5">
        <f t="shared" si="366"/>
        <v>-12.058343675373788</v>
      </c>
      <c r="AG919">
        <f t="shared" si="377"/>
        <v>0</v>
      </c>
    </row>
    <row r="920" spans="1:33" x14ac:dyDescent="0.2">
      <c r="A920">
        <f t="shared" si="367"/>
        <v>8.8799999999998551</v>
      </c>
      <c r="B920" s="5">
        <f t="shared" si="368"/>
        <v>0</v>
      </c>
      <c r="C920" s="5">
        <f t="shared" si="369"/>
        <v>1167.0804110594324</v>
      </c>
      <c r="D920" s="5">
        <f t="shared" si="370"/>
        <v>-307.78602078524722</v>
      </c>
      <c r="E920" s="2">
        <f t="shared" si="352"/>
        <v>389.02680368647748</v>
      </c>
      <c r="F920" s="2">
        <f t="shared" si="371"/>
        <v>0</v>
      </c>
      <c r="G920" s="3">
        <f t="shared" si="372"/>
        <v>0</v>
      </c>
      <c r="H920" s="3">
        <f t="shared" si="373"/>
        <v>90.865388294498075</v>
      </c>
      <c r="I920" s="3">
        <f t="shared" si="374"/>
        <v>-107.01141843080993</v>
      </c>
      <c r="J920" s="2">
        <f t="shared" si="353"/>
        <v>140.38505071582156</v>
      </c>
      <c r="K920" s="2">
        <f t="shared" si="375"/>
        <v>95.695331094629552</v>
      </c>
      <c r="L920" s="5">
        <f t="shared" si="354"/>
        <v>24.927293136908489</v>
      </c>
      <c r="M920" s="3">
        <f t="shared" si="355"/>
        <v>15.398006883385413</v>
      </c>
      <c r="N920" s="2">
        <v>0</v>
      </c>
      <c r="O920" s="2">
        <f t="shared" si="356"/>
        <v>140.38505071582156</v>
      </c>
      <c r="P920" s="2">
        <f t="shared" si="357"/>
        <v>95.695331094629552</v>
      </c>
      <c r="Q920" s="5">
        <f t="shared" si="358"/>
        <v>1.1831612298887031</v>
      </c>
      <c r="R920" s="5">
        <f t="shared" si="359"/>
        <v>0.15537345109741307</v>
      </c>
      <c r="S920" s="4">
        <f t="shared" si="376"/>
        <v>0.10968409246476868</v>
      </c>
      <c r="T920" s="5">
        <f t="shared" si="360"/>
        <v>9.4769581452337465E-2</v>
      </c>
      <c r="U920" s="4">
        <f t="shared" si="361"/>
        <v>0</v>
      </c>
      <c r="V920" s="4">
        <f t="shared" si="362"/>
        <v>0</v>
      </c>
      <c r="W920" s="5">
        <f t="shared" si="363"/>
        <v>0</v>
      </c>
      <c r="X920" s="5">
        <f t="shared" si="364"/>
        <v>-11.262505100766182</v>
      </c>
      <c r="Y920" s="5">
        <f t="shared" si="365"/>
        <v>13.263759375693958</v>
      </c>
      <c r="Z920" s="5">
        <f>1</f>
        <v>1</v>
      </c>
      <c r="AA920" s="5">
        <f>IF(M920=0,0,const*($T920/omega)*O920*(wy*I920-wz*(H920-V920))/Z920)</f>
        <v>0</v>
      </c>
      <c r="AB920" s="5">
        <f>IF(M920=0,0,const*($T920/omega)*O920*(wz*(G920-U920)-wx*I920)/Z920)</f>
        <v>8.0901911854358133</v>
      </c>
      <c r="AC920" s="5">
        <f>IF(M920=0,0,const*($T920/omega)*O920*(wx*(H920-V920)-wy*(G920-U920))/Z920)</f>
        <v>6.8695320015466779</v>
      </c>
      <c r="AD920" s="5">
        <f t="shared" si="378"/>
        <v>0</v>
      </c>
      <c r="AE920" s="5">
        <f t="shared" si="378"/>
        <v>-3.1723139153303688</v>
      </c>
      <c r="AF920" s="5">
        <f t="shared" si="366"/>
        <v>-12.040708622759364</v>
      </c>
      <c r="AG920">
        <f t="shared" si="377"/>
        <v>0</v>
      </c>
    </row>
    <row r="921" spans="1:33" x14ac:dyDescent="0.2">
      <c r="A921">
        <f t="shared" si="367"/>
        <v>8.8899999999998549</v>
      </c>
      <c r="B921" s="5">
        <f t="shared" si="368"/>
        <v>0</v>
      </c>
      <c r="C921" s="5">
        <f t="shared" si="369"/>
        <v>1167.9889063266817</v>
      </c>
      <c r="D921" s="5">
        <f t="shared" si="370"/>
        <v>-308.85673700498648</v>
      </c>
      <c r="E921" s="2">
        <f t="shared" si="352"/>
        <v>389.32963544222724</v>
      </c>
      <c r="F921" s="2">
        <f t="shared" si="371"/>
        <v>0</v>
      </c>
      <c r="G921" s="3">
        <f t="shared" si="372"/>
        <v>0</v>
      </c>
      <c r="H921" s="3">
        <f t="shared" si="373"/>
        <v>90.833665155344775</v>
      </c>
      <c r="I921" s="3">
        <f t="shared" si="374"/>
        <v>-107.13182551703751</v>
      </c>
      <c r="J921" s="2">
        <f t="shared" si="353"/>
        <v>140.45633757209484</v>
      </c>
      <c r="K921" s="2">
        <f t="shared" si="375"/>
        <v>95.743924725354347</v>
      </c>
      <c r="L921" s="5">
        <f t="shared" si="354"/>
        <v>24.914641601250864</v>
      </c>
      <c r="M921" s="3">
        <f t="shared" si="355"/>
        <v>15.389043767010239</v>
      </c>
      <c r="N921" s="2">
        <v>0</v>
      </c>
      <c r="O921" s="2">
        <f t="shared" si="356"/>
        <v>140.45633757209484</v>
      </c>
      <c r="P921" s="2">
        <f t="shared" si="357"/>
        <v>95.743924725354347</v>
      </c>
      <c r="Q921" s="5">
        <f t="shared" si="358"/>
        <v>1.1837620334935965</v>
      </c>
      <c r="R921" s="5">
        <f t="shared" si="359"/>
        <v>0.15534851238924305</v>
      </c>
      <c r="S921" s="4">
        <f t="shared" si="376"/>
        <v>0.10956460942256306</v>
      </c>
      <c r="T921" s="5">
        <f t="shared" si="360"/>
        <v>9.4728273509548849E-2</v>
      </c>
      <c r="U921" s="4">
        <f t="shared" si="361"/>
        <v>0</v>
      </c>
      <c r="V921" s="4">
        <f t="shared" si="362"/>
        <v>0</v>
      </c>
      <c r="W921" s="5">
        <f t="shared" si="363"/>
        <v>0</v>
      </c>
      <c r="X921" s="5">
        <f t="shared" si="364"/>
        <v>-11.262482147265544</v>
      </c>
      <c r="Y921" s="5">
        <f t="shared" si="365"/>
        <v>13.283293922205075</v>
      </c>
      <c r="Z921" s="5">
        <f>1</f>
        <v>1</v>
      </c>
      <c r="AA921" s="5">
        <f>IF(M921=0,0,const*($T921/omega)*O921*(wy*I921-wz*(H921-V921))/Z921)</f>
        <v>0</v>
      </c>
      <c r="AB921" s="5">
        <f>IF(M921=0,0,const*($T921/omega)*O921*(wz*(G921-U921)-wx*I921)/Z921)</f>
        <v>8.0998747938927824</v>
      </c>
      <c r="AC921" s="5">
        <f>IF(M921=0,0,const*($T921/omega)*O921*(wx*(H921-V921)-wy*(G921-U921))/Z921)</f>
        <v>6.8676260418214099</v>
      </c>
      <c r="AD921" s="5">
        <f t="shared" si="378"/>
        <v>0</v>
      </c>
      <c r="AE921" s="5">
        <f t="shared" si="378"/>
        <v>-3.1626073533727617</v>
      </c>
      <c r="AF921" s="5">
        <f t="shared" si="366"/>
        <v>-12.023080035973514</v>
      </c>
      <c r="AG921">
        <f t="shared" si="377"/>
        <v>0</v>
      </c>
    </row>
    <row r="922" spans="1:33" x14ac:dyDescent="0.2">
      <c r="A922">
        <f t="shared" si="367"/>
        <v>8.8999999999998547</v>
      </c>
      <c r="B922" s="5">
        <f t="shared" si="368"/>
        <v>0</v>
      </c>
      <c r="C922" s="5">
        <f t="shared" si="369"/>
        <v>1168.8970848478675</v>
      </c>
      <c r="D922" s="5">
        <f t="shared" si="370"/>
        <v>-309.92865641415864</v>
      </c>
      <c r="E922" s="2">
        <f t="shared" si="352"/>
        <v>389.63236161595586</v>
      </c>
      <c r="F922" s="2">
        <f t="shared" si="371"/>
        <v>0</v>
      </c>
      <c r="G922" s="3">
        <f t="shared" si="372"/>
        <v>0</v>
      </c>
      <c r="H922" s="3">
        <f t="shared" si="373"/>
        <v>90.802039081811046</v>
      </c>
      <c r="I922" s="3">
        <f t="shared" si="374"/>
        <v>-107.25205631739725</v>
      </c>
      <c r="J922" s="2">
        <f t="shared" si="353"/>
        <v>140.5276267704144</v>
      </c>
      <c r="K922" s="2">
        <f t="shared" si="375"/>
        <v>95.792519952566053</v>
      </c>
      <c r="L922" s="5">
        <f t="shared" si="354"/>
        <v>24.902002486316732</v>
      </c>
      <c r="M922" s="3">
        <f t="shared" si="355"/>
        <v>15.380079510247477</v>
      </c>
      <c r="N922" s="2">
        <v>0</v>
      </c>
      <c r="O922" s="2">
        <f t="shared" si="356"/>
        <v>140.5276267704144</v>
      </c>
      <c r="P922" s="2">
        <f t="shared" si="357"/>
        <v>95.792519952566053</v>
      </c>
      <c r="Q922" s="5">
        <f t="shared" si="358"/>
        <v>1.1843628568371896</v>
      </c>
      <c r="R922" s="5">
        <f t="shared" si="359"/>
        <v>0.15532359690839062</v>
      </c>
      <c r="S922" s="4">
        <f t="shared" si="376"/>
        <v>0.10944523766401126</v>
      </c>
      <c r="T922" s="5">
        <f t="shared" si="360"/>
        <v>9.4686977040488104E-2</v>
      </c>
      <c r="U922" s="4">
        <f t="shared" si="361"/>
        <v>0</v>
      </c>
      <c r="V922" s="4">
        <f t="shared" si="362"/>
        <v>0</v>
      </c>
      <c r="W922" s="5">
        <f t="shared" si="363"/>
        <v>0</v>
      </c>
      <c r="X922" s="5">
        <f t="shared" si="364"/>
        <v>-11.262468539986358</v>
      </c>
      <c r="Y922" s="5">
        <f t="shared" si="365"/>
        <v>13.302817010917721</v>
      </c>
      <c r="Z922" s="5">
        <f>1</f>
        <v>1</v>
      </c>
      <c r="AA922" s="5">
        <f>IF(M922=0,0,const*($T922/omega)*O922*(wy*I922-wz*(H922-V922))/Z922)</f>
        <v>0</v>
      </c>
      <c r="AB922" s="5">
        <f>IF(M922=0,0,const*($T922/omega)*O922*(wz*(G922-U922)-wx*I922)/Z922)</f>
        <v>8.1095439067734887</v>
      </c>
      <c r="AC922" s="5">
        <f>IF(M922=0,0,const*($T922/omega)*O922*(wx*(H922-V922)-wy*(G922-U922))/Z922)</f>
        <v>6.8657249850701874</v>
      </c>
      <c r="AD922" s="5">
        <f t="shared" si="378"/>
        <v>0</v>
      </c>
      <c r="AE922" s="5">
        <f t="shared" si="378"/>
        <v>-3.1529246332128693</v>
      </c>
      <c r="AF922" s="5">
        <f t="shared" si="366"/>
        <v>-12.005458004012091</v>
      </c>
      <c r="AG922">
        <f t="shared" si="377"/>
        <v>0</v>
      </c>
    </row>
    <row r="923" spans="1:33" x14ac:dyDescent="0.2">
      <c r="A923">
        <f t="shared" si="367"/>
        <v>8.9099999999998545</v>
      </c>
      <c r="B923" s="5">
        <f t="shared" si="368"/>
        <v>0</v>
      </c>
      <c r="C923" s="5">
        <f t="shared" si="369"/>
        <v>1169.804947592454</v>
      </c>
      <c r="D923" s="5">
        <f t="shared" si="370"/>
        <v>-311.00177725023281</v>
      </c>
      <c r="E923" s="2">
        <f t="shared" si="352"/>
        <v>389.93498253081799</v>
      </c>
      <c r="F923" s="2">
        <f t="shared" si="371"/>
        <v>0</v>
      </c>
      <c r="G923" s="3">
        <f t="shared" si="372"/>
        <v>0</v>
      </c>
      <c r="H923" s="3">
        <f t="shared" si="373"/>
        <v>90.770509835478919</v>
      </c>
      <c r="I923" s="3">
        <f t="shared" si="374"/>
        <v>-107.37211089743737</v>
      </c>
      <c r="J923" s="2">
        <f t="shared" si="353"/>
        <v>140.59891768560794</v>
      </c>
      <c r="K923" s="2">
        <f t="shared" si="375"/>
        <v>95.841116350107654</v>
      </c>
      <c r="L923" s="5">
        <f t="shared" si="354"/>
        <v>24.889375884514781</v>
      </c>
      <c r="M923" s="3">
        <f t="shared" si="355"/>
        <v>15.37111414532921</v>
      </c>
      <c r="N923" s="2">
        <v>0</v>
      </c>
      <c r="O923" s="2">
        <f t="shared" si="356"/>
        <v>140.59891768560794</v>
      </c>
      <c r="P923" s="2">
        <f t="shared" si="357"/>
        <v>95.841116350107654</v>
      </c>
      <c r="Q923" s="5">
        <f t="shared" si="358"/>
        <v>1.1849636946505477</v>
      </c>
      <c r="R923" s="5">
        <f t="shared" si="359"/>
        <v>0.15529870477008176</v>
      </c>
      <c r="S923" s="4">
        <f t="shared" si="376"/>
        <v>0.10932597774116888</v>
      </c>
      <c r="T923" s="5">
        <f t="shared" si="360"/>
        <v>9.4645692264755804E-2</v>
      </c>
      <c r="U923" s="4">
        <f t="shared" si="361"/>
        <v>0</v>
      </c>
      <c r="V923" s="4">
        <f t="shared" si="362"/>
        <v>0</v>
      </c>
      <c r="W923" s="5">
        <f t="shared" si="363"/>
        <v>0</v>
      </c>
      <c r="X923" s="5">
        <f t="shared" si="364"/>
        <v>-11.262464222589324</v>
      </c>
      <c r="Y923" s="5">
        <f t="shared" si="365"/>
        <v>13.322328580924417</v>
      </c>
      <c r="Z923" s="5">
        <f>1</f>
        <v>1</v>
      </c>
      <c r="AA923" s="5">
        <f>IF(M923=0,0,const*($T923/omega)*O923*(wy*I923-wz*(H923-V923))/Z923)</f>
        <v>0</v>
      </c>
      <c r="AB923" s="5">
        <f>IF(M923=0,0,const*($T923/omega)*O923*(wz*(G923-U923)-wx*I923)/Z923)</f>
        <v>8.1191985019249522</v>
      </c>
      <c r="AC923" s="5">
        <f>IF(M923=0,0,const*($T923/omega)*O923*(wx*(H923-V923)-wy*(G923-U923))/Z923)</f>
        <v>6.8638288035443109</v>
      </c>
      <c r="AD923" s="5">
        <f t="shared" si="378"/>
        <v>0</v>
      </c>
      <c r="AE923" s="5">
        <f t="shared" si="378"/>
        <v>-3.1432657206643722</v>
      </c>
      <c r="AF923" s="5">
        <f t="shared" si="366"/>
        <v>-11.987842615531271</v>
      </c>
      <c r="AG923">
        <f t="shared" si="377"/>
        <v>0</v>
      </c>
    </row>
    <row r="924" spans="1:33" x14ac:dyDescent="0.2">
      <c r="A924">
        <f t="shared" si="367"/>
        <v>8.9199999999998543</v>
      </c>
      <c r="B924" s="5">
        <f t="shared" si="368"/>
        <v>0</v>
      </c>
      <c r="C924" s="5">
        <f t="shared" si="369"/>
        <v>1170.7124955275228</v>
      </c>
      <c r="D924" s="5">
        <f t="shared" si="370"/>
        <v>-312.07609775133795</v>
      </c>
      <c r="E924" s="2">
        <f t="shared" si="352"/>
        <v>390.23749850917426</v>
      </c>
      <c r="F924" s="2">
        <f t="shared" si="371"/>
        <v>0</v>
      </c>
      <c r="G924" s="3">
        <f t="shared" si="372"/>
        <v>0</v>
      </c>
      <c r="H924" s="3">
        <f t="shared" si="373"/>
        <v>90.739077178272268</v>
      </c>
      <c r="I924" s="3">
        <f t="shared" si="374"/>
        <v>-107.49198932359268</v>
      </c>
      <c r="J924" s="2">
        <f t="shared" si="353"/>
        <v>140.67020969596874</v>
      </c>
      <c r="K924" s="2">
        <f t="shared" si="375"/>
        <v>95.889713494184548</v>
      </c>
      <c r="L924" s="5">
        <f t="shared" si="354"/>
        <v>24.876761887228025</v>
      </c>
      <c r="M924" s="3">
        <f t="shared" si="355"/>
        <v>15.362147704401945</v>
      </c>
      <c r="N924" s="2">
        <v>0</v>
      </c>
      <c r="O924" s="2">
        <f t="shared" si="356"/>
        <v>140.67020969596874</v>
      </c>
      <c r="P924" s="2">
        <f t="shared" si="357"/>
        <v>95.889713494184548</v>
      </c>
      <c r="Q924" s="5">
        <f t="shared" si="358"/>
        <v>1.1855645416939447</v>
      </c>
      <c r="R924" s="5">
        <f t="shared" si="359"/>
        <v>0.15527383608817594</v>
      </c>
      <c r="S924" s="4">
        <f t="shared" si="376"/>
        <v>0.10920683019954427</v>
      </c>
      <c r="T924" s="5">
        <f t="shared" si="360"/>
        <v>9.4604419400243903E-2</v>
      </c>
      <c r="U924" s="4">
        <f t="shared" si="361"/>
        <v>0</v>
      </c>
      <c r="V924" s="4">
        <f t="shared" si="362"/>
        <v>0</v>
      </c>
      <c r="W924" s="5">
        <f t="shared" si="363"/>
        <v>0</v>
      </c>
      <c r="X924" s="5">
        <f t="shared" si="364"/>
        <v>-11.262469139018661</v>
      </c>
      <c r="Y924" s="5">
        <f t="shared" si="365"/>
        <v>13.341828571500765</v>
      </c>
      <c r="Z924" s="5">
        <f>1</f>
        <v>1</v>
      </c>
      <c r="AA924" s="5">
        <f>IF(M924=0,0,const*($T924/omega)*O924*(wy*I924-wz*(H924-V924))/Z924)</f>
        <v>0</v>
      </c>
      <c r="AB924" s="5">
        <f>IF(M924=0,0,const*($T924/omega)*O924*(wz*(G924-U924)-wx*I924)/Z924)</f>
        <v>8.1288385573706528</v>
      </c>
      <c r="AC924" s="5">
        <f>IF(M924=0,0,const*($T924/omega)*O924*(wx*(H924-V924)-wy*(G924-U924))/Z924)</f>
        <v>6.8619374696517923</v>
      </c>
      <c r="AD924" s="5">
        <f t="shared" si="378"/>
        <v>0</v>
      </c>
      <c r="AE924" s="5">
        <f t="shared" si="378"/>
        <v>-3.1336305816480081</v>
      </c>
      <c r="AF924" s="5">
        <f t="shared" si="366"/>
        <v>-11.970233958847444</v>
      </c>
      <c r="AG924">
        <f t="shared" si="377"/>
        <v>0</v>
      </c>
    </row>
    <row r="925" spans="1:33" x14ac:dyDescent="0.2">
      <c r="A925">
        <f t="shared" si="367"/>
        <v>8.9299999999998541</v>
      </c>
      <c r="B925" s="5">
        <f t="shared" si="368"/>
        <v>0</v>
      </c>
      <c r="C925" s="5">
        <f t="shared" si="369"/>
        <v>1171.6197296177766</v>
      </c>
      <c r="D925" s="5">
        <f t="shared" si="370"/>
        <v>-313.15161615627181</v>
      </c>
      <c r="E925" s="2">
        <f t="shared" si="352"/>
        <v>390.5399098725922</v>
      </c>
      <c r="F925" s="2">
        <f t="shared" si="371"/>
        <v>0</v>
      </c>
      <c r="G925" s="3">
        <f t="shared" si="372"/>
        <v>0</v>
      </c>
      <c r="H925" s="3">
        <f t="shared" si="373"/>
        <v>90.707740872455787</v>
      </c>
      <c r="I925" s="3">
        <f t="shared" si="374"/>
        <v>-107.61169166318115</v>
      </c>
      <c r="J925" s="2">
        <f t="shared" si="353"/>
        <v>140.74150218324428</v>
      </c>
      <c r="K925" s="2">
        <f t="shared" si="375"/>
        <v>95.938310963356699</v>
      </c>
      <c r="L925" s="5">
        <f t="shared" si="354"/>
        <v>24.864160584820485</v>
      </c>
      <c r="M925" s="3">
        <f t="shared" si="355"/>
        <v>15.353180219526301</v>
      </c>
      <c r="N925" s="2">
        <v>0</v>
      </c>
      <c r="O925" s="2">
        <f t="shared" si="356"/>
        <v>140.74150218324428</v>
      </c>
      <c r="P925" s="2">
        <f t="shared" si="357"/>
        <v>95.938310963356699</v>
      </c>
      <c r="Q925" s="5">
        <f t="shared" si="358"/>
        <v>1.1861653927567655</v>
      </c>
      <c r="R925" s="5">
        <f t="shared" si="359"/>
        <v>0.15524899097517503</v>
      </c>
      <c r="S925" s="4">
        <f t="shared" si="376"/>
        <v>0.10908779557814145</v>
      </c>
      <c r="T925" s="5">
        <f t="shared" si="360"/>
        <v>9.456315866314427E-2</v>
      </c>
      <c r="U925" s="4">
        <f t="shared" si="361"/>
        <v>0</v>
      </c>
      <c r="V925" s="4">
        <f t="shared" si="362"/>
        <v>0</v>
      </c>
      <c r="W925" s="5">
        <f t="shared" si="363"/>
        <v>0</v>
      </c>
      <c r="X925" s="5">
        <f t="shared" si="364"/>
        <v>-11.262483233500424</v>
      </c>
      <c r="Y925" s="5">
        <f t="shared" si="365"/>
        <v>13.3613169221065</v>
      </c>
      <c r="Z925" s="5">
        <f>1</f>
        <v>1</v>
      </c>
      <c r="AA925" s="5">
        <f>IF(M925=0,0,const*($T925/omega)*O925*(wy*I925-wz*(H925-V925))/Z925)</f>
        <v>0</v>
      </c>
      <c r="AB925" s="5">
        <f>IF(M925=0,0,const*($T925/omega)*O925*(wz*(G925-U925)-wx*I925)/Z925)</f>
        <v>8.1384640513106365</v>
      </c>
      <c r="AC925" s="5">
        <f>IF(M925=0,0,const*($T925/omega)*O925*(wx*(H925-V925)-wy*(G925-U925))/Z925)</f>
        <v>6.8600509559563143</v>
      </c>
      <c r="AD925" s="5">
        <f t="shared" si="378"/>
        <v>0</v>
      </c>
      <c r="AE925" s="5">
        <f t="shared" si="378"/>
        <v>-3.1240191821897874</v>
      </c>
      <c r="AF925" s="5">
        <f t="shared" si="366"/>
        <v>-11.952632121937185</v>
      </c>
      <c r="AG925">
        <f t="shared" si="377"/>
        <v>0</v>
      </c>
    </row>
    <row r="926" spans="1:33" x14ac:dyDescent="0.2">
      <c r="A926">
        <f t="shared" si="367"/>
        <v>8.9399999999998538</v>
      </c>
      <c r="B926" s="5">
        <f t="shared" si="368"/>
        <v>0</v>
      </c>
      <c r="C926" s="5">
        <f t="shared" si="369"/>
        <v>1172.526650825542</v>
      </c>
      <c r="D926" s="5">
        <f t="shared" si="370"/>
        <v>-314.22833070450969</v>
      </c>
      <c r="E926" s="2">
        <f t="shared" si="352"/>
        <v>390.84221694184731</v>
      </c>
      <c r="F926" s="2">
        <f t="shared" si="371"/>
        <v>0</v>
      </c>
      <c r="G926" s="3">
        <f t="shared" si="372"/>
        <v>0</v>
      </c>
      <c r="H926" s="3">
        <f t="shared" si="373"/>
        <v>90.676500680633893</v>
      </c>
      <c r="I926" s="3">
        <f t="shared" si="374"/>
        <v>-107.73121798440052</v>
      </c>
      <c r="J926" s="2">
        <f t="shared" si="353"/>
        <v>140.81279453262556</v>
      </c>
      <c r="K926" s="2">
        <f t="shared" si="375"/>
        <v>95.986908338531393</v>
      </c>
      <c r="L926" s="5">
        <f t="shared" si="354"/>
        <v>24.85157206664379</v>
      </c>
      <c r="M926" s="3">
        <f t="shared" si="355"/>
        <v>15.344211722676755</v>
      </c>
      <c r="N926" s="2">
        <v>0</v>
      </c>
      <c r="O926" s="2">
        <f t="shared" si="356"/>
        <v>140.81279453262556</v>
      </c>
      <c r="P926" s="2">
        <f t="shared" si="357"/>
        <v>95.986908338531393</v>
      </c>
      <c r="Q926" s="5">
        <f t="shared" si="358"/>
        <v>1.1867662426574175</v>
      </c>
      <c r="R926" s="5">
        <f t="shared" si="359"/>
        <v>0.15522416954223209</v>
      </c>
      <c r="S926" s="4">
        <f t="shared" si="376"/>
        <v>0.10896887440950251</v>
      </c>
      <c r="T926" s="5">
        <f t="shared" si="360"/>
        <v>9.4521910267957143E-2</v>
      </c>
      <c r="U926" s="4">
        <f t="shared" si="361"/>
        <v>0</v>
      </c>
      <c r="V926" s="4">
        <f t="shared" si="362"/>
        <v>0</v>
      </c>
      <c r="W926" s="5">
        <f t="shared" si="363"/>
        <v>0</v>
      </c>
      <c r="X926" s="5">
        <f t="shared" si="364"/>
        <v>-11.262506450540888</v>
      </c>
      <c r="Y926" s="5">
        <f t="shared" si="365"/>
        <v>13.380793572386626</v>
      </c>
      <c r="Z926" s="5">
        <f>1</f>
        <v>1</v>
      </c>
      <c r="AA926" s="5">
        <f>IF(M926=0,0,const*($T926/omega)*O926*(wy*I926-wz*(H926-V926))/Z926)</f>
        <v>0</v>
      </c>
      <c r="AB926" s="5">
        <f>IF(M926=0,0,const*($T926/omega)*O926*(wz*(G926-U926)-wx*I926)/Z926)</f>
        <v>8.1480749621216439</v>
      </c>
      <c r="AC926" s="5">
        <f>IF(M926=0,0,const*($T926/omega)*O926*(wx*(H926-V926)-wy*(G926-U926))/Z926)</f>
        <v>6.8581692351762245</v>
      </c>
      <c r="AD926" s="5">
        <f t="shared" si="378"/>
        <v>0</v>
      </c>
      <c r="AE926" s="5">
        <f t="shared" si="378"/>
        <v>-3.1144314884192443</v>
      </c>
      <c r="AF926" s="5">
        <f t="shared" si="366"/>
        <v>-11.93503719243715</v>
      </c>
      <c r="AG926">
        <f t="shared" si="377"/>
        <v>0</v>
      </c>
    </row>
    <row r="927" spans="1:33" x14ac:dyDescent="0.2">
      <c r="A927">
        <f t="shared" si="367"/>
        <v>8.9499999999998536</v>
      </c>
      <c r="B927" s="5">
        <f t="shared" si="368"/>
        <v>0</v>
      </c>
      <c r="C927" s="5">
        <f t="shared" si="369"/>
        <v>1173.433260110774</v>
      </c>
      <c r="D927" s="5">
        <f t="shared" si="370"/>
        <v>-315.30623963621332</v>
      </c>
      <c r="E927" s="2">
        <f t="shared" si="352"/>
        <v>391.14442003692466</v>
      </c>
      <c r="F927" s="2">
        <f t="shared" si="371"/>
        <v>0</v>
      </c>
      <c r="G927" s="3">
        <f t="shared" si="372"/>
        <v>0</v>
      </c>
      <c r="H927" s="3">
        <f t="shared" si="373"/>
        <v>90.645356365749706</v>
      </c>
      <c r="I927" s="3">
        <f t="shared" si="374"/>
        <v>-107.85056835632489</v>
      </c>
      <c r="J927" s="2">
        <f t="shared" si="353"/>
        <v>140.8840861327356</v>
      </c>
      <c r="K927" s="2">
        <f t="shared" si="375"/>
        <v>96.03550520295542</v>
      </c>
      <c r="L927" s="5">
        <f t="shared" si="354"/>
        <v>24.83899642104382</v>
      </c>
      <c r="M927" s="3">
        <f t="shared" si="355"/>
        <v>15.335242245741371</v>
      </c>
      <c r="N927" s="2">
        <v>0</v>
      </c>
      <c r="O927" s="2">
        <f t="shared" si="356"/>
        <v>140.8840861327356</v>
      </c>
      <c r="P927" s="2">
        <f t="shared" si="357"/>
        <v>96.03550520295542</v>
      </c>
      <c r="Q927" s="5">
        <f t="shared" si="358"/>
        <v>1.1873670862432324</v>
      </c>
      <c r="R927" s="5">
        <f t="shared" si="359"/>
        <v>0.15519937189916044</v>
      </c>
      <c r="S927" s="4">
        <f t="shared" si="376"/>
        <v>0.10885006721975037</v>
      </c>
      <c r="T927" s="5">
        <f t="shared" si="360"/>
        <v>9.4480674427499689E-2</v>
      </c>
      <c r="U927" s="4">
        <f t="shared" si="361"/>
        <v>0</v>
      </c>
      <c r="V927" s="4">
        <f t="shared" si="362"/>
        <v>0</v>
      </c>
      <c r="W927" s="5">
        <f t="shared" si="363"/>
        <v>0</v>
      </c>
      <c r="X927" s="5">
        <f t="shared" si="364"/>
        <v>-11.262538734924892</v>
      </c>
      <c r="Y927" s="5">
        <f t="shared" si="365"/>
        <v>13.400258462172438</v>
      </c>
      <c r="Z927" s="5">
        <f>1</f>
        <v>1</v>
      </c>
      <c r="AA927" s="5">
        <f>IF(M927=0,0,const*($T927/omega)*O927*(wy*I927-wz*(H927-V927))/Z927)</f>
        <v>0</v>
      </c>
      <c r="AB927" s="5">
        <f>IF(M927=0,0,const*($T927/omega)*O927*(wz*(G927-U927)-wx*I927)/Z927)</f>
        <v>8.1576712683571788</v>
      </c>
      <c r="AC927" s="5">
        <f>IF(M927=0,0,const*($T927/omega)*O927*(wx*(H927-V927)-wy*(G927-U927))/Z927)</f>
        <v>6.8562922801835064</v>
      </c>
      <c r="AD927" s="5">
        <f t="shared" si="378"/>
        <v>0</v>
      </c>
      <c r="AE927" s="5">
        <f t="shared" si="378"/>
        <v>-3.104867466567713</v>
      </c>
      <c r="AF927" s="5">
        <f t="shared" si="366"/>
        <v>-11.917449257644055</v>
      </c>
      <c r="AG927">
        <f t="shared" si="377"/>
        <v>0</v>
      </c>
    </row>
    <row r="928" spans="1:33" x14ac:dyDescent="0.2">
      <c r="A928">
        <f t="shared" si="367"/>
        <v>8.9599999999998534</v>
      </c>
      <c r="B928" s="5">
        <f t="shared" si="368"/>
        <v>0</v>
      </c>
      <c r="C928" s="5">
        <f t="shared" si="369"/>
        <v>1174.3395584310583</v>
      </c>
      <c r="D928" s="5">
        <f t="shared" si="370"/>
        <v>-316.38534119223948</v>
      </c>
      <c r="E928" s="2">
        <f t="shared" ref="E928:E991" si="379">SQRT(B928^2+C928^2)/3</f>
        <v>391.44651947701942</v>
      </c>
      <c r="F928" s="2">
        <f t="shared" si="371"/>
        <v>0</v>
      </c>
      <c r="G928" s="3">
        <f t="shared" si="372"/>
        <v>0</v>
      </c>
      <c r="H928" s="3">
        <f t="shared" si="373"/>
        <v>90.614307691084022</v>
      </c>
      <c r="I928" s="3">
        <f t="shared" si="374"/>
        <v>-107.96974284890132</v>
      </c>
      <c r="J928" s="2">
        <f t="shared" ref="J928:J991" si="380">SQRT(G928^2+H928^2+I928^2)</f>
        <v>140.9553763756187</v>
      </c>
      <c r="K928" s="2">
        <f t="shared" si="375"/>
        <v>96.0841011422077</v>
      </c>
      <c r="L928" s="5">
        <f t="shared" ref="L928:L991" si="381">1/(0.00002*J928/(circ/(2*PI()*12)))</f>
        <v>24.82643373536726</v>
      </c>
      <c r="M928" s="3">
        <f t="shared" ref="M928:M991" si="382">romega*EXP(-A928/L928)</f>
        <v>15.326271820521528</v>
      </c>
      <c r="N928" s="2">
        <v>0</v>
      </c>
      <c r="O928" s="2">
        <f t="shared" ref="O928:O991" si="383">IF(D928&gt;=hwind,SQRT((G928-vxw)^2+(H928-vyw)^2+I928^2),J928)</f>
        <v>140.9553763756187</v>
      </c>
      <c r="P928" s="2">
        <f t="shared" ref="P928:P991" si="384">J928/1.467</f>
        <v>96.0841011422077</v>
      </c>
      <c r="Q928" s="5">
        <f t="shared" ref="Q928:Q991" si="385">(P928/100)*Re_100*0.00001</f>
        <v>1.1879679183903773</v>
      </c>
      <c r="R928" s="5">
        <f t="shared" ref="R928:R991" si="386">IF(Q928&lt;=ReLow,CdL,IF(Q928&lt;ReHigh,CdL+(CdH-CdL)*(Q928-ReLow)/(ReHigh-ReLow),CdH))+CdS*S928</f>
        <v>0.15517459815444237</v>
      </c>
      <c r="S928" s="4">
        <f t="shared" si="376"/>
        <v>0.10873137452863089</v>
      </c>
      <c r="T928" s="5">
        <f t="shared" ref="T928:T991" si="387">ClAmp*S928^0.4</f>
        <v>9.4439451352914469E-2</v>
      </c>
      <c r="U928" s="4">
        <f t="shared" ref="U928:U991" si="388">IF(D928&gt;=hwind,vxw,0)</f>
        <v>0</v>
      </c>
      <c r="V928" s="4">
        <f t="shared" ref="V928:V991" si="389">IF(D928&gt;=hwind,vyw,0)</f>
        <v>0</v>
      </c>
      <c r="W928" s="5">
        <f t="shared" ref="W928:W991" si="390">-const*$R928*$O928*(G928-U928)</f>
        <v>0</v>
      </c>
      <c r="X928" s="5">
        <f t="shared" ref="X928:X991" si="391">-const*$R928*$O928*(H928-V928)</f>
        <v>-11.262580031714213</v>
      </c>
      <c r="Y928" s="5">
        <f t="shared" ref="Y928:Y991" si="392">-const*$R928*$O928*I928</f>
        <v>13.419711531482619</v>
      </c>
      <c r="Z928" s="5">
        <f>1</f>
        <v>1</v>
      </c>
      <c r="AA928" s="5">
        <f>IF(M928=0,0,const*($T928/omega)*O928*(wy*I928-wz*(H928-V928))/Z928)</f>
        <v>0</v>
      </c>
      <c r="AB928" s="5">
        <f>IF(M928=0,0,const*($T928/omega)*O928*(wz*(G928-U928)-wx*I928)/Z928)</f>
        <v>8.1672529487476311</v>
      </c>
      <c r="AC928" s="5">
        <f>IF(M928=0,0,const*($T928/omega)*O928*(wx*(H928-V928)-wy*(G928-U928))/Z928)</f>
        <v>6.8544200640027917</v>
      </c>
      <c r="AD928" s="5">
        <f t="shared" si="378"/>
        <v>0</v>
      </c>
      <c r="AE928" s="5">
        <f t="shared" si="378"/>
        <v>-3.0953270829665822</v>
      </c>
      <c r="AF928" s="5">
        <f t="shared" ref="AF928:AF991" si="393">Y928+AC928-32.174</f>
        <v>-11.899868404514589</v>
      </c>
      <c r="AG928">
        <f t="shared" si="377"/>
        <v>0</v>
      </c>
    </row>
    <row r="929" spans="1:33" x14ac:dyDescent="0.2">
      <c r="A929">
        <f t="shared" ref="A929:A992" si="394">A928+dt</f>
        <v>8.9699999999998532</v>
      </c>
      <c r="B929" s="5">
        <f t="shared" ref="B929:B992" si="395">B928+G928*dt+0.5*AD928*dt*dt</f>
        <v>0</v>
      </c>
      <c r="C929" s="5">
        <f t="shared" ref="C929:C992" si="396">C928+H928*dt+0.5*AE928*dt*dt</f>
        <v>1175.245546741615</v>
      </c>
      <c r="D929" s="5">
        <f t="shared" ref="D929:D992" si="397">D928+I928*dt+0.5*AF928*dt*dt</f>
        <v>-317.46563361414871</v>
      </c>
      <c r="E929" s="2">
        <f t="shared" si="379"/>
        <v>391.74851558053837</v>
      </c>
      <c r="F929" s="2">
        <f t="shared" ref="F929:F992" si="398">ATAN2(C929,B929)*180/PI()</f>
        <v>0</v>
      </c>
      <c r="G929" s="3">
        <f t="shared" ref="G929:G992" si="399">G928+AD928*dt</f>
        <v>0</v>
      </c>
      <c r="H929" s="3">
        <f t="shared" ref="H929:H992" si="400">H928+AE928*dt</f>
        <v>90.583354420254352</v>
      </c>
      <c r="I929" s="3">
        <f t="shared" ref="I929:I992" si="401">I928+AF928*dt</f>
        <v>-108.08874153294647</v>
      </c>
      <c r="J929" s="2">
        <f t="shared" si="380"/>
        <v>141.02666465672911</v>
      </c>
      <c r="K929" s="2">
        <f t="shared" ref="K929:K992" si="402">J929/1.467</f>
        <v>96.132695744191622</v>
      </c>
      <c r="L929" s="5">
        <f t="shared" si="381"/>
        <v>24.813884095968181</v>
      </c>
      <c r="M929" s="3">
        <f t="shared" si="382"/>
        <v>15.317300478731665</v>
      </c>
      <c r="N929" s="2">
        <v>0</v>
      </c>
      <c r="O929" s="2">
        <f t="shared" si="383"/>
        <v>141.02666465672911</v>
      </c>
      <c r="P929" s="2">
        <f t="shared" si="384"/>
        <v>96.132695744191622</v>
      </c>
      <c r="Q929" s="5">
        <f t="shared" si="385"/>
        <v>1.1885687340037576</v>
      </c>
      <c r="R929" s="5">
        <f t="shared" si="386"/>
        <v>0.15514984841523788</v>
      </c>
      <c r="S929" s="4">
        <f t="shared" ref="S929:S992" si="403">(M929/O929)</f>
        <v>0.1086127968495552</v>
      </c>
      <c r="T929" s="5">
        <f t="shared" si="387"/>
        <v>9.4398241253677836E-2</v>
      </c>
      <c r="U929" s="4">
        <f t="shared" si="388"/>
        <v>0</v>
      </c>
      <c r="V929" s="4">
        <f t="shared" si="389"/>
        <v>0</v>
      </c>
      <c r="W929" s="5">
        <f t="shared" si="390"/>
        <v>0</v>
      </c>
      <c r="X929" s="5">
        <f t="shared" si="391"/>
        <v>-11.262630286245955</v>
      </c>
      <c r="Y929" s="5">
        <f t="shared" si="392"/>
        <v>13.439152720524254</v>
      </c>
      <c r="Z929" s="5">
        <f>1</f>
        <v>1</v>
      </c>
      <c r="AA929" s="5">
        <f>IF(M929=0,0,const*($T929/omega)*O929*(wy*I929-wz*(H929-V929))/Z929)</f>
        <v>0</v>
      </c>
      <c r="AB929" s="5">
        <f>IF(M929=0,0,const*($T929/omega)*O929*(wz*(G929-U929)-wx*I929)/Z929)</f>
        <v>8.17681998220033</v>
      </c>
      <c r="AC929" s="5">
        <f>IF(M929=0,0,const*($T929/omega)*O929*(wx*(H929-V929)-wy*(G929-U929))/Z929)</f>
        <v>6.8525525598103387</v>
      </c>
      <c r="AD929" s="5">
        <f t="shared" si="378"/>
        <v>0</v>
      </c>
      <c r="AE929" s="5">
        <f t="shared" si="378"/>
        <v>-3.0858103040456246</v>
      </c>
      <c r="AF929" s="5">
        <f t="shared" si="393"/>
        <v>-11.882294719665406</v>
      </c>
      <c r="AG929">
        <f t="shared" si="377"/>
        <v>0</v>
      </c>
    </row>
    <row r="930" spans="1:33" x14ac:dyDescent="0.2">
      <c r="A930">
        <f t="shared" si="394"/>
        <v>8.979999999999853</v>
      </c>
      <c r="B930" s="5">
        <f t="shared" si="395"/>
        <v>0</v>
      </c>
      <c r="C930" s="5">
        <f t="shared" si="396"/>
        <v>1176.1512259953024</v>
      </c>
      <c r="D930" s="5">
        <f t="shared" si="397"/>
        <v>-318.54711514421416</v>
      </c>
      <c r="E930" s="2">
        <f t="shared" si="379"/>
        <v>392.0504086651008</v>
      </c>
      <c r="F930" s="2">
        <f t="shared" si="398"/>
        <v>0</v>
      </c>
      <c r="G930" s="3">
        <f t="shared" si="399"/>
        <v>0</v>
      </c>
      <c r="H930" s="3">
        <f t="shared" si="400"/>
        <v>90.552496317213894</v>
      </c>
      <c r="I930" s="3">
        <f t="shared" si="401"/>
        <v>-108.20756448014312</v>
      </c>
      <c r="J930" s="2">
        <f t="shared" si="380"/>
        <v>141.09795037491992</v>
      </c>
      <c r="K930" s="2">
        <f t="shared" si="402"/>
        <v>96.181288599127413</v>
      </c>
      <c r="L930" s="5">
        <f t="shared" si="381"/>
        <v>24.801347588214636</v>
      </c>
      <c r="M930" s="3">
        <f t="shared" si="382"/>
        <v>15.30832825199904</v>
      </c>
      <c r="N930" s="2">
        <v>0</v>
      </c>
      <c r="O930" s="2">
        <f t="shared" si="383"/>
        <v>141.09795037491992</v>
      </c>
      <c r="P930" s="2">
        <f t="shared" si="384"/>
        <v>96.181288599127413</v>
      </c>
      <c r="Q930" s="5">
        <f t="shared" si="385"/>
        <v>1.1891695280169241</v>
      </c>
      <c r="R930" s="5">
        <f t="shared" si="386"/>
        <v>0.15512512278739371</v>
      </c>
      <c r="S930" s="4">
        <f t="shared" si="403"/>
        <v>0.10849433468964186</v>
      </c>
      <c r="T930" s="5">
        <f t="shared" si="387"/>
        <v>9.4357044337608456E-2</v>
      </c>
      <c r="U930" s="4">
        <f t="shared" si="388"/>
        <v>0</v>
      </c>
      <c r="V930" s="4">
        <f t="shared" si="389"/>
        <v>0</v>
      </c>
      <c r="W930" s="5">
        <f t="shared" si="390"/>
        <v>0</v>
      </c>
      <c r="X930" s="5">
        <f t="shared" si="391"/>
        <v>-11.262689444130928</v>
      </c>
      <c r="Y930" s="5">
        <f t="shared" si="392"/>
        <v>13.45858196969386</v>
      </c>
      <c r="Z930" s="5">
        <f>1</f>
        <v>1</v>
      </c>
      <c r="AA930" s="5">
        <f>IF(M930=0,0,const*($T930/omega)*O930*(wy*I930-wz*(H930-V930))/Z930)</f>
        <v>0</v>
      </c>
      <c r="AB930" s="5">
        <f>IF(M930=0,0,const*($T930/omega)*O930*(wz*(G930-U930)-wx*I930)/Z930)</f>
        <v>8.1863723477996242</v>
      </c>
      <c r="AC930" s="5">
        <f>IF(M930=0,0,const*($T930/omega)*O930*(wx*(H930-V930)-wy*(G930-U930))/Z930)</f>
        <v>6.8506897409330421</v>
      </c>
      <c r="AD930" s="5">
        <f t="shared" si="378"/>
        <v>0</v>
      </c>
      <c r="AE930" s="5">
        <f t="shared" si="378"/>
        <v>-3.0763170963313033</v>
      </c>
      <c r="AF930" s="5">
        <f t="shared" si="393"/>
        <v>-11.864728289373097</v>
      </c>
      <c r="AG930">
        <f t="shared" ref="AG930:AG993" si="404">IF($D930*$D931&lt;0,1,0)</f>
        <v>0</v>
      </c>
    </row>
    <row r="931" spans="1:33" x14ac:dyDescent="0.2">
      <c r="A931">
        <f t="shared" si="394"/>
        <v>8.9899999999998528</v>
      </c>
      <c r="B931" s="5">
        <f t="shared" si="395"/>
        <v>0</v>
      </c>
      <c r="C931" s="5">
        <f t="shared" si="396"/>
        <v>1177.0565971426197</v>
      </c>
      <c r="D931" s="5">
        <f t="shared" si="397"/>
        <v>-319.62978402543007</v>
      </c>
      <c r="E931" s="2">
        <f t="shared" si="379"/>
        <v>392.3521990475399</v>
      </c>
      <c r="F931" s="2">
        <f t="shared" si="398"/>
        <v>0</v>
      </c>
      <c r="G931" s="3">
        <f t="shared" si="399"/>
        <v>0</v>
      </c>
      <c r="H931" s="3">
        <f t="shared" si="400"/>
        <v>90.521733146250583</v>
      </c>
      <c r="I931" s="3">
        <f t="shared" si="401"/>
        <v>-108.32621176303685</v>
      </c>
      <c r="J931" s="2">
        <f t="shared" si="380"/>
        <v>141.16923293243224</v>
      </c>
      <c r="K931" s="2">
        <f t="shared" si="402"/>
        <v>96.229879299544805</v>
      </c>
      <c r="L931" s="5">
        <f t="shared" si="381"/>
        <v>24.788824296495072</v>
      </c>
      <c r="M931" s="3">
        <f t="shared" si="382"/>
        <v>15.299355171863452</v>
      </c>
      <c r="N931" s="2">
        <v>0</v>
      </c>
      <c r="O931" s="2">
        <f t="shared" si="383"/>
        <v>141.16923293243224</v>
      </c>
      <c r="P931" s="2">
        <f t="shared" si="384"/>
        <v>96.229879299544805</v>
      </c>
      <c r="Q931" s="5">
        <f t="shared" si="385"/>
        <v>1.1897702953919818</v>
      </c>
      <c r="R931" s="5">
        <f t="shared" si="386"/>
        <v>0.15510042137545171</v>
      </c>
      <c r="S931" s="4">
        <f t="shared" si="403"/>
        <v>0.1083759885497584</v>
      </c>
      <c r="T931" s="5">
        <f t="shared" si="387"/>
        <v>9.4315860810875632E-2</v>
      </c>
      <c r="U931" s="4">
        <f t="shared" si="388"/>
        <v>0</v>
      </c>
      <c r="V931" s="4">
        <f t="shared" si="389"/>
        <v>0</v>
      </c>
      <c r="W931" s="5">
        <f t="shared" si="390"/>
        <v>0</v>
      </c>
      <c r="X931" s="5">
        <f t="shared" si="391"/>
        <v>-11.262757451252055</v>
      </c>
      <c r="Y931" s="5">
        <f t="shared" si="392"/>
        <v>13.477999219578418</v>
      </c>
      <c r="Z931" s="5">
        <f>1</f>
        <v>1</v>
      </c>
      <c r="AA931" s="5">
        <f>IF(M931=0,0,const*($T931/omega)*O931*(wy*I931-wz*(H931-V931))/Z931)</f>
        <v>0</v>
      </c>
      <c r="AB931" s="5">
        <f>IF(M931=0,0,const*($T931/omega)*O931*(wz*(G931-U931)-wx*I931)/Z931)</f>
        <v>8.1959100248069596</v>
      </c>
      <c r="AC931" s="5">
        <f>IF(M931=0,0,const*($T931/omega)*O931*(wx*(H931-V931)-wy*(G931-U931))/Z931)</f>
        <v>6.8488315808474534</v>
      </c>
      <c r="AD931" s="5">
        <f t="shared" si="378"/>
        <v>0</v>
      </c>
      <c r="AE931" s="5">
        <f t="shared" si="378"/>
        <v>-3.0668474264450953</v>
      </c>
      <c r="AF931" s="5">
        <f t="shared" si="393"/>
        <v>-11.847169199574129</v>
      </c>
      <c r="AG931">
        <f t="shared" si="404"/>
        <v>0</v>
      </c>
    </row>
    <row r="932" spans="1:33" x14ac:dyDescent="0.2">
      <c r="A932">
        <f t="shared" si="394"/>
        <v>8.9999999999998526</v>
      </c>
      <c r="B932" s="5">
        <f t="shared" si="395"/>
        <v>0</v>
      </c>
      <c r="C932" s="5">
        <f t="shared" si="396"/>
        <v>1177.961661131711</v>
      </c>
      <c r="D932" s="5">
        <f t="shared" si="397"/>
        <v>-320.71363850152039</v>
      </c>
      <c r="E932" s="2">
        <f t="shared" si="379"/>
        <v>392.65388704390369</v>
      </c>
      <c r="F932" s="2">
        <f t="shared" si="398"/>
        <v>0</v>
      </c>
      <c r="G932" s="3">
        <f t="shared" si="399"/>
        <v>0</v>
      </c>
      <c r="H932" s="3">
        <f t="shared" si="400"/>
        <v>90.491064671986138</v>
      </c>
      <c r="I932" s="3">
        <f t="shared" si="401"/>
        <v>-108.44468345503259</v>
      </c>
      <c r="J932" s="2">
        <f t="shared" si="380"/>
        <v>141.24051173488363</v>
      </c>
      <c r="K932" s="2">
        <f t="shared" si="402"/>
        <v>96.278467440275136</v>
      </c>
      <c r="L932" s="5">
        <f t="shared" si="381"/>
        <v>24.776314304224947</v>
      </c>
      <c r="M932" s="3">
        <f t="shared" si="382"/>
        <v>15.290381269777024</v>
      </c>
      <c r="N932" s="2">
        <v>0</v>
      </c>
      <c r="O932" s="2">
        <f t="shared" si="383"/>
        <v>141.24051173488363</v>
      </c>
      <c r="P932" s="2">
        <f t="shared" si="384"/>
        <v>96.278467440275136</v>
      </c>
      <c r="Q932" s="5">
        <f t="shared" si="385"/>
        <v>1.1903710311194924</v>
      </c>
      <c r="R932" s="5">
        <f t="shared" si="386"/>
        <v>0.155075744282658</v>
      </c>
      <c r="S932" s="4">
        <f t="shared" si="403"/>
        <v>0.10825775892456357</v>
      </c>
      <c r="T932" s="5">
        <f t="shared" si="387"/>
        <v>9.4274690878007911E-2</v>
      </c>
      <c r="U932" s="4">
        <f t="shared" si="388"/>
        <v>0</v>
      </c>
      <c r="V932" s="4">
        <f t="shared" si="389"/>
        <v>0</v>
      </c>
      <c r="W932" s="5">
        <f t="shared" si="390"/>
        <v>0</v>
      </c>
      <c r="X932" s="5">
        <f t="shared" si="391"/>
        <v>-11.262834253762772</v>
      </c>
      <c r="Y932" s="5">
        <f t="shared" si="392"/>
        <v>13.497404410956351</v>
      </c>
      <c r="Z932" s="5">
        <f>1</f>
        <v>1</v>
      </c>
      <c r="AA932" s="5">
        <f>IF(M932=0,0,const*($T932/omega)*O932*(wy*I932-wz*(H932-V932))/Z932)</f>
        <v>0</v>
      </c>
      <c r="AB932" s="5">
        <f>IF(M932=0,0,const*($T932/omega)*O932*(wz*(G932-U932)-wx*I932)/Z932)</f>
        <v>8.2054329926609242</v>
      </c>
      <c r="AC932" s="5">
        <f>IF(M932=0,0,const*($T932/omega)*O932*(wx*(H932-V932)-wy*(G932-U932))/Z932)</f>
        <v>6.8469780531787823</v>
      </c>
      <c r="AD932" s="5">
        <f t="shared" si="378"/>
        <v>0</v>
      </c>
      <c r="AE932" s="5">
        <f t="shared" si="378"/>
        <v>-3.0574012611018482</v>
      </c>
      <c r="AF932" s="5">
        <f t="shared" si="393"/>
        <v>-11.829617535864866</v>
      </c>
      <c r="AG932">
        <f t="shared" si="404"/>
        <v>0</v>
      </c>
    </row>
    <row r="933" spans="1:33" x14ac:dyDescent="0.2">
      <c r="A933">
        <f t="shared" si="394"/>
        <v>9.0099999999998523</v>
      </c>
      <c r="B933" s="5">
        <f t="shared" si="395"/>
        <v>0</v>
      </c>
      <c r="C933" s="5">
        <f t="shared" si="396"/>
        <v>1178.8664189083679</v>
      </c>
      <c r="D933" s="5">
        <f t="shared" si="397"/>
        <v>-321.79867681694748</v>
      </c>
      <c r="E933" s="2">
        <f t="shared" si="379"/>
        <v>392.95547296945597</v>
      </c>
      <c r="F933" s="2">
        <f t="shared" si="398"/>
        <v>0</v>
      </c>
      <c r="G933" s="3">
        <f t="shared" si="399"/>
        <v>0</v>
      </c>
      <c r="H933" s="3">
        <f t="shared" si="400"/>
        <v>90.460490659375125</v>
      </c>
      <c r="I933" s="3">
        <f t="shared" si="401"/>
        <v>-108.56297963039124</v>
      </c>
      <c r="J933" s="2">
        <f t="shared" si="380"/>
        <v>141.31178619125737</v>
      </c>
      <c r="K933" s="2">
        <f t="shared" si="402"/>
        <v>96.327052618444014</v>
      </c>
      <c r="L933" s="5">
        <f t="shared" si="381"/>
        <v>24.763817693853124</v>
      </c>
      <c r="M933" s="3">
        <f t="shared" si="382"/>
        <v>15.281406577103942</v>
      </c>
      <c r="N933" s="2">
        <v>0</v>
      </c>
      <c r="O933" s="2">
        <f t="shared" si="383"/>
        <v>141.31178619125737</v>
      </c>
      <c r="P933" s="2">
        <f t="shared" si="384"/>
        <v>96.327052618444014</v>
      </c>
      <c r="Q933" s="5">
        <f t="shared" si="385"/>
        <v>1.1909717302183838</v>
      </c>
      <c r="R933" s="5">
        <f t="shared" si="386"/>
        <v>0.15505109161097128</v>
      </c>
      <c r="S933" s="4">
        <f t="shared" si="403"/>
        <v>0.10813964630254859</v>
      </c>
      <c r="T933" s="5">
        <f t="shared" si="387"/>
        <v>9.423353474190127E-2</v>
      </c>
      <c r="U933" s="4">
        <f t="shared" si="388"/>
        <v>0</v>
      </c>
      <c r="V933" s="4">
        <f t="shared" si="389"/>
        <v>0</v>
      </c>
      <c r="W933" s="5">
        <f t="shared" si="390"/>
        <v>0</v>
      </c>
      <c r="X933" s="5">
        <f t="shared" si="391"/>
        <v>-11.262919798085461</v>
      </c>
      <c r="Y933" s="5">
        <f t="shared" si="392"/>
        <v>13.516797484798523</v>
      </c>
      <c r="Z933" s="5">
        <f>1</f>
        <v>1</v>
      </c>
      <c r="AA933" s="5">
        <f>IF(M933=0,0,const*($T933/omega)*O933*(wy*I933-wz*(H933-V933))/Z933)</f>
        <v>0</v>
      </c>
      <c r="AB933" s="5">
        <f>IF(M933=0,0,const*($T933/omega)*O933*(wz*(G933-U933)-wx*I933)/Z933)</f>
        <v>8.2149412309772938</v>
      </c>
      <c r="AC933" s="5">
        <f>IF(M933=0,0,const*($T933/omega)*O933*(wx*(H933-V933)-wy*(G933-U933))/Z933)</f>
        <v>6.8451291316999283</v>
      </c>
      <c r="AD933" s="5">
        <f t="shared" si="378"/>
        <v>0</v>
      </c>
      <c r="AE933" s="5">
        <f t="shared" si="378"/>
        <v>-3.0479785671081672</v>
      </c>
      <c r="AF933" s="5">
        <f t="shared" si="393"/>
        <v>-11.812073383501549</v>
      </c>
      <c r="AG933">
        <f t="shared" si="404"/>
        <v>0</v>
      </c>
    </row>
    <row r="934" spans="1:33" x14ac:dyDescent="0.2">
      <c r="A934">
        <f t="shared" si="394"/>
        <v>9.0199999999998521</v>
      </c>
      <c r="B934" s="5">
        <f t="shared" si="395"/>
        <v>0</v>
      </c>
      <c r="C934" s="5">
        <f t="shared" si="396"/>
        <v>1179.7708714160333</v>
      </c>
      <c r="D934" s="5">
        <f t="shared" si="397"/>
        <v>-322.88489721692059</v>
      </c>
      <c r="E934" s="2">
        <f t="shared" si="379"/>
        <v>393.25695713867776</v>
      </c>
      <c r="F934" s="2">
        <f t="shared" si="398"/>
        <v>0</v>
      </c>
      <c r="G934" s="3">
        <f t="shared" si="399"/>
        <v>0</v>
      </c>
      <c r="H934" s="3">
        <f t="shared" si="400"/>
        <v>90.430010873704049</v>
      </c>
      <c r="I934" s="3">
        <f t="shared" si="401"/>
        <v>-108.68110036422625</v>
      </c>
      <c r="J934" s="2">
        <f t="shared" si="380"/>
        <v>141.38305571389117</v>
      </c>
      <c r="K934" s="2">
        <f t="shared" si="402"/>
        <v>96.375634433463645</v>
      </c>
      <c r="L934" s="5">
        <f t="shared" si="381"/>
        <v>24.75133454686836</v>
      </c>
      <c r="M934" s="3">
        <f t="shared" si="382"/>
        <v>15.272431125120242</v>
      </c>
      <c r="N934" s="2">
        <v>0</v>
      </c>
      <c r="O934" s="2">
        <f t="shared" si="383"/>
        <v>141.38305571389117</v>
      </c>
      <c r="P934" s="2">
        <f t="shared" si="384"/>
        <v>96.375634433463645</v>
      </c>
      <c r="Q934" s="5">
        <f t="shared" si="385"/>
        <v>1.1915723877358546</v>
      </c>
      <c r="R934" s="5">
        <f t="shared" si="386"/>
        <v>0.15502646346107168</v>
      </c>
      <c r="S934" s="4">
        <f t="shared" si="403"/>
        <v>0.10802165116607884</v>
      </c>
      <c r="T934" s="5">
        <f t="shared" si="387"/>
        <v>9.4192392603827682E-2</v>
      </c>
      <c r="U934" s="4">
        <f t="shared" si="388"/>
        <v>0</v>
      </c>
      <c r="V934" s="4">
        <f t="shared" si="389"/>
        <v>0</v>
      </c>
      <c r="W934" s="5">
        <f t="shared" si="390"/>
        <v>0</v>
      </c>
      <c r="X934" s="5">
        <f t="shared" si="391"/>
        <v>-11.263014030909856</v>
      </c>
      <c r="Y934" s="5">
        <f t="shared" si="392"/>
        <v>13.536178382269211</v>
      </c>
      <c r="Z934" s="5">
        <f>1</f>
        <v>1</v>
      </c>
      <c r="AA934" s="5">
        <f>IF(M934=0,0,const*($T934/omega)*O934*(wy*I934-wz*(H934-V934))/Z934)</f>
        <v>0</v>
      </c>
      <c r="AB934" s="5">
        <f>IF(M934=0,0,const*($T934/omega)*O934*(wz*(G934-U934)-wx*I934)/Z934)</f>
        <v>8.2244347195490928</v>
      </c>
      <c r="AC934" s="5">
        <f>IF(M934=0,0,const*($T934/omega)*O934*(wx*(H934-V934)-wy*(G934-U934))/Z934)</f>
        <v>6.8432847903305127</v>
      </c>
      <c r="AD934" s="5">
        <f t="shared" si="378"/>
        <v>0</v>
      </c>
      <c r="AE934" s="5">
        <f t="shared" si="378"/>
        <v>-3.0385793113607633</v>
      </c>
      <c r="AF934" s="5">
        <f t="shared" si="393"/>
        <v>-11.794536827400275</v>
      </c>
      <c r="AG934">
        <f t="shared" si="404"/>
        <v>0</v>
      </c>
    </row>
    <row r="935" spans="1:33" x14ac:dyDescent="0.2">
      <c r="A935">
        <f t="shared" si="394"/>
        <v>9.0299999999998519</v>
      </c>
      <c r="B935" s="5">
        <f t="shared" si="395"/>
        <v>0</v>
      </c>
      <c r="C935" s="5">
        <f t="shared" si="396"/>
        <v>1180.6750195958048</v>
      </c>
      <c r="D935" s="5">
        <f t="shared" si="397"/>
        <v>-323.97229794740423</v>
      </c>
      <c r="E935" s="2">
        <f t="shared" si="379"/>
        <v>393.55833986526824</v>
      </c>
      <c r="F935" s="2">
        <f t="shared" si="398"/>
        <v>0</v>
      </c>
      <c r="G935" s="3">
        <f t="shared" si="399"/>
        <v>0</v>
      </c>
      <c r="H935" s="3">
        <f t="shared" si="400"/>
        <v>90.39962508059044</v>
      </c>
      <c r="I935" s="3">
        <f t="shared" si="401"/>
        <v>-108.79904573250026</v>
      </c>
      <c r="J935" s="2">
        <f t="shared" si="380"/>
        <v>141.454319718466</v>
      </c>
      <c r="K935" s="2">
        <f t="shared" si="402"/>
        <v>96.424212487025216</v>
      </c>
      <c r="L935" s="5">
        <f t="shared" si="381"/>
        <v>24.738864943805751</v>
      </c>
      <c r="M935" s="3">
        <f t="shared" si="382"/>
        <v>15.263454945013557</v>
      </c>
      <c r="N935" s="2">
        <v>0</v>
      </c>
      <c r="O935" s="2">
        <f t="shared" si="383"/>
        <v>141.454319718466</v>
      </c>
      <c r="P935" s="2">
        <f t="shared" si="384"/>
        <v>96.424212487025216</v>
      </c>
      <c r="Q935" s="5">
        <f t="shared" si="385"/>
        <v>1.1921729987472807</v>
      </c>
      <c r="R935" s="5">
        <f t="shared" si="386"/>
        <v>0.15500185993236937</v>
      </c>
      <c r="S935" s="4">
        <f t="shared" si="403"/>
        <v>0.1079037739914351</v>
      </c>
      <c r="T935" s="5">
        <f t="shared" si="387"/>
        <v>9.4151264663443313E-2</v>
      </c>
      <c r="U935" s="4">
        <f t="shared" si="388"/>
        <v>0</v>
      </c>
      <c r="V935" s="4">
        <f t="shared" si="389"/>
        <v>0</v>
      </c>
      <c r="W935" s="5">
        <f t="shared" si="390"/>
        <v>0</v>
      </c>
      <c r="X935" s="5">
        <f t="shared" si="391"/>
        <v>-11.263116899191488</v>
      </c>
      <c r="Y935" s="5">
        <f t="shared" si="392"/>
        <v>13.555547044727051</v>
      </c>
      <c r="Z935" s="5">
        <f>1</f>
        <v>1</v>
      </c>
      <c r="AA935" s="5">
        <f>IF(M935=0,0,const*($T935/omega)*O935*(wy*I935-wz*(H935-V935))/Z935)</f>
        <v>0</v>
      </c>
      <c r="AB935" s="5">
        <f>IF(M935=0,0,const*($T935/omega)*O935*(wz*(G935-U935)-wx*I935)/Z935)</f>
        <v>8.2339134383465993</v>
      </c>
      <c r="AC935" s="5">
        <f>IF(M935=0,0,const*($T935/omega)*O935*(wx*(H935-V935)-wy*(G935-U935))/Z935)</f>
        <v>6.8414450031358971</v>
      </c>
      <c r="AD935" s="5">
        <f t="shared" si="378"/>
        <v>0</v>
      </c>
      <c r="AE935" s="5">
        <f t="shared" si="378"/>
        <v>-3.0292034608448883</v>
      </c>
      <c r="AF935" s="5">
        <f t="shared" si="393"/>
        <v>-11.777007952137051</v>
      </c>
      <c r="AG935">
        <f t="shared" si="404"/>
        <v>0</v>
      </c>
    </row>
    <row r="936" spans="1:33" x14ac:dyDescent="0.2">
      <c r="A936">
        <f t="shared" si="394"/>
        <v>9.0399999999998517</v>
      </c>
      <c r="B936" s="5">
        <f t="shared" si="395"/>
        <v>0</v>
      </c>
      <c r="C936" s="5">
        <f t="shared" si="396"/>
        <v>1181.5788643864375</v>
      </c>
      <c r="D936" s="5">
        <f t="shared" si="397"/>
        <v>-325.06087725512685</v>
      </c>
      <c r="E936" s="2">
        <f t="shared" si="379"/>
        <v>393.85962146214587</v>
      </c>
      <c r="F936" s="2">
        <f t="shared" si="398"/>
        <v>0</v>
      </c>
      <c r="G936" s="3">
        <f t="shared" si="399"/>
        <v>0</v>
      </c>
      <c r="H936" s="3">
        <f t="shared" si="400"/>
        <v>90.369333045981989</v>
      </c>
      <c r="I936" s="3">
        <f t="shared" si="401"/>
        <v>-108.91681581202162</v>
      </c>
      <c r="J936" s="2">
        <f t="shared" si="380"/>
        <v>141.52557762399508</v>
      </c>
      <c r="K936" s="2">
        <f t="shared" si="402"/>
        <v>96.472786383091389</v>
      </c>
      <c r="L936" s="5">
        <f t="shared" si="381"/>
        <v>24.726408964253093</v>
      </c>
      <c r="M936" s="3">
        <f t="shared" si="382"/>
        <v>15.2544780678829</v>
      </c>
      <c r="N936" s="2">
        <v>0</v>
      </c>
      <c r="O936" s="2">
        <f t="shared" si="383"/>
        <v>141.52557762399508</v>
      </c>
      <c r="P936" s="2">
        <f t="shared" si="384"/>
        <v>96.472786383091389</v>
      </c>
      <c r="Q936" s="5">
        <f t="shared" si="385"/>
        <v>1.1927735583561221</v>
      </c>
      <c r="R936" s="5">
        <f t="shared" si="386"/>
        <v>0.15497728112301307</v>
      </c>
      <c r="S936" s="4">
        <f t="shared" si="403"/>
        <v>0.10778601524885469</v>
      </c>
      <c r="T936" s="5">
        <f t="shared" si="387"/>
        <v>9.4110151118796975E-2</v>
      </c>
      <c r="U936" s="4">
        <f t="shared" si="388"/>
        <v>0</v>
      </c>
      <c r="V936" s="4">
        <f t="shared" si="389"/>
        <v>0</v>
      </c>
      <c r="W936" s="5">
        <f t="shared" si="390"/>
        <v>0</v>
      </c>
      <c r="X936" s="5">
        <f t="shared" si="391"/>
        <v>-11.263228350150131</v>
      </c>
      <c r="Y936" s="5">
        <f t="shared" si="392"/>
        <v>13.574903413725991</v>
      </c>
      <c r="Z936" s="5">
        <f>1</f>
        <v>1</v>
      </c>
      <c r="AA936" s="5">
        <f>IF(M936=0,0,const*($T936/omega)*O936*(wy*I936-wz*(H936-V936))/Z936)</f>
        <v>0</v>
      </c>
      <c r="AB936" s="5">
        <f>IF(M936=0,0,const*($T936/omega)*O936*(wz*(G936-U936)-wx*I936)/Z936)</f>
        <v>8.2433773675173896</v>
      </c>
      <c r="AC936" s="5">
        <f>IF(M936=0,0,const*($T936/omega)*O936*(wx*(H936-V936)-wy*(G936-U936))/Z936)</f>
        <v>6.8396097443262391</v>
      </c>
      <c r="AD936" s="5">
        <f t="shared" si="378"/>
        <v>0</v>
      </c>
      <c r="AE936" s="5">
        <f t="shared" si="378"/>
        <v>-3.0198509826327413</v>
      </c>
      <c r="AF936" s="5">
        <f t="shared" si="393"/>
        <v>-11.759486841947769</v>
      </c>
      <c r="AG936">
        <f t="shared" si="404"/>
        <v>0</v>
      </c>
    </row>
    <row r="937" spans="1:33" x14ac:dyDescent="0.2">
      <c r="A937">
        <f t="shared" si="394"/>
        <v>9.0499999999998515</v>
      </c>
      <c r="B937" s="5">
        <f t="shared" si="395"/>
        <v>0</v>
      </c>
      <c r="C937" s="5">
        <f t="shared" si="396"/>
        <v>1182.4824067243483</v>
      </c>
      <c r="D937" s="5">
        <f t="shared" si="397"/>
        <v>-326.15063338758921</v>
      </c>
      <c r="E937" s="2">
        <f t="shared" si="379"/>
        <v>394.1608022414494</v>
      </c>
      <c r="F937" s="2">
        <f t="shared" si="398"/>
        <v>0</v>
      </c>
      <c r="G937" s="3">
        <f t="shared" si="399"/>
        <v>0</v>
      </c>
      <c r="H937" s="3">
        <f t="shared" si="400"/>
        <v>90.339134536155655</v>
      </c>
      <c r="I937" s="3">
        <f t="shared" si="401"/>
        <v>-109.0344106804411</v>
      </c>
      <c r="J937" s="2">
        <f t="shared" si="380"/>
        <v>141.59682885281265</v>
      </c>
      <c r="K937" s="2">
        <f t="shared" si="402"/>
        <v>96.521355727888647</v>
      </c>
      <c r="L937" s="5">
        <f t="shared" si="381"/>
        <v>24.713966686857315</v>
      </c>
      <c r="M937" s="3">
        <f t="shared" si="382"/>
        <v>15.245500524738453</v>
      </c>
      <c r="N937" s="2">
        <v>0</v>
      </c>
      <c r="O937" s="2">
        <f t="shared" si="383"/>
        <v>141.59682885281265</v>
      </c>
      <c r="P937" s="2">
        <f t="shared" si="384"/>
        <v>96.521355727888647</v>
      </c>
      <c r="Q937" s="5">
        <f t="shared" si="385"/>
        <v>1.1933740616938282</v>
      </c>
      <c r="R937" s="5">
        <f t="shared" si="386"/>
        <v>0.15495272712989877</v>
      </c>
      <c r="S937" s="4">
        <f t="shared" si="403"/>
        <v>0.10766837540257258</v>
      </c>
      <c r="T937" s="5">
        <f t="shared" si="387"/>
        <v>9.406905216633854E-2</v>
      </c>
      <c r="U937" s="4">
        <f t="shared" si="388"/>
        <v>0</v>
      </c>
      <c r="V937" s="4">
        <f t="shared" si="389"/>
        <v>0</v>
      </c>
      <c r="W937" s="5">
        <f t="shared" si="390"/>
        <v>0</v>
      </c>
      <c r="X937" s="5">
        <f t="shared" si="391"/>
        <v>-11.263348331268254</v>
      </c>
      <c r="Y937" s="5">
        <f t="shared" si="392"/>
        <v>13.594247431016232</v>
      </c>
      <c r="Z937" s="5">
        <f>1</f>
        <v>1</v>
      </c>
      <c r="AA937" s="5">
        <f>IF(M937=0,0,const*($T937/omega)*O937*(wy*I937-wz*(H937-V937))/Z937)</f>
        <v>0</v>
      </c>
      <c r="AB937" s="5">
        <f>IF(M937=0,0,const*($T937/omega)*O937*(wz*(G937-U937)-wx*I937)/Z937)</f>
        <v>8.2528264873863595</v>
      </c>
      <c r="AC937" s="5">
        <f>IF(M937=0,0,const*($T937/omega)*O937*(wx*(H937-V937)-wy*(G937-U937))/Z937)</f>
        <v>6.837778988255538</v>
      </c>
      <c r="AD937" s="5">
        <f t="shared" si="378"/>
        <v>0</v>
      </c>
      <c r="AE937" s="5">
        <f t="shared" si="378"/>
        <v>-3.0105218438818948</v>
      </c>
      <c r="AF937" s="5">
        <f t="shared" si="393"/>
        <v>-11.741973580728228</v>
      </c>
      <c r="AG937">
        <f t="shared" si="404"/>
        <v>0</v>
      </c>
    </row>
    <row r="938" spans="1:33" x14ac:dyDescent="0.2">
      <c r="A938">
        <f t="shared" si="394"/>
        <v>9.0599999999998513</v>
      </c>
      <c r="B938" s="5">
        <f t="shared" si="395"/>
        <v>0</v>
      </c>
      <c r="C938" s="5">
        <f t="shared" si="396"/>
        <v>1183.3856475436176</v>
      </c>
      <c r="D938" s="5">
        <f t="shared" si="397"/>
        <v>-327.24156459307267</v>
      </c>
      <c r="E938" s="2">
        <f t="shared" si="379"/>
        <v>394.46188251453918</v>
      </c>
      <c r="F938" s="2">
        <f t="shared" si="398"/>
        <v>0</v>
      </c>
      <c r="G938" s="3">
        <f t="shared" si="399"/>
        <v>0</v>
      </c>
      <c r="H938" s="3">
        <f t="shared" si="400"/>
        <v>90.309029317716835</v>
      </c>
      <c r="I938" s="3">
        <f t="shared" si="401"/>
        <v>-109.15183041624839</v>
      </c>
      <c r="J938" s="2">
        <f t="shared" si="380"/>
        <v>141.66807283056295</v>
      </c>
      <c r="K938" s="2">
        <f t="shared" si="402"/>
        <v>96.569920129899756</v>
      </c>
      <c r="L938" s="5">
        <f t="shared" si="381"/>
        <v>24.701538189330808</v>
      </c>
      <c r="M938" s="3">
        <f t="shared" si="382"/>
        <v>15.236522346501339</v>
      </c>
      <c r="N938" s="2">
        <v>0</v>
      </c>
      <c r="O938" s="2">
        <f t="shared" si="383"/>
        <v>141.66807283056295</v>
      </c>
      <c r="P938" s="2">
        <f t="shared" si="384"/>
        <v>96.569920129899756</v>
      </c>
      <c r="Q938" s="5">
        <f t="shared" si="385"/>
        <v>1.1939745039197447</v>
      </c>
      <c r="R938" s="5">
        <f t="shared" si="386"/>
        <v>0.15492819804867802</v>
      </c>
      <c r="S938" s="4">
        <f t="shared" si="403"/>
        <v>0.10755085491086222</v>
      </c>
      <c r="T938" s="5">
        <f t="shared" si="387"/>
        <v>9.4027968000927026E-2</v>
      </c>
      <c r="U938" s="4">
        <f t="shared" si="388"/>
        <v>0</v>
      </c>
      <c r="V938" s="4">
        <f t="shared" si="389"/>
        <v>0</v>
      </c>
      <c r="W938" s="5">
        <f t="shared" si="390"/>
        <v>0</v>
      </c>
      <c r="X938" s="5">
        <f t="shared" si="391"/>
        <v>-11.263476790289484</v>
      </c>
      <c r="Y938" s="5">
        <f t="shared" si="392"/>
        <v>13.613579038545129</v>
      </c>
      <c r="Z938" s="5">
        <f>1</f>
        <v>1</v>
      </c>
      <c r="AA938" s="5">
        <f>IF(M938=0,0,const*($T938/omega)*O938*(wy*I938-wz*(H938-V938))/Z938)</f>
        <v>0</v>
      </c>
      <c r="AB938" s="5">
        <f>IF(M938=0,0,const*($T938/omega)*O938*(wz*(G938-U938)-wx*I938)/Z938)</f>
        <v>8.2622607784557189</v>
      </c>
      <c r="AC938" s="5">
        <f>IF(M938=0,0,const*($T938/omega)*O938*(wx*(H938-V938)-wy*(G938-U938))/Z938)</f>
        <v>6.8359527094206767</v>
      </c>
      <c r="AD938" s="5">
        <f t="shared" si="378"/>
        <v>0</v>
      </c>
      <c r="AE938" s="5">
        <f t="shared" si="378"/>
        <v>-3.0012160118337654</v>
      </c>
      <c r="AF938" s="5">
        <f t="shared" si="393"/>
        <v>-11.724468252034193</v>
      </c>
      <c r="AG938">
        <f t="shared" si="404"/>
        <v>0</v>
      </c>
    </row>
    <row r="939" spans="1:33" x14ac:dyDescent="0.2">
      <c r="A939">
        <f t="shared" si="394"/>
        <v>9.0699999999998511</v>
      </c>
      <c r="B939" s="5">
        <f t="shared" si="395"/>
        <v>0</v>
      </c>
      <c r="C939" s="5">
        <f t="shared" si="396"/>
        <v>1184.2885877759943</v>
      </c>
      <c r="D939" s="5">
        <f t="shared" si="397"/>
        <v>-328.33366912064776</v>
      </c>
      <c r="E939" s="2">
        <f t="shared" si="379"/>
        <v>394.7628625919981</v>
      </c>
      <c r="F939" s="2">
        <f t="shared" si="398"/>
        <v>0</v>
      </c>
      <c r="G939" s="3">
        <f t="shared" si="399"/>
        <v>0</v>
      </c>
      <c r="H939" s="3">
        <f t="shared" si="400"/>
        <v>90.279017157598503</v>
      </c>
      <c r="I939" s="3">
        <f t="shared" si="401"/>
        <v>-109.26907509876872</v>
      </c>
      <c r="J939" s="2">
        <f t="shared" si="380"/>
        <v>141.73930898618889</v>
      </c>
      <c r="K939" s="2">
        <f t="shared" si="402"/>
        <v>96.618479199856083</v>
      </c>
      <c r="L939" s="5">
        <f t="shared" si="381"/>
        <v>24.689123548457776</v>
      </c>
      <c r="M939" s="3">
        <f t="shared" si="382"/>
        <v>15.227543564003408</v>
      </c>
      <c r="N939" s="2">
        <v>0</v>
      </c>
      <c r="O939" s="2">
        <f t="shared" si="383"/>
        <v>141.73930898618889</v>
      </c>
      <c r="P939" s="2">
        <f t="shared" si="384"/>
        <v>96.618479199856083</v>
      </c>
      <c r="Q939" s="5">
        <f t="shared" si="385"/>
        <v>1.1945748802210185</v>
      </c>
      <c r="R939" s="5">
        <f t="shared" si="386"/>
        <v>0.15490369397376674</v>
      </c>
      <c r="S939" s="4">
        <f t="shared" si="403"/>
        <v>0.10743345422607629</v>
      </c>
      <c r="T939" s="5">
        <f t="shared" si="387"/>
        <v>9.3986898815839173E-2</v>
      </c>
      <c r="U939" s="4">
        <f t="shared" si="388"/>
        <v>0</v>
      </c>
      <c r="V939" s="4">
        <f t="shared" si="389"/>
        <v>0</v>
      </c>
      <c r="W939" s="5">
        <f t="shared" si="390"/>
        <v>0</v>
      </c>
      <c r="X939" s="5">
        <f t="shared" si="391"/>
        <v>-11.263613675217066</v>
      </c>
      <c r="Y939" s="5">
        <f t="shared" si="392"/>
        <v>13.632898178458097</v>
      </c>
      <c r="Z939" s="5">
        <f>1</f>
        <v>1</v>
      </c>
      <c r="AA939" s="5">
        <f>IF(M939=0,0,const*($T939/omega)*O939*(wy*I939-wz*(H939-V939))/Z939)</f>
        <v>0</v>
      </c>
      <c r="AB939" s="5">
        <f>IF(M939=0,0,const*($T939/omega)*O939*(wz*(G939-U939)-wx*I939)/Z939)</f>
        <v>8.2716802214049991</v>
      </c>
      <c r="AC939" s="5">
        <f>IF(M939=0,0,const*($T939/omega)*O939*(wx*(H939-V939)-wy*(G939-U939))/Z939)</f>
        <v>6.8341308824604932</v>
      </c>
      <c r="AD939" s="5">
        <f t="shared" si="378"/>
        <v>0</v>
      </c>
      <c r="AE939" s="5">
        <f t="shared" si="378"/>
        <v>-2.9919334538120665</v>
      </c>
      <c r="AF939" s="5">
        <f t="shared" si="393"/>
        <v>-11.706970939081408</v>
      </c>
      <c r="AG939">
        <f t="shared" si="404"/>
        <v>0</v>
      </c>
    </row>
    <row r="940" spans="1:33" x14ac:dyDescent="0.2">
      <c r="A940">
        <f t="shared" si="394"/>
        <v>9.0799999999998509</v>
      </c>
      <c r="B940" s="5">
        <f t="shared" si="395"/>
        <v>0</v>
      </c>
      <c r="C940" s="5">
        <f t="shared" si="396"/>
        <v>1185.1912283508977</v>
      </c>
      <c r="D940" s="5">
        <f t="shared" si="397"/>
        <v>-329.4269452201824</v>
      </c>
      <c r="E940" s="2">
        <f t="shared" si="379"/>
        <v>395.06374278363256</v>
      </c>
      <c r="F940" s="2">
        <f t="shared" si="398"/>
        <v>0</v>
      </c>
      <c r="G940" s="3">
        <f t="shared" si="399"/>
        <v>0</v>
      </c>
      <c r="H940" s="3">
        <f t="shared" si="400"/>
        <v>90.249097823060382</v>
      </c>
      <c r="I940" s="3">
        <f t="shared" si="401"/>
        <v>-109.38614480815954</v>
      </c>
      <c r="J940" s="2">
        <f t="shared" si="380"/>
        <v>141.81053675192112</v>
      </c>
      <c r="K940" s="2">
        <f t="shared" si="402"/>
        <v>96.667032550730141</v>
      </c>
      <c r="L940" s="5">
        <f t="shared" si="381"/>
        <v>24.676722840100538</v>
      </c>
      <c r="M940" s="3">
        <f t="shared" si="382"/>
        <v>15.218564207987043</v>
      </c>
      <c r="N940" s="2">
        <v>0</v>
      </c>
      <c r="O940" s="2">
        <f t="shared" si="383"/>
        <v>141.81053675192112</v>
      </c>
      <c r="P940" s="2">
        <f t="shared" si="384"/>
        <v>96.667032550730141</v>
      </c>
      <c r="Q940" s="5">
        <f t="shared" si="385"/>
        <v>1.1951751858125061</v>
      </c>
      <c r="R940" s="5">
        <f t="shared" si="386"/>
        <v>0.15487921499835336</v>
      </c>
      <c r="S940" s="4">
        <f t="shared" si="403"/>
        <v>0.10731617379468721</v>
      </c>
      <c r="T940" s="5">
        <f t="shared" si="387"/>
        <v>9.3945844802777512E-2</v>
      </c>
      <c r="U940" s="4">
        <f t="shared" si="388"/>
        <v>0</v>
      </c>
      <c r="V940" s="4">
        <f t="shared" si="389"/>
        <v>0</v>
      </c>
      <c r="W940" s="5">
        <f t="shared" si="390"/>
        <v>0</v>
      </c>
      <c r="X940" s="5">
        <f t="shared" si="391"/>
        <v>-11.263758934312349</v>
      </c>
      <c r="Y940" s="5">
        <f t="shared" si="392"/>
        <v>13.652204793099509</v>
      </c>
      <c r="Z940" s="5">
        <f>1</f>
        <v>1</v>
      </c>
      <c r="AA940" s="5">
        <f>IF(M940=0,0,const*($T940/omega)*O940*(wy*I940-wz*(H940-V940))/Z940)</f>
        <v>0</v>
      </c>
      <c r="AB940" s="5">
        <f>IF(M940=0,0,const*($T940/omega)*O940*(wz*(G940-U940)-wx*I940)/Z940)</f>
        <v>8.2810847970910615</v>
      </c>
      <c r="AC940" s="5">
        <f>IF(M940=0,0,const*($T940/omega)*O940*(wx*(H940-V940)-wy*(G940-U940))/Z940)</f>
        <v>6.8323134821548335</v>
      </c>
      <c r="AD940" s="5">
        <f t="shared" si="378"/>
        <v>0</v>
      </c>
      <c r="AE940" s="5">
        <f t="shared" si="378"/>
        <v>-2.9826741372212879</v>
      </c>
      <c r="AF940" s="5">
        <f t="shared" si="393"/>
        <v>-11.689481724745658</v>
      </c>
      <c r="AG940">
        <f t="shared" si="404"/>
        <v>0</v>
      </c>
    </row>
    <row r="941" spans="1:33" x14ac:dyDescent="0.2">
      <c r="A941">
        <f t="shared" si="394"/>
        <v>9.0899999999998506</v>
      </c>
      <c r="B941" s="5">
        <f t="shared" si="395"/>
        <v>0</v>
      </c>
      <c r="C941" s="5">
        <f t="shared" si="396"/>
        <v>1186.0935701954215</v>
      </c>
      <c r="D941" s="5">
        <f t="shared" si="397"/>
        <v>-330.52139114235024</v>
      </c>
      <c r="E941" s="2">
        <f t="shared" si="379"/>
        <v>395.36452339847386</v>
      </c>
      <c r="F941" s="2">
        <f t="shared" si="398"/>
        <v>0</v>
      </c>
      <c r="G941" s="3">
        <f t="shared" si="399"/>
        <v>0</v>
      </c>
      <c r="H941" s="3">
        <f t="shared" si="400"/>
        <v>90.219271081688163</v>
      </c>
      <c r="I941" s="3">
        <f t="shared" si="401"/>
        <v>-109.503039625407</v>
      </c>
      <c r="J941" s="2">
        <f t="shared" si="380"/>
        <v>141.88175556326681</v>
      </c>
      <c r="K941" s="2">
        <f t="shared" si="402"/>
        <v>96.715579797727884</v>
      </c>
      <c r="L941" s="5">
        <f t="shared" si="381"/>
        <v>24.664336139205826</v>
      </c>
      <c r="M941" s="3">
        <f t="shared" si="382"/>
        <v>15.209584309104942</v>
      </c>
      <c r="N941" s="2">
        <v>0</v>
      </c>
      <c r="O941" s="2">
        <f t="shared" si="383"/>
        <v>141.88175556326681</v>
      </c>
      <c r="P941" s="2">
        <f t="shared" si="384"/>
        <v>96.715579797727884</v>
      </c>
      <c r="Q941" s="5">
        <f t="shared" si="385"/>
        <v>1.1957754159366778</v>
      </c>
      <c r="R941" s="5">
        <f t="shared" si="386"/>
        <v>0.1548547612144075</v>
      </c>
      <c r="S941" s="4">
        <f t="shared" si="403"/>
        <v>0.1071990140573275</v>
      </c>
      <c r="T941" s="5">
        <f t="shared" si="387"/>
        <v>9.3904806151878698E-2</v>
      </c>
      <c r="U941" s="4">
        <f t="shared" si="388"/>
        <v>0</v>
      </c>
      <c r="V941" s="4">
        <f t="shared" si="389"/>
        <v>0</v>
      </c>
      <c r="W941" s="5">
        <f t="shared" si="390"/>
        <v>0</v>
      </c>
      <c r="X941" s="5">
        <f t="shared" si="391"/>
        <v>-11.26391251609329</v>
      </c>
      <c r="Y941" s="5">
        <f t="shared" si="392"/>
        <v>13.671498825013579</v>
      </c>
      <c r="Z941" s="5">
        <f>1</f>
        <v>1</v>
      </c>
      <c r="AA941" s="5">
        <f>IF(M941=0,0,const*($T941/omega)*O941*(wy*I941-wz*(H941-V941))/Z941)</f>
        <v>0</v>
      </c>
      <c r="AB941" s="5">
        <f>IF(M941=0,0,const*($T941/omega)*O941*(wz*(G941-U941)-wx*I941)/Z941)</f>
        <v>8.2904744865480602</v>
      </c>
      <c r="AC941" s="5">
        <f>IF(M941=0,0,const*($T941/omega)*O941*(wx*(H941-V941)-wy*(G941-U941))/Z941)</f>
        <v>6.8305004834236254</v>
      </c>
      <c r="AD941" s="5">
        <f t="shared" si="378"/>
        <v>0</v>
      </c>
      <c r="AE941" s="5">
        <f t="shared" si="378"/>
        <v>-2.9734380295452301</v>
      </c>
      <c r="AF941" s="5">
        <f t="shared" si="393"/>
        <v>-11.672000691562793</v>
      </c>
      <c r="AG941">
        <f t="shared" si="404"/>
        <v>0</v>
      </c>
    </row>
    <row r="942" spans="1:33" x14ac:dyDescent="0.2">
      <c r="A942">
        <f t="shared" si="394"/>
        <v>9.0999999999998504</v>
      </c>
      <c r="B942" s="5">
        <f t="shared" si="395"/>
        <v>0</v>
      </c>
      <c r="C942" s="5">
        <f t="shared" si="396"/>
        <v>1186.9956142343369</v>
      </c>
      <c r="D942" s="5">
        <f t="shared" si="397"/>
        <v>-331.61700513863889</v>
      </c>
      <c r="E942" s="2">
        <f t="shared" si="379"/>
        <v>395.66520474477898</v>
      </c>
      <c r="F942" s="2">
        <f t="shared" si="398"/>
        <v>0</v>
      </c>
      <c r="G942" s="3">
        <f t="shared" si="399"/>
        <v>0</v>
      </c>
      <c r="H942" s="3">
        <f t="shared" si="400"/>
        <v>90.189536701392711</v>
      </c>
      <c r="I942" s="3">
        <f t="shared" si="401"/>
        <v>-109.61975963232263</v>
      </c>
      <c r="J942" s="2">
        <f t="shared" si="380"/>
        <v>141.95296485899846</v>
      </c>
      <c r="K942" s="2">
        <f t="shared" si="402"/>
        <v>96.764120558281149</v>
      </c>
      <c r="L942" s="5">
        <f t="shared" si="381"/>
        <v>24.651963519811041</v>
      </c>
      <c r="M942" s="3">
        <f t="shared" si="382"/>
        <v>15.20060389791993</v>
      </c>
      <c r="N942" s="2">
        <v>0</v>
      </c>
      <c r="O942" s="2">
        <f t="shared" si="383"/>
        <v>141.95296485899846</v>
      </c>
      <c r="P942" s="2">
        <f t="shared" si="384"/>
        <v>96.764120558281149</v>
      </c>
      <c r="Q942" s="5">
        <f t="shared" si="385"/>
        <v>1.1963755658635236</v>
      </c>
      <c r="R942" s="5">
        <f t="shared" si="386"/>
        <v>0.15483033271268828</v>
      </c>
      <c r="S942" s="4">
        <f t="shared" si="403"/>
        <v>0.10708197544883021</v>
      </c>
      <c r="T942" s="5">
        <f t="shared" si="387"/>
        <v>9.3863783051721772E-2</v>
      </c>
      <c r="U942" s="4">
        <f t="shared" si="388"/>
        <v>0</v>
      </c>
      <c r="V942" s="4">
        <f t="shared" si="389"/>
        <v>0</v>
      </c>
      <c r="W942" s="5">
        <f t="shared" si="390"/>
        <v>0</v>
      </c>
      <c r="X942" s="5">
        <f t="shared" si="391"/>
        <v>-11.264074369332924</v>
      </c>
      <c r="Y942" s="5">
        <f t="shared" si="392"/>
        <v>13.690780216945209</v>
      </c>
      <c r="Z942" s="5">
        <f>1</f>
        <v>1</v>
      </c>
      <c r="AA942" s="5">
        <f>IF(M942=0,0,const*($T942/omega)*O942*(wy*I942-wz*(H942-V942))/Z942)</f>
        <v>0</v>
      </c>
      <c r="AB942" s="5">
        <f>IF(M942=0,0,const*($T942/omega)*O942*(wz*(G942-U942)-wx*I942)/Z942)</f>
        <v>8.2998492709874458</v>
      </c>
      <c r="AC942" s="5">
        <f>IF(M942=0,0,const*($T942/omega)*O942*(wx*(H942-V942)-wy*(G942-U942))/Z942)</f>
        <v>6.8286918613259626</v>
      </c>
      <c r="AD942" s="5">
        <f t="shared" si="378"/>
        <v>0</v>
      </c>
      <c r="AE942" s="5">
        <f t="shared" si="378"/>
        <v>-2.9642250983454783</v>
      </c>
      <c r="AF942" s="5">
        <f t="shared" si="393"/>
        <v>-11.654527921728828</v>
      </c>
      <c r="AG942">
        <f t="shared" si="404"/>
        <v>0</v>
      </c>
    </row>
    <row r="943" spans="1:33" x14ac:dyDescent="0.2">
      <c r="A943">
        <f t="shared" si="394"/>
        <v>9.1099999999998502</v>
      </c>
      <c r="B943" s="5">
        <f t="shared" si="395"/>
        <v>0</v>
      </c>
      <c r="C943" s="5">
        <f t="shared" si="396"/>
        <v>1187.8973613900957</v>
      </c>
      <c r="D943" s="5">
        <f t="shared" si="397"/>
        <v>-332.71378546135821</v>
      </c>
      <c r="E943" s="2">
        <f t="shared" si="379"/>
        <v>395.96578713003191</v>
      </c>
      <c r="F943" s="2">
        <f t="shared" si="398"/>
        <v>0</v>
      </c>
      <c r="G943" s="3">
        <f t="shared" si="399"/>
        <v>0</v>
      </c>
      <c r="H943" s="3">
        <f t="shared" si="400"/>
        <v>90.159894450409254</v>
      </c>
      <c r="I943" s="3">
        <f t="shared" si="401"/>
        <v>-109.73630491153992</v>
      </c>
      <c r="J943" s="2">
        <f t="shared" si="380"/>
        <v>142.02416408114289</v>
      </c>
      <c r="K943" s="2">
        <f t="shared" si="402"/>
        <v>96.812654452040135</v>
      </c>
      <c r="L943" s="5">
        <f t="shared" si="381"/>
        <v>24.639605055050495</v>
      </c>
      <c r="M943" s="3">
        <f t="shared" si="382"/>
        <v>15.191623004904764</v>
      </c>
      <c r="N943" s="2">
        <v>0</v>
      </c>
      <c r="O943" s="2">
        <f t="shared" si="383"/>
        <v>142.02416408114289</v>
      </c>
      <c r="P943" s="2">
        <f t="shared" si="384"/>
        <v>96.812654452040135</v>
      </c>
      <c r="Q943" s="5">
        <f t="shared" si="385"/>
        <v>1.196975630890462</v>
      </c>
      <c r="R943" s="5">
        <f t="shared" si="386"/>
        <v>0.15480592958275263</v>
      </c>
      <c r="S943" s="4">
        <f t="shared" si="403"/>
        <v>0.10696505839826884</v>
      </c>
      <c r="T943" s="5">
        <f t="shared" si="387"/>
        <v>9.3822775689336418E-2</v>
      </c>
      <c r="U943" s="4">
        <f t="shared" si="388"/>
        <v>0</v>
      </c>
      <c r="V943" s="4">
        <f t="shared" si="389"/>
        <v>0</v>
      </c>
      <c r="W943" s="5">
        <f t="shared" si="390"/>
        <v>0</v>
      </c>
      <c r="X943" s="5">
        <f t="shared" si="391"/>
        <v>-11.264244443057889</v>
      </c>
      <c r="Y943" s="5">
        <f t="shared" si="392"/>
        <v>13.710048911840852</v>
      </c>
      <c r="Z943" s="5">
        <f>1</f>
        <v>1</v>
      </c>
      <c r="AA943" s="5">
        <f>IF(M943=0,0,const*($T943/omega)*O943*(wy*I943-wz*(H943-V943))/Z943)</f>
        <v>0</v>
      </c>
      <c r="AB943" s="5">
        <f>IF(M943=0,0,const*($T943/omega)*O943*(wz*(G943-U943)-wx*I943)/Z943)</f>
        <v>8.3092091317979264</v>
      </c>
      <c r="AC943" s="5">
        <f>IF(M943=0,0,const*($T943/omega)*O943*(wx*(H943-V943)-wy*(G943-U943))/Z943)</f>
        <v>6.8268875910591751</v>
      </c>
      <c r="AD943" s="5">
        <f t="shared" si="378"/>
        <v>0</v>
      </c>
      <c r="AE943" s="5">
        <f t="shared" si="378"/>
        <v>-2.9550353112599623</v>
      </c>
      <c r="AF943" s="5">
        <f t="shared" si="393"/>
        <v>-11.637063497099973</v>
      </c>
      <c r="AG943">
        <f t="shared" si="404"/>
        <v>0</v>
      </c>
    </row>
    <row r="944" spans="1:33" x14ac:dyDescent="0.2">
      <c r="A944">
        <f t="shared" si="394"/>
        <v>9.11999999999985</v>
      </c>
      <c r="B944" s="5">
        <f t="shared" si="395"/>
        <v>0</v>
      </c>
      <c r="C944" s="5">
        <f t="shared" si="396"/>
        <v>1188.7988125828342</v>
      </c>
      <c r="D944" s="5">
        <f t="shared" si="397"/>
        <v>-333.81173036364851</v>
      </c>
      <c r="E944" s="2">
        <f t="shared" si="379"/>
        <v>396.26627086094476</v>
      </c>
      <c r="F944" s="2">
        <f t="shared" si="398"/>
        <v>0</v>
      </c>
      <c r="G944" s="3">
        <f t="shared" si="399"/>
        <v>0</v>
      </c>
      <c r="H944" s="3">
        <f t="shared" si="400"/>
        <v>90.130344097296657</v>
      </c>
      <c r="I944" s="3">
        <f t="shared" si="401"/>
        <v>-109.85267554651092</v>
      </c>
      <c r="J944" s="2">
        <f t="shared" si="380"/>
        <v>142.09535267496997</v>
      </c>
      <c r="K944" s="2">
        <f t="shared" si="402"/>
        <v>96.861181100865693</v>
      </c>
      <c r="L944" s="5">
        <f t="shared" si="381"/>
        <v>24.627260817161616</v>
      </c>
      <c r="M944" s="3">
        <f t="shared" si="382"/>
        <v>15.182641660441936</v>
      </c>
      <c r="N944" s="2">
        <v>0</v>
      </c>
      <c r="O944" s="2">
        <f t="shared" si="383"/>
        <v>142.09535267496997</v>
      </c>
      <c r="P944" s="2">
        <f t="shared" si="384"/>
        <v>96.861181100865693</v>
      </c>
      <c r="Q944" s="5">
        <f t="shared" si="385"/>
        <v>1.1975756063422427</v>
      </c>
      <c r="R944" s="5">
        <f t="shared" si="386"/>
        <v>0.15478155191296378</v>
      </c>
      <c r="S944" s="4">
        <f t="shared" si="403"/>
        <v>0.10684826332899733</v>
      </c>
      <c r="T944" s="5">
        <f t="shared" si="387"/>
        <v>9.3781784250211025E-2</v>
      </c>
      <c r="U944" s="4">
        <f t="shared" si="388"/>
        <v>0</v>
      </c>
      <c r="V944" s="4">
        <f t="shared" si="389"/>
        <v>0</v>
      </c>
      <c r="W944" s="5">
        <f t="shared" si="390"/>
        <v>0</v>
      </c>
      <c r="X944" s="5">
        <f t="shared" si="391"/>
        <v>-11.264422686546929</v>
      </c>
      <c r="Y944" s="5">
        <f t="shared" si="392"/>
        <v>13.729304852849349</v>
      </c>
      <c r="Z944" s="5">
        <f>1</f>
        <v>1</v>
      </c>
      <c r="AA944" s="5">
        <f>IF(M944=0,0,const*($T944/omega)*O944*(wy*I944-wz*(H944-V944))/Z944)</f>
        <v>0</v>
      </c>
      <c r="AB944" s="5">
        <f>IF(M944=0,0,const*($T944/omega)*O944*(wz*(G944-U944)-wx*I944)/Z944)</f>
        <v>8.3185540505454334</v>
      </c>
      <c r="AC944" s="5">
        <f>IF(M944=0,0,const*($T944/omega)*O944*(wx*(H944-V944)-wy*(G944-U944))/Z944)</f>
        <v>6.8250876479579192</v>
      </c>
      <c r="AD944" s="5">
        <f t="shared" ref="AD944:AE1007" si="405">W944+AA944</f>
        <v>0</v>
      </c>
      <c r="AE944" s="5">
        <f t="shared" si="405"/>
        <v>-2.9458686360014958</v>
      </c>
      <c r="AF944" s="5">
        <f t="shared" si="393"/>
        <v>-11.619607499192732</v>
      </c>
      <c r="AG944">
        <f t="shared" si="404"/>
        <v>0</v>
      </c>
    </row>
    <row r="945" spans="1:33" x14ac:dyDescent="0.2">
      <c r="A945">
        <f t="shared" si="394"/>
        <v>9.1299999999998498</v>
      </c>
      <c r="B945" s="5">
        <f t="shared" si="395"/>
        <v>0</v>
      </c>
      <c r="C945" s="5">
        <f t="shared" si="396"/>
        <v>1189.6999687303753</v>
      </c>
      <c r="D945" s="5">
        <f t="shared" si="397"/>
        <v>-334.91083809948856</v>
      </c>
      <c r="E945" s="2">
        <f t="shared" si="379"/>
        <v>396.56665624345845</v>
      </c>
      <c r="F945" s="2">
        <f t="shared" si="398"/>
        <v>0</v>
      </c>
      <c r="G945" s="3">
        <f t="shared" si="399"/>
        <v>0</v>
      </c>
      <c r="H945" s="3">
        <f t="shared" si="400"/>
        <v>90.100885410936641</v>
      </c>
      <c r="I945" s="3">
        <f t="shared" si="401"/>
        <v>-109.96887162150286</v>
      </c>
      <c r="J945" s="2">
        <f t="shared" si="380"/>
        <v>142.1665300889816</v>
      </c>
      <c r="K945" s="2">
        <f t="shared" si="402"/>
        <v>96.909700128821811</v>
      </c>
      <c r="L945" s="5">
        <f t="shared" si="381"/>
        <v>24.614930877491158</v>
      </c>
      <c r="M945" s="3">
        <f t="shared" si="382"/>
        <v>15.173659894823498</v>
      </c>
      <c r="N945" s="2">
        <v>0</v>
      </c>
      <c r="O945" s="2">
        <f t="shared" si="383"/>
        <v>142.1665300889816</v>
      </c>
      <c r="P945" s="2">
        <f t="shared" si="384"/>
        <v>96.909700128821811</v>
      </c>
      <c r="Q945" s="5">
        <f t="shared" si="385"/>
        <v>1.1981754875708557</v>
      </c>
      <c r="R945" s="5">
        <f t="shared" si="386"/>
        <v>0.15475719979049934</v>
      </c>
      <c r="S945" s="4">
        <f t="shared" si="403"/>
        <v>0.10673159065868984</v>
      </c>
      <c r="T945" s="5">
        <f t="shared" si="387"/>
        <v>9.3740808918301111E-2</v>
      </c>
      <c r="U945" s="4">
        <f t="shared" si="388"/>
        <v>0</v>
      </c>
      <c r="V945" s="4">
        <f t="shared" si="389"/>
        <v>0</v>
      </c>
      <c r="W945" s="5">
        <f t="shared" si="390"/>
        <v>0</v>
      </c>
      <c r="X945" s="5">
        <f t="shared" si="391"/>
        <v>-11.264609049329426</v>
      </c>
      <c r="Y945" s="5">
        <f t="shared" si="392"/>
        <v>13.748547983322748</v>
      </c>
      <c r="Z945" s="5">
        <f>1</f>
        <v>1</v>
      </c>
      <c r="AA945" s="5">
        <f>IF(M945=0,0,const*($T945/omega)*O945*(wy*I945-wz*(H945-V945))/Z945)</f>
        <v>0</v>
      </c>
      <c r="AB945" s="5">
        <f>IF(M945=0,0,const*($T945/omega)*O945*(wz*(G945-U945)-wx*I945)/Z945)</f>
        <v>8.327884008973081</v>
      </c>
      <c r="AC945" s="5">
        <f>IF(M945=0,0,const*($T945/omega)*O945*(wx*(H945-V945)-wy*(G945-U945))/Z945)</f>
        <v>6.8232920074932819</v>
      </c>
      <c r="AD945" s="5">
        <f t="shared" si="405"/>
        <v>0</v>
      </c>
      <c r="AE945" s="5">
        <f t="shared" si="405"/>
        <v>-2.936725040356345</v>
      </c>
      <c r="AF945" s="5">
        <f t="shared" si="393"/>
        <v>-11.602160009183969</v>
      </c>
      <c r="AG945">
        <f t="shared" si="404"/>
        <v>0</v>
      </c>
    </row>
    <row r="946" spans="1:33" x14ac:dyDescent="0.2">
      <c r="A946">
        <f t="shared" si="394"/>
        <v>9.1399999999998496</v>
      </c>
      <c r="B946" s="5">
        <f t="shared" si="395"/>
        <v>0</v>
      </c>
      <c r="C946" s="5">
        <f t="shared" si="396"/>
        <v>1190.6008307482327</v>
      </c>
      <c r="D946" s="5">
        <f t="shared" si="397"/>
        <v>-336.01110692370406</v>
      </c>
      <c r="E946" s="2">
        <f t="shared" si="379"/>
        <v>396.86694358274423</v>
      </c>
      <c r="F946" s="2">
        <f t="shared" si="398"/>
        <v>0</v>
      </c>
      <c r="G946" s="3">
        <f t="shared" si="399"/>
        <v>0</v>
      </c>
      <c r="H946" s="3">
        <f t="shared" si="400"/>
        <v>90.071518160533074</v>
      </c>
      <c r="I946" s="3">
        <f t="shared" si="401"/>
        <v>-110.0848932215947</v>
      </c>
      <c r="J946" s="2">
        <f t="shared" si="380"/>
        <v>142.23769577490049</v>
      </c>
      <c r="K946" s="2">
        <f t="shared" si="402"/>
        <v>96.958211162168013</v>
      </c>
      <c r="L946" s="5">
        <f t="shared" si="381"/>
        <v>24.602615306501345</v>
      </c>
      <c r="M946" s="3">
        <f t="shared" si="382"/>
        <v>15.164677738250877</v>
      </c>
      <c r="N946" s="2">
        <v>0</v>
      </c>
      <c r="O946" s="2">
        <f t="shared" si="383"/>
        <v>142.23769577490049</v>
      </c>
      <c r="P946" s="2">
        <f t="shared" si="384"/>
        <v>96.958211162168013</v>
      </c>
      <c r="Q946" s="5">
        <f t="shared" si="385"/>
        <v>1.1987752699554353</v>
      </c>
      <c r="R946" s="5">
        <f t="shared" si="386"/>
        <v>0.15473287330135979</v>
      </c>
      <c r="S946" s="4">
        <f t="shared" si="403"/>
        <v>0.10661504079938043</v>
      </c>
      <c r="T946" s="5">
        <f t="shared" si="387"/>
        <v>9.3699849876037244E-2</v>
      </c>
      <c r="U946" s="4">
        <f t="shared" si="388"/>
        <v>0</v>
      </c>
      <c r="V946" s="4">
        <f t="shared" si="389"/>
        <v>0</v>
      </c>
      <c r="W946" s="5">
        <f t="shared" si="390"/>
        <v>0</v>
      </c>
      <c r="X946" s="5">
        <f t="shared" si="391"/>
        <v>-11.264803481183925</v>
      </c>
      <c r="Y946" s="5">
        <f t="shared" si="392"/>
        <v>13.767778246817121</v>
      </c>
      <c r="Z946" s="5">
        <f>1</f>
        <v>1</v>
      </c>
      <c r="AA946" s="5">
        <f>IF(M946=0,0,const*($T946/omega)*O946*(wy*I946-wz*(H946-V946))/Z946)</f>
        <v>0</v>
      </c>
      <c r="AB946" s="5">
        <f>IF(M946=0,0,const*($T946/omega)*O946*(wz*(G946-U946)-wx*I946)/Z946)</f>
        <v>8.3371989890011236</v>
      </c>
      <c r="AC946" s="5">
        <f>IF(M946=0,0,const*($T946/omega)*O946*(wx*(H946-V946)-wy*(G946-U946))/Z946)</f>
        <v>6.8215006452718656</v>
      </c>
      <c r="AD946" s="5">
        <f t="shared" si="405"/>
        <v>0</v>
      </c>
      <c r="AE946" s="5">
        <f t="shared" si="405"/>
        <v>-2.9276044921828017</v>
      </c>
      <c r="AF946" s="5">
        <f t="shared" si="393"/>
        <v>-11.584721107911012</v>
      </c>
      <c r="AG946">
        <f t="shared" si="404"/>
        <v>0</v>
      </c>
    </row>
    <row r="947" spans="1:33" x14ac:dyDescent="0.2">
      <c r="A947">
        <f t="shared" si="394"/>
        <v>9.1499999999998494</v>
      </c>
      <c r="B947" s="5">
        <f t="shared" si="395"/>
        <v>0</v>
      </c>
      <c r="C947" s="5">
        <f t="shared" si="396"/>
        <v>1191.5013995496136</v>
      </c>
      <c r="D947" s="5">
        <f t="shared" si="397"/>
        <v>-337.11253509197542</v>
      </c>
      <c r="E947" s="2">
        <f t="shared" si="379"/>
        <v>397.1671331832045</v>
      </c>
      <c r="F947" s="2">
        <f t="shared" si="398"/>
        <v>0</v>
      </c>
      <c r="G947" s="3">
        <f t="shared" si="399"/>
        <v>0</v>
      </c>
      <c r="H947" s="3">
        <f t="shared" si="400"/>
        <v>90.042242115611245</v>
      </c>
      <c r="I947" s="3">
        <f t="shared" si="401"/>
        <v>-110.20074043267381</v>
      </c>
      <c r="J947" s="2">
        <f t="shared" si="380"/>
        <v>142.30884918765909</v>
      </c>
      <c r="K947" s="2">
        <f t="shared" si="402"/>
        <v>97.006713829351796</v>
      </c>
      <c r="L947" s="5">
        <f t="shared" si="381"/>
        <v>24.590314173776033</v>
      </c>
      <c r="M947" s="3">
        <f t="shared" si="382"/>
        <v>15.155695220834694</v>
      </c>
      <c r="N947" s="2">
        <v>0</v>
      </c>
      <c r="O947" s="2">
        <f t="shared" si="383"/>
        <v>142.30884918765909</v>
      </c>
      <c r="P947" s="2">
        <f t="shared" si="384"/>
        <v>97.006713829351796</v>
      </c>
      <c r="Q947" s="5">
        <f t="shared" si="385"/>
        <v>1.1993749489021677</v>
      </c>
      <c r="R947" s="5">
        <f t="shared" si="386"/>
        <v>0.15470857253037662</v>
      </c>
      <c r="S947" s="4">
        <f t="shared" si="403"/>
        <v>0.10649861415750232</v>
      </c>
      <c r="T947" s="5">
        <f t="shared" si="387"/>
        <v>9.3658907304333336E-2</v>
      </c>
      <c r="U947" s="4">
        <f t="shared" si="388"/>
        <v>0</v>
      </c>
      <c r="V947" s="4">
        <f t="shared" si="389"/>
        <v>0</v>
      </c>
      <c r="W947" s="5">
        <f t="shared" si="390"/>
        <v>0</v>
      </c>
      <c r="X947" s="5">
        <f t="shared" si="391"/>
        <v>-11.265005932136688</v>
      </c>
      <c r="Y947" s="5">
        <f t="shared" si="392"/>
        <v>13.786995587093379</v>
      </c>
      <c r="Z947" s="5">
        <f>1</f>
        <v>1</v>
      </c>
      <c r="AA947" s="5">
        <f>IF(M947=0,0,const*($T947/omega)*O947*(wy*I947-wz*(H947-V947))/Z947)</f>
        <v>0</v>
      </c>
      <c r="AB947" s="5">
        <f>IF(M947=0,0,const*($T947/omega)*O947*(wz*(G947-U947)-wx*I947)/Z947)</f>
        <v>8.3464989727268861</v>
      </c>
      <c r="AC947" s="5">
        <f>IF(M947=0,0,const*($T947/omega)*O947*(wx*(H947-V947)-wy*(G947-U947))/Z947)</f>
        <v>6.8197135370349002</v>
      </c>
      <c r="AD947" s="5">
        <f t="shared" si="405"/>
        <v>0</v>
      </c>
      <c r="AE947" s="5">
        <f t="shared" si="405"/>
        <v>-2.9185069594098021</v>
      </c>
      <c r="AF947" s="5">
        <f t="shared" si="393"/>
        <v>-11.56729087587172</v>
      </c>
      <c r="AG947">
        <f t="shared" si="404"/>
        <v>0</v>
      </c>
    </row>
    <row r="948" spans="1:33" x14ac:dyDescent="0.2">
      <c r="A948">
        <f t="shared" si="394"/>
        <v>9.1599999999998492</v>
      </c>
      <c r="B948" s="5">
        <f t="shared" si="395"/>
        <v>0</v>
      </c>
      <c r="C948" s="5">
        <f t="shared" si="396"/>
        <v>1192.4016760454215</v>
      </c>
      <c r="D948" s="5">
        <f t="shared" si="397"/>
        <v>-338.21512086084596</v>
      </c>
      <c r="E948" s="2">
        <f t="shared" si="379"/>
        <v>397.46722534847385</v>
      </c>
      <c r="F948" s="2">
        <f t="shared" si="398"/>
        <v>0</v>
      </c>
      <c r="G948" s="3">
        <f t="shared" si="399"/>
        <v>0</v>
      </c>
      <c r="H948" s="3">
        <f t="shared" si="400"/>
        <v>90.013057046017153</v>
      </c>
      <c r="I948" s="3">
        <f t="shared" si="401"/>
        <v>-110.31641334143252</v>
      </c>
      <c r="J948" s="2">
        <f t="shared" si="380"/>
        <v>142.37998978538849</v>
      </c>
      <c r="K948" s="2">
        <f t="shared" si="402"/>
        <v>97.055207761001014</v>
      </c>
      <c r="L948" s="5">
        <f t="shared" si="381"/>
        <v>24.578027548026771</v>
      </c>
      <c r="M948" s="3">
        <f t="shared" si="382"/>
        <v>15.1467123725946</v>
      </c>
      <c r="N948" s="2">
        <v>0</v>
      </c>
      <c r="O948" s="2">
        <f t="shared" si="383"/>
        <v>142.37998978538849</v>
      </c>
      <c r="P948" s="2">
        <f t="shared" si="384"/>
        <v>97.055207761001014</v>
      </c>
      <c r="Q948" s="5">
        <f t="shared" si="385"/>
        <v>1.1999745198441973</v>
      </c>
      <c r="R948" s="5">
        <f t="shared" si="386"/>
        <v>0.15468429756122046</v>
      </c>
      <c r="S948" s="4">
        <f t="shared" si="403"/>
        <v>0.10638231113392738</v>
      </c>
      <c r="T948" s="5">
        <f t="shared" si="387"/>
        <v>9.361798138259475E-2</v>
      </c>
      <c r="U948" s="4">
        <f t="shared" si="388"/>
        <v>0</v>
      </c>
      <c r="V948" s="4">
        <f t="shared" si="389"/>
        <v>0</v>
      </c>
      <c r="W948" s="5">
        <f t="shared" si="390"/>
        <v>0</v>
      </c>
      <c r="X948" s="5">
        <f t="shared" si="391"/>
        <v>-11.26521635246022</v>
      </c>
      <c r="Y948" s="5">
        <f t="shared" si="392"/>
        <v>13.806199948118021</v>
      </c>
      <c r="Z948" s="5">
        <f>1</f>
        <v>1</v>
      </c>
      <c r="AA948" s="5">
        <f>IF(M948=0,0,const*($T948/omega)*O948*(wy*I948-wz*(H948-V948))/Z948)</f>
        <v>0</v>
      </c>
      <c r="AB948" s="5">
        <f>IF(M948=0,0,const*($T948/omega)*O948*(wz*(G948-U948)-wx*I948)/Z948)</f>
        <v>8.355783942424722</v>
      </c>
      <c r="AC948" s="5">
        <f>IF(M948=0,0,const*($T948/omega)*O948*(wx*(H948-V948)-wy*(G948-U948))/Z948)</f>
        <v>6.8179306586573585</v>
      </c>
      <c r="AD948" s="5">
        <f t="shared" si="405"/>
        <v>0</v>
      </c>
      <c r="AE948" s="5">
        <f t="shared" si="405"/>
        <v>-2.9094324100354978</v>
      </c>
      <c r="AF948" s="5">
        <f t="shared" si="393"/>
        <v>-11.549869393224618</v>
      </c>
      <c r="AG948">
        <f t="shared" si="404"/>
        <v>0</v>
      </c>
    </row>
    <row r="949" spans="1:33" x14ac:dyDescent="0.2">
      <c r="A949">
        <f t="shared" si="394"/>
        <v>9.1699999999998489</v>
      </c>
      <c r="B949" s="5">
        <f t="shared" si="395"/>
        <v>0</v>
      </c>
      <c r="C949" s="5">
        <f t="shared" si="396"/>
        <v>1193.3016611442611</v>
      </c>
      <c r="D949" s="5">
        <f t="shared" si="397"/>
        <v>-339.31886248772997</v>
      </c>
      <c r="E949" s="2">
        <f t="shared" si="379"/>
        <v>397.76722038142037</v>
      </c>
      <c r="F949" s="2">
        <f t="shared" si="398"/>
        <v>0</v>
      </c>
      <c r="G949" s="3">
        <f t="shared" si="399"/>
        <v>0</v>
      </c>
      <c r="H949" s="3">
        <f t="shared" si="400"/>
        <v>89.983962721916797</v>
      </c>
      <c r="I949" s="3">
        <f t="shared" si="401"/>
        <v>-110.43191203536477</v>
      </c>
      <c r="J949" s="2">
        <f t="shared" si="380"/>
        <v>142.45111702940716</v>
      </c>
      <c r="K949" s="2">
        <f t="shared" si="402"/>
        <v>97.103692589916264</v>
      </c>
      <c r="L949" s="5">
        <f t="shared" si="381"/>
        <v>24.56575549709898</v>
      </c>
      <c r="M949" s="3">
        <f t="shared" si="382"/>
        <v>15.137729223459109</v>
      </c>
      <c r="N949" s="2">
        <v>0</v>
      </c>
      <c r="O949" s="2">
        <f t="shared" si="383"/>
        <v>142.45111702940716</v>
      </c>
      <c r="P949" s="2">
        <f t="shared" si="384"/>
        <v>97.103692589916264</v>
      </c>
      <c r="Q949" s="5">
        <f t="shared" si="385"/>
        <v>1.200573978241531</v>
      </c>
      <c r="R949" s="5">
        <f t="shared" si="386"/>
        <v>0.15466004847640938</v>
      </c>
      <c r="S949" s="4">
        <f t="shared" si="403"/>
        <v>0.10626613212400521</v>
      </c>
      <c r="T949" s="5">
        <f t="shared" si="387"/>
        <v>9.357707228872636E-2</v>
      </c>
      <c r="U949" s="4">
        <f t="shared" si="388"/>
        <v>0</v>
      </c>
      <c r="V949" s="4">
        <f t="shared" si="389"/>
        <v>0</v>
      </c>
      <c r="W949" s="5">
        <f t="shared" si="390"/>
        <v>0</v>
      </c>
      <c r="X949" s="5">
        <f t="shared" si="391"/>
        <v>-11.265434692671842</v>
      </c>
      <c r="Y949" s="5">
        <f t="shared" si="392"/>
        <v>13.825391274063941</v>
      </c>
      <c r="Z949" s="5">
        <f>1</f>
        <v>1</v>
      </c>
      <c r="AA949" s="5">
        <f>IF(M949=0,0,const*($T949/omega)*O949*(wy*I949-wz*(H949-V949))/Z949)</f>
        <v>0</v>
      </c>
      <c r="AB949" s="5">
        <f>IF(M949=0,0,const*($T949/omega)*O949*(wz*(G949-U949)-wx*I949)/Z949)</f>
        <v>8.3650538805459185</v>
      </c>
      <c r="AC949" s="5">
        <f>IF(M949=0,0,const*($T949/omega)*O949*(wx*(H949-V949)-wy*(G949-U949))/Z949)</f>
        <v>6.8161519861470623</v>
      </c>
      <c r="AD949" s="5">
        <f t="shared" si="405"/>
        <v>0</v>
      </c>
      <c r="AE949" s="5">
        <f t="shared" si="405"/>
        <v>-2.900380812125924</v>
      </c>
      <c r="AF949" s="5">
        <f t="shared" si="393"/>
        <v>-11.532456739788998</v>
      </c>
      <c r="AG949">
        <f t="shared" si="404"/>
        <v>0</v>
      </c>
    </row>
    <row r="950" spans="1:33" x14ac:dyDescent="0.2">
      <c r="A950">
        <f t="shared" si="394"/>
        <v>9.1799999999998487</v>
      </c>
      <c r="B950" s="5">
        <f t="shared" si="395"/>
        <v>0</v>
      </c>
      <c r="C950" s="5">
        <f t="shared" si="396"/>
        <v>1194.2013557524394</v>
      </c>
      <c r="D950" s="5">
        <f t="shared" si="397"/>
        <v>-340.42375823092061</v>
      </c>
      <c r="E950" s="2">
        <f t="shared" si="379"/>
        <v>398.0671185841465</v>
      </c>
      <c r="F950" s="2">
        <f t="shared" si="398"/>
        <v>0</v>
      </c>
      <c r="G950" s="3">
        <f t="shared" si="399"/>
        <v>0</v>
      </c>
      <c r="H950" s="3">
        <f t="shared" si="400"/>
        <v>89.954958913795537</v>
      </c>
      <c r="I950" s="3">
        <f t="shared" si="401"/>
        <v>-110.54723660276267</v>
      </c>
      <c r="J950" s="2">
        <f t="shared" si="380"/>
        <v>142.52223038420999</v>
      </c>
      <c r="K950" s="2">
        <f t="shared" si="402"/>
        <v>97.152167951063376</v>
      </c>
      <c r="L950" s="5">
        <f t="shared" si="381"/>
        <v>24.553498087977921</v>
      </c>
      <c r="M950" s="3">
        <f t="shared" si="382"/>
        <v>15.128745803265417</v>
      </c>
      <c r="N950" s="2">
        <v>0</v>
      </c>
      <c r="O950" s="2">
        <f t="shared" si="383"/>
        <v>142.52223038420999</v>
      </c>
      <c r="P950" s="2">
        <f t="shared" si="384"/>
        <v>97.152167951063376</v>
      </c>
      <c r="Q950" s="5">
        <f t="shared" si="385"/>
        <v>1.2011733195809469</v>
      </c>
      <c r="R950" s="5">
        <f t="shared" si="386"/>
        <v>0.1546358253573169</v>
      </c>
      <c r="S950" s="4">
        <f t="shared" si="403"/>
        <v>0.10615007751760197</v>
      </c>
      <c r="T950" s="5">
        <f t="shared" si="387"/>
        <v>9.3536180199140645E-2</v>
      </c>
      <c r="U950" s="4">
        <f t="shared" si="388"/>
        <v>0</v>
      </c>
      <c r="V950" s="4">
        <f t="shared" si="389"/>
        <v>0</v>
      </c>
      <c r="W950" s="5">
        <f t="shared" si="390"/>
        <v>0</v>
      </c>
      <c r="X950" s="5">
        <f t="shared" si="391"/>
        <v>-11.265660903532257</v>
      </c>
      <c r="Y950" s="5">
        <f t="shared" si="392"/>
        <v>13.844569509311178</v>
      </c>
      <c r="Z950" s="5">
        <f>1</f>
        <v>1</v>
      </c>
      <c r="AA950" s="5">
        <f>IF(M950=0,0,const*($T950/omega)*O950*(wy*I950-wz*(H950-V950))/Z950)</f>
        <v>0</v>
      </c>
      <c r="AB950" s="5">
        <f>IF(M950=0,0,const*($T950/omega)*O950*(wz*(G950-U950)-wx*I950)/Z950)</f>
        <v>8.3743087697186382</v>
      </c>
      <c r="AC950" s="5">
        <f>IF(M950=0,0,const*($T950/omega)*O950*(wx*(H950-V950)-wy*(G950-U950))/Z950)</f>
        <v>6.8143774956438108</v>
      </c>
      <c r="AD950" s="5">
        <f t="shared" si="405"/>
        <v>0</v>
      </c>
      <c r="AE950" s="5">
        <f t="shared" si="405"/>
        <v>-2.8913521338136192</v>
      </c>
      <c r="AF950" s="5">
        <f t="shared" si="393"/>
        <v>-11.515052995045011</v>
      </c>
      <c r="AG950">
        <f t="shared" si="404"/>
        <v>0</v>
      </c>
    </row>
    <row r="951" spans="1:33" x14ac:dyDescent="0.2">
      <c r="A951">
        <f t="shared" si="394"/>
        <v>9.1899999999998485</v>
      </c>
      <c r="B951" s="5">
        <f t="shared" si="395"/>
        <v>0</v>
      </c>
      <c r="C951" s="5">
        <f t="shared" si="396"/>
        <v>1195.1007607739707</v>
      </c>
      <c r="D951" s="5">
        <f t="shared" si="397"/>
        <v>-341.529806349598</v>
      </c>
      <c r="E951" s="2">
        <f t="shared" si="379"/>
        <v>398.36692025799022</v>
      </c>
      <c r="F951" s="2">
        <f t="shared" si="398"/>
        <v>0</v>
      </c>
      <c r="G951" s="3">
        <f t="shared" si="399"/>
        <v>0</v>
      </c>
      <c r="H951" s="3">
        <f t="shared" si="400"/>
        <v>89.926045392457397</v>
      </c>
      <c r="I951" s="3">
        <f t="shared" si="401"/>
        <v>-110.66238713271312</v>
      </c>
      <c r="J951" s="2">
        <f t="shared" si="380"/>
        <v>142.59332931745712</v>
      </c>
      <c r="K951" s="2">
        <f t="shared" si="402"/>
        <v>97.200633481565859</v>
      </c>
      <c r="L951" s="5">
        <f t="shared" si="381"/>
        <v>24.541255386794795</v>
      </c>
      <c r="M951" s="3">
        <f t="shared" si="382"/>
        <v>15.119762141759272</v>
      </c>
      <c r="N951" s="2">
        <v>0</v>
      </c>
      <c r="O951" s="2">
        <f t="shared" si="383"/>
        <v>142.59332931745712</v>
      </c>
      <c r="P951" s="2">
        <f t="shared" si="384"/>
        <v>97.200633481565859</v>
      </c>
      <c r="Q951" s="5">
        <f t="shared" si="385"/>
        <v>1.2017725393759005</v>
      </c>
      <c r="R951" s="5">
        <f t="shared" si="386"/>
        <v>0.15461162828418024</v>
      </c>
      <c r="S951" s="4">
        <f t="shared" si="403"/>
        <v>0.10603414769913939</v>
      </c>
      <c r="T951" s="5">
        <f t="shared" si="387"/>
        <v>9.3495305288765845E-2</v>
      </c>
      <c r="U951" s="4">
        <f t="shared" si="388"/>
        <v>0</v>
      </c>
      <c r="V951" s="4">
        <f t="shared" si="389"/>
        <v>0</v>
      </c>
      <c r="W951" s="5">
        <f t="shared" si="390"/>
        <v>0</v>
      </c>
      <c r="X951" s="5">
        <f t="shared" si="391"/>
        <v>-11.265894936044127</v>
      </c>
      <c r="Y951" s="5">
        <f t="shared" si="392"/>
        <v>13.863734598447673</v>
      </c>
      <c r="Z951" s="5">
        <f>1</f>
        <v>1</v>
      </c>
      <c r="AA951" s="5">
        <f>IF(M951=0,0,const*($T951/omega)*O951*(wy*I951-wz*(H951-V951))/Z951)</f>
        <v>0</v>
      </c>
      <c r="AB951" s="5">
        <f>IF(M951=0,0,const*($T951/omega)*O951*(wz*(G951-U951)-wx*I951)/Z951)</f>
        <v>8.3835485927478359</v>
      </c>
      <c r="AC951" s="5">
        <f>IF(M951=0,0,const*($T951/omega)*O951*(wx*(H951-V951)-wy*(G951-U951))/Z951)</f>
        <v>6.8126071634185141</v>
      </c>
      <c r="AD951" s="5">
        <f t="shared" si="405"/>
        <v>0</v>
      </c>
      <c r="AE951" s="5">
        <f t="shared" si="405"/>
        <v>-2.882346343296291</v>
      </c>
      <c r="AF951" s="5">
        <f t="shared" si="393"/>
        <v>-11.497658238133813</v>
      </c>
      <c r="AG951">
        <f t="shared" si="404"/>
        <v>0</v>
      </c>
    </row>
    <row r="952" spans="1:33" x14ac:dyDescent="0.2">
      <c r="A952">
        <f t="shared" si="394"/>
        <v>9.1999999999998483</v>
      </c>
      <c r="B952" s="5">
        <f t="shared" si="395"/>
        <v>0</v>
      </c>
      <c r="C952" s="5">
        <f t="shared" si="396"/>
        <v>1195.9998771105782</v>
      </c>
      <c r="D952" s="5">
        <f t="shared" si="397"/>
        <v>-342.63700510383705</v>
      </c>
      <c r="E952" s="2">
        <f t="shared" si="379"/>
        <v>398.66662570352605</v>
      </c>
      <c r="F952" s="2">
        <f t="shared" si="398"/>
        <v>0</v>
      </c>
      <c r="G952" s="3">
        <f t="shared" si="399"/>
        <v>0</v>
      </c>
      <c r="H952" s="3">
        <f t="shared" si="400"/>
        <v>89.89722192902444</v>
      </c>
      <c r="I952" s="3">
        <f t="shared" si="401"/>
        <v>-110.77736371509445</v>
      </c>
      <c r="J952" s="2">
        <f t="shared" si="380"/>
        <v>142.66441329996277</v>
      </c>
      <c r="K952" s="2">
        <f t="shared" si="402"/>
        <v>97.249088820697182</v>
      </c>
      <c r="L952" s="5">
        <f t="shared" si="381"/>
        <v>24.529027458832733</v>
      </c>
      <c r="M952" s="3">
        <f t="shared" si="382"/>
        <v>15.110778268594791</v>
      </c>
      <c r="N952" s="2">
        <v>0</v>
      </c>
      <c r="O952" s="2">
        <f t="shared" si="383"/>
        <v>142.66441329996277</v>
      </c>
      <c r="P952" s="2">
        <f t="shared" si="384"/>
        <v>97.249088820697182</v>
      </c>
      <c r="Q952" s="5">
        <f t="shared" si="385"/>
        <v>1.2023716331664283</v>
      </c>
      <c r="R952" s="5">
        <f t="shared" si="386"/>
        <v>0.15458745733610821</v>
      </c>
      <c r="S952" s="4">
        <f t="shared" si="403"/>
        <v>0.10591834304763327</v>
      </c>
      <c r="T952" s="5">
        <f t="shared" si="387"/>
        <v>9.3454447731053852E-2</v>
      </c>
      <c r="U952" s="4">
        <f t="shared" si="388"/>
        <v>0</v>
      </c>
      <c r="V952" s="4">
        <f t="shared" si="389"/>
        <v>0</v>
      </c>
      <c r="W952" s="5">
        <f t="shared" si="390"/>
        <v>0</v>
      </c>
      <c r="X952" s="5">
        <f t="shared" si="391"/>
        <v>-11.266136741450648</v>
      </c>
      <c r="Y952" s="5">
        <f t="shared" si="392"/>
        <v>13.882886486269987</v>
      </c>
      <c r="Z952" s="5">
        <f>1</f>
        <v>1</v>
      </c>
      <c r="AA952" s="5">
        <f>IF(M952=0,0,const*($T952/omega)*O952*(wy*I952-wz*(H952-V952))/Z952)</f>
        <v>0</v>
      </c>
      <c r="AB952" s="5">
        <f>IF(M952=0,0,const*($T952/omega)*O952*(wz*(G952-U952)-wx*I952)/Z952)</f>
        <v>8.3927733326151568</v>
      </c>
      <c r="AC952" s="5">
        <f>IF(M952=0,0,const*($T952/omega)*O952*(wx*(H952-V952)-wy*(G952-U952))/Z952)</f>
        <v>6.8108409658723161</v>
      </c>
      <c r="AD952" s="5">
        <f t="shared" si="405"/>
        <v>0</v>
      </c>
      <c r="AE952" s="5">
        <f t="shared" si="405"/>
        <v>-2.8733634088354911</v>
      </c>
      <c r="AF952" s="5">
        <f t="shared" si="393"/>
        <v>-11.480272547857695</v>
      </c>
      <c r="AG952">
        <f t="shared" si="404"/>
        <v>0</v>
      </c>
    </row>
    <row r="953" spans="1:33" x14ac:dyDescent="0.2">
      <c r="A953">
        <f t="shared" si="394"/>
        <v>9.2099999999998481</v>
      </c>
      <c r="B953" s="5">
        <f t="shared" si="395"/>
        <v>0</v>
      </c>
      <c r="C953" s="5">
        <f t="shared" si="396"/>
        <v>1196.8987056616979</v>
      </c>
      <c r="D953" s="5">
        <f t="shared" si="397"/>
        <v>-343.7453527546154</v>
      </c>
      <c r="E953" s="2">
        <f t="shared" si="379"/>
        <v>398.96623522056598</v>
      </c>
      <c r="F953" s="2">
        <f t="shared" si="398"/>
        <v>0</v>
      </c>
      <c r="G953" s="3">
        <f t="shared" si="399"/>
        <v>0</v>
      </c>
      <c r="H953" s="3">
        <f t="shared" si="400"/>
        <v>89.868488294936085</v>
      </c>
      <c r="I953" s="3">
        <f t="shared" si="401"/>
        <v>-110.89216644057304</v>
      </c>
      <c r="J953" s="2">
        <f t="shared" si="380"/>
        <v>142.73548180568423</v>
      </c>
      <c r="K953" s="2">
        <f t="shared" si="402"/>
        <v>97.297533609873369</v>
      </c>
      <c r="L953" s="5">
        <f t="shared" si="381"/>
        <v>24.516814368532785</v>
      </c>
      <c r="M953" s="3">
        <f t="shared" si="382"/>
        <v>15.101794213334317</v>
      </c>
      <c r="N953" s="2">
        <v>0</v>
      </c>
      <c r="O953" s="2">
        <f t="shared" si="383"/>
        <v>142.73548180568423</v>
      </c>
      <c r="P953" s="2">
        <f t="shared" si="384"/>
        <v>97.297533609873369</v>
      </c>
      <c r="Q953" s="5">
        <f t="shared" si="385"/>
        <v>1.2029705965190574</v>
      </c>
      <c r="R953" s="5">
        <f t="shared" si="386"/>
        <v>0.1545633125910893</v>
      </c>
      <c r="S953" s="4">
        <f t="shared" si="403"/>
        <v>0.10580266393673189</v>
      </c>
      <c r="T953" s="5">
        <f t="shared" si="387"/>
        <v>9.3413607697988288E-2</v>
      </c>
      <c r="U953" s="4">
        <f t="shared" si="388"/>
        <v>0</v>
      </c>
      <c r="V953" s="4">
        <f t="shared" si="389"/>
        <v>0</v>
      </c>
      <c r="W953" s="5">
        <f t="shared" si="390"/>
        <v>0</v>
      </c>
      <c r="X953" s="5">
        <f t="shared" si="391"/>
        <v>-11.266386271234129</v>
      </c>
      <c r="Y953" s="5">
        <f t="shared" si="392"/>
        <v>13.902025117784037</v>
      </c>
      <c r="Z953" s="5">
        <f>1</f>
        <v>1</v>
      </c>
      <c r="AA953" s="5">
        <f>IF(M953=0,0,const*($T953/omega)*O953*(wy*I953-wz*(H953-V953))/Z953)</f>
        <v>0</v>
      </c>
      <c r="AB953" s="5">
        <f>IF(M953=0,0,const*($T953/omega)*O953*(wz*(G953-U953)-wx*I953)/Z953)</f>
        <v>8.4019829724788444</v>
      </c>
      <c r="AC953" s="5">
        <f>IF(M953=0,0,const*($T953/omega)*O953*(wx*(H953-V953)-wy*(G953-U953))/Z953)</f>
        <v>6.8090788795357362</v>
      </c>
      <c r="AD953" s="5">
        <f t="shared" si="405"/>
        <v>0</v>
      </c>
      <c r="AE953" s="5">
        <f t="shared" si="405"/>
        <v>-2.8644032987552848</v>
      </c>
      <c r="AF953" s="5">
        <f t="shared" si="393"/>
        <v>-11.462896002680225</v>
      </c>
      <c r="AG953">
        <f t="shared" si="404"/>
        <v>0</v>
      </c>
    </row>
    <row r="954" spans="1:33" x14ac:dyDescent="0.2">
      <c r="A954">
        <f t="shared" si="394"/>
        <v>9.2199999999998479</v>
      </c>
      <c r="B954" s="5">
        <f t="shared" si="395"/>
        <v>0</v>
      </c>
      <c r="C954" s="5">
        <f t="shared" si="396"/>
        <v>1197.7972473244822</v>
      </c>
      <c r="D954" s="5">
        <f t="shared" si="397"/>
        <v>-344.85484756382124</v>
      </c>
      <c r="E954" s="2">
        <f t="shared" si="379"/>
        <v>399.26574910816072</v>
      </c>
      <c r="F954" s="2">
        <f t="shared" si="398"/>
        <v>0</v>
      </c>
      <c r="G954" s="3">
        <f t="shared" si="399"/>
        <v>0</v>
      </c>
      <c r="H954" s="3">
        <f t="shared" si="400"/>
        <v>89.839844261948528</v>
      </c>
      <c r="I954" s="3">
        <f t="shared" si="401"/>
        <v>-111.00679540059984</v>
      </c>
      <c r="J954" s="2">
        <f t="shared" si="380"/>
        <v>142.80653431171069</v>
      </c>
      <c r="K954" s="2">
        <f t="shared" si="402"/>
        <v>97.345967492645315</v>
      </c>
      <c r="L954" s="5">
        <f t="shared" si="381"/>
        <v>24.50461617949987</v>
      </c>
      <c r="M954" s="3">
        <f t="shared" si="382"/>
        <v>15.092810005448293</v>
      </c>
      <c r="N954" s="2">
        <v>0</v>
      </c>
      <c r="O954" s="2">
        <f t="shared" si="383"/>
        <v>142.80653431171069</v>
      </c>
      <c r="P954" s="2">
        <f t="shared" si="384"/>
        <v>97.345967492645315</v>
      </c>
      <c r="Q954" s="5">
        <f t="shared" si="385"/>
        <v>1.2035694250267102</v>
      </c>
      <c r="R954" s="5">
        <f t="shared" si="386"/>
        <v>0.15453919412599981</v>
      </c>
      <c r="S954" s="4">
        <f t="shared" si="403"/>
        <v>0.10568711073475455</v>
      </c>
      <c r="T954" s="5">
        <f t="shared" si="387"/>
        <v>9.3372785360092608E-2</v>
      </c>
      <c r="U954" s="4">
        <f t="shared" si="388"/>
        <v>0</v>
      </c>
      <c r="V954" s="4">
        <f t="shared" si="389"/>
        <v>0</v>
      </c>
      <c r="W954" s="5">
        <f t="shared" si="390"/>
        <v>0</v>
      </c>
      <c r="X954" s="5">
        <f t="shared" si="391"/>
        <v>-11.26664347711464</v>
      </c>
      <c r="Y954" s="5">
        <f t="shared" si="392"/>
        <v>13.921150438205821</v>
      </c>
      <c r="Z954" s="5">
        <f>1</f>
        <v>1</v>
      </c>
      <c r="AA954" s="5">
        <f>IF(M954=0,0,const*($T954/omega)*O954*(wy*I954-wz*(H954-V954))/Z954)</f>
        <v>0</v>
      </c>
      <c r="AB954" s="5">
        <f>IF(M954=0,0,const*($T954/omega)*O954*(wz*(G954-U954)-wx*I954)/Z954)</f>
        <v>8.41117749567365</v>
      </c>
      <c r="AC954" s="5">
        <f>IF(M954=0,0,const*($T954/omega)*O954*(wx*(H954-V954)-wy*(G954-U954))/Z954)</f>
        <v>6.8073208810678238</v>
      </c>
      <c r="AD954" s="5">
        <f t="shared" si="405"/>
        <v>0</v>
      </c>
      <c r="AE954" s="5">
        <f t="shared" si="405"/>
        <v>-2.8554659814409895</v>
      </c>
      <c r="AF954" s="5">
        <f t="shared" si="393"/>
        <v>-11.445528680726355</v>
      </c>
      <c r="AG954">
        <f t="shared" si="404"/>
        <v>0</v>
      </c>
    </row>
    <row r="955" spans="1:33" x14ac:dyDescent="0.2">
      <c r="A955">
        <f t="shared" si="394"/>
        <v>9.2299999999998477</v>
      </c>
      <c r="B955" s="5">
        <f t="shared" si="395"/>
        <v>0</v>
      </c>
      <c r="C955" s="5">
        <f t="shared" si="396"/>
        <v>1198.6955029938026</v>
      </c>
      <c r="D955" s="5">
        <f t="shared" si="397"/>
        <v>-345.96548779426126</v>
      </c>
      <c r="E955" s="2">
        <f t="shared" si="379"/>
        <v>399.56516766460089</v>
      </c>
      <c r="F955" s="2">
        <f t="shared" si="398"/>
        <v>0</v>
      </c>
      <c r="G955" s="3">
        <f t="shared" si="399"/>
        <v>0</v>
      </c>
      <c r="H955" s="3">
        <f t="shared" si="400"/>
        <v>89.811289602134124</v>
      </c>
      <c r="I955" s="3">
        <f t="shared" si="401"/>
        <v>-111.1212506874071</v>
      </c>
      <c r="J955" s="2">
        <f t="shared" si="380"/>
        <v>142.87757029825212</v>
      </c>
      <c r="K955" s="2">
        <f t="shared" si="402"/>
        <v>97.394390114691291</v>
      </c>
      <c r="L955" s="5">
        <f t="shared" si="381"/>
        <v>24.492432954508736</v>
      </c>
      <c r="M955" s="3">
        <f t="shared" si="382"/>
        <v>15.083825674315078</v>
      </c>
      <c r="N955" s="2">
        <v>0</v>
      </c>
      <c r="O955" s="2">
        <f t="shared" si="383"/>
        <v>142.87757029825212</v>
      </c>
      <c r="P955" s="2">
        <f t="shared" si="384"/>
        <v>97.394390114691291</v>
      </c>
      <c r="Q955" s="5">
        <f t="shared" si="385"/>
        <v>1.2041681143086116</v>
      </c>
      <c r="R955" s="5">
        <f t="shared" si="386"/>
        <v>0.15451510201661159</v>
      </c>
      <c r="S955" s="4">
        <f t="shared" si="403"/>
        <v>0.10557168380472945</v>
      </c>
      <c r="T955" s="5">
        <f t="shared" si="387"/>
        <v>9.3331980886437918E-2</v>
      </c>
      <c r="U955" s="4">
        <f t="shared" si="388"/>
        <v>0</v>
      </c>
      <c r="V955" s="4">
        <f t="shared" si="389"/>
        <v>0</v>
      </c>
      <c r="W955" s="5">
        <f t="shared" si="390"/>
        <v>0</v>
      </c>
      <c r="X955" s="5">
        <f t="shared" si="391"/>
        <v>-11.266908311048551</v>
      </c>
      <c r="Y955" s="5">
        <f t="shared" si="392"/>
        <v>13.940262392962079</v>
      </c>
      <c r="Z955" s="5">
        <f>1</f>
        <v>1</v>
      </c>
      <c r="AA955" s="5">
        <f>IF(M955=0,0,const*($T955/omega)*O955*(wy*I955-wz*(H955-V955))/Z955)</f>
        <v>0</v>
      </c>
      <c r="AB955" s="5">
        <f>IF(M955=0,0,const*($T955/omega)*O955*(wz*(G955-U955)-wx*I955)/Z955)</f>
        <v>8.4203568857106976</v>
      </c>
      <c r="AC955" s="5">
        <f>IF(M955=0,0,const*($T955/omega)*O955*(wx*(H955-V955)-wy*(G955-U955))/Z955)</f>
        <v>6.8055669472552962</v>
      </c>
      <c r="AD955" s="5">
        <f t="shared" si="405"/>
        <v>0</v>
      </c>
      <c r="AE955" s="5">
        <f t="shared" si="405"/>
        <v>-2.8465514253378537</v>
      </c>
      <c r="AF955" s="5">
        <f t="shared" si="393"/>
        <v>-11.428170659782623</v>
      </c>
      <c r="AG955">
        <f t="shared" si="404"/>
        <v>0</v>
      </c>
    </row>
    <row r="956" spans="1:33" x14ac:dyDescent="0.2">
      <c r="A956">
        <f t="shared" si="394"/>
        <v>9.2399999999998474</v>
      </c>
      <c r="B956" s="5">
        <f t="shared" si="395"/>
        <v>0</v>
      </c>
      <c r="C956" s="5">
        <f t="shared" si="396"/>
        <v>1199.5934735622527</v>
      </c>
      <c r="D956" s="5">
        <f t="shared" si="397"/>
        <v>-347.07727170966837</v>
      </c>
      <c r="E956" s="2">
        <f t="shared" si="379"/>
        <v>399.86449118741757</v>
      </c>
      <c r="F956" s="2">
        <f t="shared" si="398"/>
        <v>0</v>
      </c>
      <c r="G956" s="3">
        <f t="shared" si="399"/>
        <v>0</v>
      </c>
      <c r="H956" s="3">
        <f t="shared" si="400"/>
        <v>89.782824087880741</v>
      </c>
      <c r="I956" s="3">
        <f t="shared" si="401"/>
        <v>-111.23553239400492</v>
      </c>
      <c r="J956" s="2">
        <f t="shared" si="380"/>
        <v>142.94858924862831</v>
      </c>
      <c r="K956" s="2">
        <f t="shared" si="402"/>
        <v>97.442801123809346</v>
      </c>
      <c r="L956" s="5">
        <f t="shared" si="381"/>
        <v>24.48026475550984</v>
      </c>
      <c r="M956" s="3">
        <f t="shared" si="382"/>
        <v>15.074841249220851</v>
      </c>
      <c r="N956" s="2">
        <v>0</v>
      </c>
      <c r="O956" s="2">
        <f t="shared" si="383"/>
        <v>142.94858924862831</v>
      </c>
      <c r="P956" s="2">
        <f t="shared" si="384"/>
        <v>97.442801123809346</v>
      </c>
      <c r="Q956" s="5">
        <f t="shared" si="385"/>
        <v>1.2047666600101947</v>
      </c>
      <c r="R956" s="5">
        <f t="shared" si="386"/>
        <v>0.15449103633760009</v>
      </c>
      <c r="S956" s="4">
        <f t="shared" si="403"/>
        <v>0.10545638350443186</v>
      </c>
      <c r="T956" s="5">
        <f t="shared" si="387"/>
        <v>9.3291194444651018E-2</v>
      </c>
      <c r="U956" s="4">
        <f t="shared" si="388"/>
        <v>0</v>
      </c>
      <c r="V956" s="4">
        <f t="shared" si="389"/>
        <v>0</v>
      </c>
      <c r="W956" s="5">
        <f t="shared" si="390"/>
        <v>0</v>
      </c>
      <c r="X956" s="5">
        <f t="shared" si="391"/>
        <v>-11.267180725227211</v>
      </c>
      <c r="Y956" s="5">
        <f t="shared" si="392"/>
        <v>13.959360927691028</v>
      </c>
      <c r="Z956" s="5">
        <f>1</f>
        <v>1</v>
      </c>
      <c r="AA956" s="5">
        <f>IF(M956=0,0,const*($T956/omega)*O956*(wy*I956-wz*(H956-V956))/Z956)</f>
        <v>0</v>
      </c>
      <c r="AB956" s="5">
        <f>IF(M956=0,0,const*($T956/omega)*O956*(wz*(G956-U956)-wx*I956)/Z956)</f>
        <v>8.4295211262773897</v>
      </c>
      <c r="AC956" s="5">
        <f>IF(M956=0,0,const*($T956/omega)*O956*(wx*(H956-V956)-wy*(G956-U956))/Z956)</f>
        <v>6.8038170550117014</v>
      </c>
      <c r="AD956" s="5">
        <f t="shared" si="405"/>
        <v>0</v>
      </c>
      <c r="AE956" s="5">
        <f t="shared" si="405"/>
        <v>-2.8376595989498217</v>
      </c>
      <c r="AF956" s="5">
        <f t="shared" si="393"/>
        <v>-11.410822017297271</v>
      </c>
      <c r="AG956">
        <f t="shared" si="404"/>
        <v>0</v>
      </c>
    </row>
    <row r="957" spans="1:33" x14ac:dyDescent="0.2">
      <c r="A957">
        <f t="shared" si="394"/>
        <v>9.2499999999998472</v>
      </c>
      <c r="B957" s="5">
        <f t="shared" si="395"/>
        <v>0</v>
      </c>
      <c r="C957" s="5">
        <f t="shared" si="396"/>
        <v>1200.4911599201516</v>
      </c>
      <c r="D957" s="5">
        <f t="shared" si="397"/>
        <v>-348.19019757470926</v>
      </c>
      <c r="E957" s="2">
        <f t="shared" si="379"/>
        <v>400.16371997338388</v>
      </c>
      <c r="F957" s="2">
        <f t="shared" si="398"/>
        <v>0</v>
      </c>
      <c r="G957" s="3">
        <f t="shared" si="399"/>
        <v>0</v>
      </c>
      <c r="H957" s="3">
        <f t="shared" si="400"/>
        <v>89.754447491891241</v>
      </c>
      <c r="I957" s="3">
        <f t="shared" si="401"/>
        <v>-111.34964061417789</v>
      </c>
      <c r="J957" s="2">
        <f t="shared" si="380"/>
        <v>143.01959064925768</v>
      </c>
      <c r="K957" s="2">
        <f t="shared" si="402"/>
        <v>97.491200169909803</v>
      </c>
      <c r="L957" s="5">
        <f t="shared" si="381"/>
        <v>24.46811164363525</v>
      </c>
      <c r="M957" s="3">
        <f t="shared" si="382"/>
        <v>15.065856759359443</v>
      </c>
      <c r="N957" s="2">
        <v>0</v>
      </c>
      <c r="O957" s="2">
        <f t="shared" si="383"/>
        <v>143.01959064925768</v>
      </c>
      <c r="P957" s="2">
        <f t="shared" si="384"/>
        <v>97.491200169909803</v>
      </c>
      <c r="Q957" s="5">
        <f t="shared" si="385"/>
        <v>1.2053650578030088</v>
      </c>
      <c r="R957" s="5">
        <f t="shared" si="386"/>
        <v>0.15446699716255224</v>
      </c>
      <c r="S957" s="4">
        <f t="shared" si="403"/>
        <v>0.10534121018642169</v>
      </c>
      <c r="T957" s="5">
        <f t="shared" si="387"/>
        <v>9.3250426200922304E-2</v>
      </c>
      <c r="U957" s="4">
        <f t="shared" si="388"/>
        <v>0</v>
      </c>
      <c r="V957" s="4">
        <f t="shared" si="389"/>
        <v>0</v>
      </c>
      <c r="W957" s="5">
        <f t="shared" si="390"/>
        <v>0</v>
      </c>
      <c r="X957" s="5">
        <f t="shared" si="391"/>
        <v>-11.26746067207554</v>
      </c>
      <c r="Y957" s="5">
        <f t="shared" si="392"/>
        <v>13.978445988243006</v>
      </c>
      <c r="Z957" s="5">
        <f>1</f>
        <v>1</v>
      </c>
      <c r="AA957" s="5">
        <f>IF(M957=0,0,const*($T957/omega)*O957*(wy*I957-wz*(H957-V957))/Z957)</f>
        <v>0</v>
      </c>
      <c r="AB957" s="5">
        <f>IF(M957=0,0,const*($T957/omega)*O957*(wz*(G957-U957)-wx*I957)/Z957)</f>
        <v>8.4386702012372776</v>
      </c>
      <c r="AC957" s="5">
        <f>IF(M957=0,0,const*($T957/omega)*O957*(wx*(H957-V957)-wy*(G957-U957))/Z957)</f>
        <v>6.8020711813765802</v>
      </c>
      <c r="AD957" s="5">
        <f t="shared" si="405"/>
        <v>0</v>
      </c>
      <c r="AE957" s="5">
        <f t="shared" si="405"/>
        <v>-2.8287904708382623</v>
      </c>
      <c r="AF957" s="5">
        <f t="shared" si="393"/>
        <v>-11.393482830380414</v>
      </c>
      <c r="AG957">
        <f t="shared" si="404"/>
        <v>0</v>
      </c>
    </row>
    <row r="958" spans="1:33" x14ac:dyDescent="0.2">
      <c r="A958">
        <f t="shared" si="394"/>
        <v>9.259999999999847</v>
      </c>
      <c r="B958" s="5">
        <f t="shared" si="395"/>
        <v>0</v>
      </c>
      <c r="C958" s="5">
        <f t="shared" si="396"/>
        <v>1201.3885629555471</v>
      </c>
      <c r="D958" s="5">
        <f t="shared" si="397"/>
        <v>-349.30426365499255</v>
      </c>
      <c r="E958" s="2">
        <f t="shared" si="379"/>
        <v>400.46285431851567</v>
      </c>
      <c r="F958" s="2">
        <f t="shared" si="398"/>
        <v>0</v>
      </c>
      <c r="G958" s="3">
        <f t="shared" si="399"/>
        <v>0</v>
      </c>
      <c r="H958" s="3">
        <f t="shared" si="400"/>
        <v>89.726159587182863</v>
      </c>
      <c r="I958" s="3">
        <f t="shared" si="401"/>
        <v>-111.46357544248168</v>
      </c>
      <c r="J958" s="2">
        <f t="shared" si="380"/>
        <v>143.0905739896462</v>
      </c>
      <c r="K958" s="2">
        <f t="shared" si="402"/>
        <v>97.539586905007624</v>
      </c>
      <c r="L958" s="5">
        <f t="shared" si="381"/>
        <v>24.45597367920448</v>
      </c>
      <c r="M958" s="3">
        <f t="shared" si="382"/>
        <v>15.056872233832227</v>
      </c>
      <c r="N958" s="2">
        <v>0</v>
      </c>
      <c r="O958" s="2">
        <f t="shared" si="383"/>
        <v>143.0905739896462</v>
      </c>
      <c r="P958" s="2">
        <f t="shared" si="384"/>
        <v>97.539586905007624</v>
      </c>
      <c r="Q958" s="5">
        <f t="shared" si="385"/>
        <v>1.2059633033846251</v>
      </c>
      <c r="R958" s="5">
        <f t="shared" si="386"/>
        <v>0.15444298456397437</v>
      </c>
      <c r="S958" s="4">
        <f t="shared" si="403"/>
        <v>0.1052261641980814</v>
      </c>
      <c r="T958" s="5">
        <f t="shared" si="387"/>
        <v>9.3209676320013632E-2</v>
      </c>
      <c r="U958" s="4">
        <f t="shared" si="388"/>
        <v>0</v>
      </c>
      <c r="V958" s="4">
        <f t="shared" si="389"/>
        <v>0</v>
      </c>
      <c r="W958" s="5">
        <f t="shared" si="390"/>
        <v>0</v>
      </c>
      <c r="X958" s="5">
        <f t="shared" si="391"/>
        <v>-11.267748104250673</v>
      </c>
      <c r="Y958" s="5">
        <f t="shared" si="392"/>
        <v>13.997517520681146</v>
      </c>
      <c r="Z958" s="5">
        <f>1</f>
        <v>1</v>
      </c>
      <c r="AA958" s="5">
        <f>IF(M958=0,0,const*($T958/omega)*O958*(wy*I958-wz*(H958-V958))/Z958)</f>
        <v>0</v>
      </c>
      <c r="AB958" s="5">
        <f>IF(M958=0,0,const*($T958/omega)*O958*(wz*(G958-U958)-wx*I958)/Z958)</f>
        <v>8.4478040946299284</v>
      </c>
      <c r="AC958" s="5">
        <f>IF(M958=0,0,const*($T958/omega)*O958*(wx*(H958-V958)-wy*(G958-U958))/Z958)</f>
        <v>6.8003293035146299</v>
      </c>
      <c r="AD958" s="5">
        <f t="shared" si="405"/>
        <v>0</v>
      </c>
      <c r="AE958" s="5">
        <f t="shared" si="405"/>
        <v>-2.8199440096207447</v>
      </c>
      <c r="AF958" s="5">
        <f t="shared" si="393"/>
        <v>-11.376153175804223</v>
      </c>
      <c r="AG958">
        <f t="shared" si="404"/>
        <v>0</v>
      </c>
    </row>
    <row r="959" spans="1:33" x14ac:dyDescent="0.2">
      <c r="A959">
        <f t="shared" si="394"/>
        <v>9.2699999999998468</v>
      </c>
      <c r="B959" s="5">
        <f t="shared" si="395"/>
        <v>0</v>
      </c>
      <c r="C959" s="5">
        <f t="shared" si="396"/>
        <v>1202.2856835542184</v>
      </c>
      <c r="D959" s="5">
        <f t="shared" si="397"/>
        <v>-350.41946821707614</v>
      </c>
      <c r="E959" s="2">
        <f t="shared" si="379"/>
        <v>400.76189451807278</v>
      </c>
      <c r="F959" s="2">
        <f t="shared" si="398"/>
        <v>0</v>
      </c>
      <c r="G959" s="3">
        <f t="shared" si="399"/>
        <v>0</v>
      </c>
      <c r="H959" s="3">
        <f t="shared" si="400"/>
        <v>89.697960147086661</v>
      </c>
      <c r="I959" s="3">
        <f t="shared" si="401"/>
        <v>-111.57733697423973</v>
      </c>
      <c r="J959" s="2">
        <f t="shared" si="380"/>
        <v>143.16153876237635</v>
      </c>
      <c r="K959" s="2">
        <f t="shared" si="402"/>
        <v>97.587960983214955</v>
      </c>
      <c r="L959" s="5">
        <f t="shared" si="381"/>
        <v>24.443850921730355</v>
      </c>
      <c r="M959" s="3">
        <f t="shared" si="382"/>
        <v>15.047887701647978</v>
      </c>
      <c r="N959" s="2">
        <v>0</v>
      </c>
      <c r="O959" s="2">
        <f t="shared" si="383"/>
        <v>143.16153876237635</v>
      </c>
      <c r="P959" s="2">
        <f t="shared" si="384"/>
        <v>97.587960983214955</v>
      </c>
      <c r="Q959" s="5">
        <f t="shared" si="385"/>
        <v>1.2065613924785425</v>
      </c>
      <c r="R959" s="5">
        <f t="shared" si="386"/>
        <v>0.1544189986132998</v>
      </c>
      <c r="S959" s="4">
        <f t="shared" si="403"/>
        <v>0.10511124588165328</v>
      </c>
      <c r="T959" s="5">
        <f t="shared" si="387"/>
        <v>9.3168944965266384E-2</v>
      </c>
      <c r="U959" s="4">
        <f t="shared" si="388"/>
        <v>0</v>
      </c>
      <c r="V959" s="4">
        <f t="shared" si="389"/>
        <v>0</v>
      </c>
      <c r="W959" s="5">
        <f t="shared" si="390"/>
        <v>0</v>
      </c>
      <c r="X959" s="5">
        <f t="shared" si="391"/>
        <v>-11.268042974640585</v>
      </c>
      <c r="Y959" s="5">
        <f t="shared" si="392"/>
        <v>14.016575471282019</v>
      </c>
      <c r="Z959" s="5">
        <f>1</f>
        <v>1</v>
      </c>
      <c r="AA959" s="5">
        <f>IF(M959=0,0,const*($T959/omega)*O959*(wy*I959-wz*(H959-V959))/Z959)</f>
        <v>0</v>
      </c>
      <c r="AB959" s="5">
        <f>IF(M959=0,0,const*($T959/omega)*O959*(wz*(G959-U959)-wx*I959)/Z959)</f>
        <v>8.4569227906707969</v>
      </c>
      <c r="AC959" s="5">
        <f>IF(M959=0,0,const*($T959/omega)*O959*(wx*(H959-V959)-wy*(G959-U959))/Z959)</f>
        <v>6.7985913987148807</v>
      </c>
      <c r="AD959" s="5">
        <f t="shared" si="405"/>
        <v>0</v>
      </c>
      <c r="AE959" s="5">
        <f t="shared" si="405"/>
        <v>-2.8111201839697877</v>
      </c>
      <c r="AF959" s="5">
        <f t="shared" si="393"/>
        <v>-11.358833130003099</v>
      </c>
      <c r="AG959">
        <f t="shared" si="404"/>
        <v>0</v>
      </c>
    </row>
    <row r="960" spans="1:33" x14ac:dyDescent="0.2">
      <c r="A960">
        <f t="shared" si="394"/>
        <v>9.2799999999998466</v>
      </c>
      <c r="B960" s="5">
        <f t="shared" si="395"/>
        <v>0</v>
      </c>
      <c r="C960" s="5">
        <f t="shared" si="396"/>
        <v>1203.1825225996799</v>
      </c>
      <c r="D960" s="5">
        <f t="shared" si="397"/>
        <v>-351.53580952847506</v>
      </c>
      <c r="E960" s="2">
        <f t="shared" si="379"/>
        <v>401.06084086656</v>
      </c>
      <c r="F960" s="2">
        <f t="shared" si="398"/>
        <v>0</v>
      </c>
      <c r="G960" s="3">
        <f t="shared" si="399"/>
        <v>0</v>
      </c>
      <c r="H960" s="3">
        <f t="shared" si="400"/>
        <v>89.669848945246969</v>
      </c>
      <c r="I960" s="3">
        <f t="shared" si="401"/>
        <v>-111.69092530553976</v>
      </c>
      <c r="J960" s="2">
        <f t="shared" si="380"/>
        <v>143.23248446309611</v>
      </c>
      <c r="K960" s="2">
        <f t="shared" si="402"/>
        <v>97.636322060733548</v>
      </c>
      <c r="L960" s="5">
        <f t="shared" si="381"/>
        <v>24.431743429924762</v>
      </c>
      <c r="M960" s="3">
        <f t="shared" si="382"/>
        <v>15.038903191722758</v>
      </c>
      <c r="N960" s="2">
        <v>0</v>
      </c>
      <c r="O960" s="2">
        <f t="shared" si="383"/>
        <v>143.23248446309611</v>
      </c>
      <c r="P960" s="2">
        <f t="shared" si="384"/>
        <v>97.636322060733548</v>
      </c>
      <c r="Q960" s="5">
        <f t="shared" si="385"/>
        <v>1.2071593208340967</v>
      </c>
      <c r="R960" s="5">
        <f t="shared" si="386"/>
        <v>0.15439503938089691</v>
      </c>
      <c r="S960" s="4">
        <f t="shared" si="403"/>
        <v>0.10499645557427677</v>
      </c>
      <c r="T960" s="5">
        <f t="shared" si="387"/>
        <v>9.3128232298609046E-2</v>
      </c>
      <c r="U960" s="4">
        <f t="shared" si="388"/>
        <v>0</v>
      </c>
      <c r="V960" s="4">
        <f t="shared" si="389"/>
        <v>0</v>
      </c>
      <c r="W960" s="5">
        <f t="shared" si="390"/>
        <v>0</v>
      </c>
      <c r="X960" s="5">
        <f t="shared" si="391"/>
        <v>-11.268345236362768</v>
      </c>
      <c r="Y960" s="5">
        <f t="shared" si="392"/>
        <v>14.035619786536291</v>
      </c>
      <c r="Z960" s="5">
        <f>1</f>
        <v>1</v>
      </c>
      <c r="AA960" s="5">
        <f>IF(M960=0,0,const*($T960/omega)*O960*(wy*I960-wz*(H960-V960))/Z960)</f>
        <v>0</v>
      </c>
      <c r="AB960" s="5">
        <f>IF(M960=0,0,const*($T960/omega)*O960*(wz*(G960-U960)-wx*I960)/Z960)</f>
        <v>8.4660262737510763</v>
      </c>
      <c r="AC960" s="5">
        <f>IF(M960=0,0,const*($T960/omega)*O960*(wx*(H960-V960)-wy*(G960-U960))/Z960)</f>
        <v>6.7968574443898726</v>
      </c>
      <c r="AD960" s="5">
        <f t="shared" si="405"/>
        <v>0</v>
      </c>
      <c r="AE960" s="5">
        <f t="shared" si="405"/>
        <v>-2.8023189626116913</v>
      </c>
      <c r="AF960" s="5">
        <f t="shared" si="393"/>
        <v>-11.341522769073837</v>
      </c>
      <c r="AG960">
        <f t="shared" si="404"/>
        <v>0</v>
      </c>
    </row>
    <row r="961" spans="1:33" x14ac:dyDescent="0.2">
      <c r="A961">
        <f t="shared" si="394"/>
        <v>9.2899999999998464</v>
      </c>
      <c r="B961" s="5">
        <f t="shared" si="395"/>
        <v>0</v>
      </c>
      <c r="C961" s="5">
        <f t="shared" si="396"/>
        <v>1204.0790809731843</v>
      </c>
      <c r="D961" s="5">
        <f t="shared" si="397"/>
        <v>-352.65328585766889</v>
      </c>
      <c r="E961" s="2">
        <f t="shared" si="379"/>
        <v>401.35969365772809</v>
      </c>
      <c r="F961" s="2">
        <f t="shared" si="398"/>
        <v>0</v>
      </c>
      <c r="G961" s="3">
        <f t="shared" si="399"/>
        <v>0</v>
      </c>
      <c r="H961" s="3">
        <f t="shared" si="400"/>
        <v>89.641825755620857</v>
      </c>
      <c r="I961" s="3">
        <f t="shared" si="401"/>
        <v>-111.8043405332305</v>
      </c>
      <c r="J961" s="2">
        <f t="shared" si="380"/>
        <v>143.30341059050781</v>
      </c>
      <c r="K961" s="2">
        <f t="shared" si="402"/>
        <v>97.684669795847171</v>
      </c>
      <c r="L961" s="5">
        <f t="shared" si="381"/>
        <v>24.419651261704477</v>
      </c>
      <c r="M961" s="3">
        <f t="shared" si="382"/>
        <v>15.029918732879793</v>
      </c>
      <c r="N961" s="2">
        <v>0</v>
      </c>
      <c r="O961" s="2">
        <f t="shared" si="383"/>
        <v>143.30341059050781</v>
      </c>
      <c r="P961" s="2">
        <f t="shared" si="384"/>
        <v>97.684669795847171</v>
      </c>
      <c r="Q961" s="5">
        <f t="shared" si="385"/>
        <v>1.207757084226365</v>
      </c>
      <c r="R961" s="5">
        <f t="shared" si="386"/>
        <v>0.1543711069360767</v>
      </c>
      <c r="S961" s="4">
        <f t="shared" si="403"/>
        <v>0.10488179360802562</v>
      </c>
      <c r="T961" s="5">
        <f t="shared" si="387"/>
        <v>9.3087538480565238E-2</v>
      </c>
      <c r="U961" s="4">
        <f t="shared" si="388"/>
        <v>0</v>
      </c>
      <c r="V961" s="4">
        <f t="shared" si="389"/>
        <v>0</v>
      </c>
      <c r="W961" s="5">
        <f t="shared" si="390"/>
        <v>0</v>
      </c>
      <c r="X961" s="5">
        <f t="shared" si="391"/>
        <v>-11.268654842762865</v>
      </c>
      <c r="Y961" s="5">
        <f t="shared" si="392"/>
        <v>14.054650413149325</v>
      </c>
      <c r="Z961" s="5">
        <f>1</f>
        <v>1</v>
      </c>
      <c r="AA961" s="5">
        <f>IF(M961=0,0,const*($T961/omega)*O961*(wy*I961-wz*(H961-V961))/Z961)</f>
        <v>0</v>
      </c>
      <c r="AB961" s="5">
        <f>IF(M961=0,0,const*($T961/omega)*O961*(wz*(G961-U961)-wx*I961)/Z961)</f>
        <v>8.4751145284375493</v>
      </c>
      <c r="AC961" s="5">
        <f>IF(M961=0,0,const*($T961/omega)*O961*(wx*(H961-V961)-wy*(G961-U961))/Z961)</f>
        <v>6.7951274180748298</v>
      </c>
      <c r="AD961" s="5">
        <f t="shared" si="405"/>
        <v>0</v>
      </c>
      <c r="AE961" s="5">
        <f t="shared" si="405"/>
        <v>-2.7935403143253161</v>
      </c>
      <c r="AF961" s="5">
        <f t="shared" si="393"/>
        <v>-11.324222168775844</v>
      </c>
      <c r="AG961">
        <f t="shared" si="404"/>
        <v>0</v>
      </c>
    </row>
    <row r="962" spans="1:33" x14ac:dyDescent="0.2">
      <c r="A962">
        <f t="shared" si="394"/>
        <v>9.2999999999998462</v>
      </c>
      <c r="B962" s="5">
        <f t="shared" si="395"/>
        <v>0</v>
      </c>
      <c r="C962" s="5">
        <f t="shared" si="396"/>
        <v>1204.9753595537247</v>
      </c>
      <c r="D962" s="5">
        <f t="shared" si="397"/>
        <v>-353.77189547410961</v>
      </c>
      <c r="E962" s="2">
        <f t="shared" si="379"/>
        <v>401.65845318457491</v>
      </c>
      <c r="F962" s="2">
        <f t="shared" si="398"/>
        <v>0</v>
      </c>
      <c r="G962" s="3">
        <f t="shared" si="399"/>
        <v>0</v>
      </c>
      <c r="H962" s="3">
        <f t="shared" si="400"/>
        <v>89.613890352477611</v>
      </c>
      <c r="I962" s="3">
        <f t="shared" si="401"/>
        <v>-111.91758275491826</v>
      </c>
      <c r="J962" s="2">
        <f t="shared" si="380"/>
        <v>143.37431664635704</v>
      </c>
      <c r="K962" s="2">
        <f t="shared" si="402"/>
        <v>97.733003848914137</v>
      </c>
      <c r="L962" s="5">
        <f t="shared" si="381"/>
        <v>24.40757447419691</v>
      </c>
      <c r="M962" s="3">
        <f t="shared" si="382"/>
        <v>15.020934353849361</v>
      </c>
      <c r="N962" s="2">
        <v>0</v>
      </c>
      <c r="O962" s="2">
        <f t="shared" si="383"/>
        <v>143.37431664635704</v>
      </c>
      <c r="P962" s="2">
        <f t="shared" si="384"/>
        <v>97.733003848914137</v>
      </c>
      <c r="Q962" s="5">
        <f t="shared" si="385"/>
        <v>1.2083546784560739</v>
      </c>
      <c r="R962" s="5">
        <f t="shared" si="386"/>
        <v>0.15434720134710059</v>
      </c>
      <c r="S962" s="4">
        <f t="shared" si="403"/>
        <v>0.10476726030994495</v>
      </c>
      <c r="T962" s="5">
        <f t="shared" si="387"/>
        <v>9.3046863670261576E-2</v>
      </c>
      <c r="U962" s="4">
        <f t="shared" si="388"/>
        <v>0</v>
      </c>
      <c r="V962" s="4">
        <f t="shared" si="389"/>
        <v>0</v>
      </c>
      <c r="W962" s="5">
        <f t="shared" si="390"/>
        <v>0</v>
      </c>
      <c r="X962" s="5">
        <f t="shared" si="391"/>
        <v>-11.268971747413348</v>
      </c>
      <c r="Y962" s="5">
        <f t="shared" si="392"/>
        <v>14.073667298041817</v>
      </c>
      <c r="Z962" s="5">
        <f>1</f>
        <v>1</v>
      </c>
      <c r="AA962" s="5">
        <f>IF(M962=0,0,const*($T962/omega)*O962*(wy*I962-wz*(H962-V962))/Z962)</f>
        <v>0</v>
      </c>
      <c r="AB962" s="5">
        <f>IF(M962=0,0,const*($T962/omega)*O962*(wz*(G962-U962)-wx*I962)/Z962)</f>
        <v>8.4841875394724457</v>
      </c>
      <c r="AC962" s="5">
        <f>IF(M962=0,0,const*($T962/omega)*O962*(wx*(H962-V962)-wy*(G962-U962))/Z962)</f>
        <v>6.7934012974268683</v>
      </c>
      <c r="AD962" s="5">
        <f t="shared" si="405"/>
        <v>0</v>
      </c>
      <c r="AE962" s="5">
        <f t="shared" si="405"/>
        <v>-2.784784207940902</v>
      </c>
      <c r="AF962" s="5">
        <f t="shared" si="393"/>
        <v>-11.306931404531312</v>
      </c>
      <c r="AG962">
        <f t="shared" si="404"/>
        <v>0</v>
      </c>
    </row>
    <row r="963" spans="1:33" x14ac:dyDescent="0.2">
      <c r="A963">
        <f t="shared" si="394"/>
        <v>9.309999999999846</v>
      </c>
      <c r="B963" s="5">
        <f t="shared" si="395"/>
        <v>0</v>
      </c>
      <c r="C963" s="5">
        <f t="shared" si="396"/>
        <v>1205.8713592180393</v>
      </c>
      <c r="D963" s="5">
        <f t="shared" si="397"/>
        <v>-354.891636648229</v>
      </c>
      <c r="E963" s="2">
        <f t="shared" si="379"/>
        <v>401.95711973934641</v>
      </c>
      <c r="F963" s="2">
        <f t="shared" si="398"/>
        <v>0</v>
      </c>
      <c r="G963" s="3">
        <f t="shared" si="399"/>
        <v>0</v>
      </c>
      <c r="H963" s="3">
        <f t="shared" si="400"/>
        <v>89.586042510398201</v>
      </c>
      <c r="I963" s="3">
        <f t="shared" si="401"/>
        <v>-112.03065206896358</v>
      </c>
      <c r="J963" s="2">
        <f t="shared" si="380"/>
        <v>143.44520213542191</v>
      </c>
      <c r="K963" s="2">
        <f t="shared" si="402"/>
        <v>97.781323882359857</v>
      </c>
      <c r="L963" s="5">
        <f t="shared" si="381"/>
        <v>24.395513123745761</v>
      </c>
      <c r="M963" s="3">
        <f t="shared" si="382"/>
        <v>15.011950083268667</v>
      </c>
      <c r="N963" s="2">
        <v>0</v>
      </c>
      <c r="O963" s="2">
        <f t="shared" si="383"/>
        <v>143.44520213542191</v>
      </c>
      <c r="P963" s="2">
        <f t="shared" si="384"/>
        <v>97.781323882359857</v>
      </c>
      <c r="Q963" s="5">
        <f t="shared" si="385"/>
        <v>1.2089520993495066</v>
      </c>
      <c r="R963" s="5">
        <f t="shared" si="386"/>
        <v>0.15432332268118801</v>
      </c>
      <c r="S963" s="4">
        <f t="shared" si="403"/>
        <v>0.10465285600208767</v>
      </c>
      <c r="T963" s="5">
        <f t="shared" si="387"/>
        <v>9.3006208025435216E-2</v>
      </c>
      <c r="U963" s="4">
        <f t="shared" si="388"/>
        <v>0</v>
      </c>
      <c r="V963" s="4">
        <f t="shared" si="389"/>
        <v>0</v>
      </c>
      <c r="W963" s="5">
        <f t="shared" si="390"/>
        <v>0</v>
      </c>
      <c r="X963" s="5">
        <f t="shared" si="391"/>
        <v>-11.269295904112189</v>
      </c>
      <c r="Y963" s="5">
        <f t="shared" si="392"/>
        <v>14.092670388350403</v>
      </c>
      <c r="Z963" s="5">
        <f>1</f>
        <v>1</v>
      </c>
      <c r="AA963" s="5">
        <f>IF(M963=0,0,const*($T963/omega)*O963*(wy*I963-wz*(H963-V963))/Z963)</f>
        <v>0</v>
      </c>
      <c r="AB963" s="5">
        <f>IF(M963=0,0,const*($T963/omega)*O963*(wz*(G963-U963)-wx*I963)/Z963)</f>
        <v>8.4932452917732775</v>
      </c>
      <c r="AC963" s="5">
        <f>IF(M963=0,0,const*($T963/omega)*O963*(wx*(H963-V963)-wy*(G963-U963))/Z963)</f>
        <v>6.791679060224177</v>
      </c>
      <c r="AD963" s="5">
        <f t="shared" si="405"/>
        <v>0</v>
      </c>
      <c r="AE963" s="5">
        <f t="shared" si="405"/>
        <v>-2.7760506123389117</v>
      </c>
      <c r="AF963" s="5">
        <f t="shared" si="393"/>
        <v>-11.289650551425421</v>
      </c>
      <c r="AG963">
        <f t="shared" si="404"/>
        <v>0</v>
      </c>
    </row>
    <row r="964" spans="1:33" x14ac:dyDescent="0.2">
      <c r="A964">
        <f t="shared" si="394"/>
        <v>9.3199999999998457</v>
      </c>
      <c r="B964" s="5">
        <f t="shared" si="395"/>
        <v>0</v>
      </c>
      <c r="C964" s="5">
        <f t="shared" si="396"/>
        <v>1206.7670808406126</v>
      </c>
      <c r="D964" s="5">
        <f t="shared" si="397"/>
        <v>-356.01250765144619</v>
      </c>
      <c r="E964" s="2">
        <f t="shared" si="379"/>
        <v>402.25569361353752</v>
      </c>
      <c r="F964" s="2">
        <f t="shared" si="398"/>
        <v>0</v>
      </c>
      <c r="G964" s="3">
        <f t="shared" si="399"/>
        <v>0</v>
      </c>
      <c r="H964" s="3">
        <f t="shared" si="400"/>
        <v>89.558282004274815</v>
      </c>
      <c r="I964" s="3">
        <f t="shared" si="401"/>
        <v>-112.14354857447783</v>
      </c>
      <c r="J964" s="2">
        <f t="shared" si="380"/>
        <v>143.51606656550157</v>
      </c>
      <c r="K964" s="2">
        <f t="shared" si="402"/>
        <v>97.829629560669105</v>
      </c>
      <c r="L964" s="5">
        <f t="shared" si="381"/>
        <v>24.383467265916835</v>
      </c>
      <c r="M964" s="3">
        <f t="shared" si="382"/>
        <v>15.002965949681768</v>
      </c>
      <c r="N964" s="2">
        <v>0</v>
      </c>
      <c r="O964" s="2">
        <f t="shared" si="383"/>
        <v>143.51606656550157</v>
      </c>
      <c r="P964" s="2">
        <f t="shared" si="384"/>
        <v>97.829629560669105</v>
      </c>
      <c r="Q964" s="5">
        <f t="shared" si="385"/>
        <v>1.2095493427584088</v>
      </c>
      <c r="R964" s="5">
        <f t="shared" si="386"/>
        <v>0.15429947100452421</v>
      </c>
      <c r="S964" s="4">
        <f t="shared" si="403"/>
        <v>0.10453858100155167</v>
      </c>
      <c r="T964" s="5">
        <f t="shared" si="387"/>
        <v>9.2965571702441893E-2</v>
      </c>
      <c r="U964" s="4">
        <f t="shared" si="388"/>
        <v>0</v>
      </c>
      <c r="V964" s="4">
        <f t="shared" si="389"/>
        <v>0</v>
      </c>
      <c r="W964" s="5">
        <f t="shared" si="390"/>
        <v>0</v>
      </c>
      <c r="X964" s="5">
        <f t="shared" si="391"/>
        <v>-11.269627266881544</v>
      </c>
      <c r="Y964" s="5">
        <f t="shared" si="392"/>
        <v>14.11165963142823</v>
      </c>
      <c r="Z964" s="5">
        <f>1</f>
        <v>1</v>
      </c>
      <c r="AA964" s="5">
        <f>IF(M964=0,0,const*($T964/omega)*O964*(wy*I964-wz*(H964-V964))/Z964)</f>
        <v>0</v>
      </c>
      <c r="AB964" s="5">
        <f>IF(M964=0,0,const*($T964/omega)*O964*(wz*(G964-U964)-wx*I964)/Z964)</f>
        <v>8.502287770432666</v>
      </c>
      <c r="AC964" s="5">
        <f>IF(M964=0,0,const*($T964/omega)*O964*(wx*(H964-V964)-wy*(G964-U964))/Z964)</f>
        <v>6.7899606843652194</v>
      </c>
      <c r="AD964" s="5">
        <f t="shared" si="405"/>
        <v>0</v>
      </c>
      <c r="AE964" s="5">
        <f t="shared" si="405"/>
        <v>-2.7673394964488782</v>
      </c>
      <c r="AF964" s="5">
        <f t="shared" si="393"/>
        <v>-11.272379684206548</v>
      </c>
      <c r="AG964">
        <f t="shared" si="404"/>
        <v>0</v>
      </c>
    </row>
    <row r="965" spans="1:33" x14ac:dyDescent="0.2">
      <c r="A965">
        <f t="shared" si="394"/>
        <v>9.3299999999998455</v>
      </c>
      <c r="B965" s="5">
        <f t="shared" si="395"/>
        <v>0</v>
      </c>
      <c r="C965" s="5">
        <f t="shared" si="396"/>
        <v>1207.6625252936806</v>
      </c>
      <c r="D965" s="5">
        <f t="shared" si="397"/>
        <v>-357.13450675617514</v>
      </c>
      <c r="E965" s="2">
        <f t="shared" si="379"/>
        <v>402.55417509789351</v>
      </c>
      <c r="F965" s="2">
        <f t="shared" si="398"/>
        <v>0</v>
      </c>
      <c r="G965" s="3">
        <f t="shared" si="399"/>
        <v>0</v>
      </c>
      <c r="H965" s="3">
        <f t="shared" si="400"/>
        <v>89.53060860931032</v>
      </c>
      <c r="I965" s="3">
        <f t="shared" si="401"/>
        <v>-112.25627237131989</v>
      </c>
      <c r="J965" s="2">
        <f t="shared" si="380"/>
        <v>143.58690944740565</v>
      </c>
      <c r="K965" s="2">
        <f t="shared" si="402"/>
        <v>97.877920550378761</v>
      </c>
      <c r="L965" s="5">
        <f t="shared" si="381"/>
        <v>24.371436955503587</v>
      </c>
      <c r="M965" s="3">
        <f t="shared" si="382"/>
        <v>14.993981981539413</v>
      </c>
      <c r="N965" s="2">
        <v>0</v>
      </c>
      <c r="O965" s="2">
        <f t="shared" si="383"/>
        <v>143.58690944740565</v>
      </c>
      <c r="P965" s="2">
        <f t="shared" si="384"/>
        <v>97.877920550378761</v>
      </c>
      <c r="Q965" s="5">
        <f t="shared" si="385"/>
        <v>1.2101464045598975</v>
      </c>
      <c r="R965" s="5">
        <f t="shared" si="386"/>
        <v>0.15427564638226765</v>
      </c>
      <c r="S965" s="4">
        <f t="shared" si="403"/>
        <v>0.10442443562051559</v>
      </c>
      <c r="T965" s="5">
        <f t="shared" si="387"/>
        <v>9.2924954856263453E-2</v>
      </c>
      <c r="U965" s="4">
        <f t="shared" si="388"/>
        <v>0</v>
      </c>
      <c r="V965" s="4">
        <f t="shared" si="389"/>
        <v>0</v>
      </c>
      <c r="W965" s="5">
        <f t="shared" si="390"/>
        <v>0</v>
      </c>
      <c r="X965" s="5">
        <f t="shared" si="391"/>
        <v>-11.269965789966436</v>
      </c>
      <c r="Y965" s="5">
        <f t="shared" si="392"/>
        <v>14.130634974845563</v>
      </c>
      <c r="Z965" s="5">
        <f>1</f>
        <v>1</v>
      </c>
      <c r="AA965" s="5">
        <f>IF(M965=0,0,const*($T965/omega)*O965*(wy*I965-wz*(H965-V965))/Z965)</f>
        <v>0</v>
      </c>
      <c r="AB965" s="5">
        <f>IF(M965=0,0,const*($T965/omega)*O965*(wz*(G965-U965)-wx*I965)/Z965)</f>
        <v>8.5113149607181757</v>
      </c>
      <c r="AC965" s="5">
        <f>IF(M965=0,0,const*($T965/omega)*O965*(wx*(H965-V965)-wy*(G965-U965))/Z965)</f>
        <v>6.7882461478679383</v>
      </c>
      <c r="AD965" s="5">
        <f t="shared" si="405"/>
        <v>0</v>
      </c>
      <c r="AE965" s="5">
        <f t="shared" si="405"/>
        <v>-2.7586508292482605</v>
      </c>
      <c r="AF965" s="5">
        <f t="shared" si="393"/>
        <v>-11.255118877286499</v>
      </c>
      <c r="AG965">
        <f t="shared" si="404"/>
        <v>0</v>
      </c>
    </row>
    <row r="966" spans="1:33" x14ac:dyDescent="0.2">
      <c r="A966">
        <f t="shared" si="394"/>
        <v>9.3399999999998453</v>
      </c>
      <c r="B966" s="5">
        <f t="shared" si="395"/>
        <v>0</v>
      </c>
      <c r="C966" s="5">
        <f t="shared" si="396"/>
        <v>1208.5576934472322</v>
      </c>
      <c r="D966" s="5">
        <f t="shared" si="397"/>
        <v>-358.2576322358322</v>
      </c>
      <c r="E966" s="2">
        <f t="shared" si="379"/>
        <v>402.85256448241074</v>
      </c>
      <c r="F966" s="2">
        <f t="shared" si="398"/>
        <v>0</v>
      </c>
      <c r="G966" s="3">
        <f t="shared" si="399"/>
        <v>0</v>
      </c>
      <c r="H966" s="3">
        <f t="shared" si="400"/>
        <v>89.503022101017834</v>
      </c>
      <c r="I966" s="3">
        <f t="shared" si="401"/>
        <v>-112.36882356009276</v>
      </c>
      <c r="J966" s="2">
        <f t="shared" si="380"/>
        <v>143.65773029494287</v>
      </c>
      <c r="K966" s="2">
        <f t="shared" si="402"/>
        <v>97.926196520070121</v>
      </c>
      <c r="L966" s="5">
        <f t="shared" si="381"/>
        <v>24.359422246532858</v>
      </c>
      <c r="M966" s="3">
        <f t="shared" si="382"/>
        <v>14.984998207199009</v>
      </c>
      <c r="N966" s="2">
        <v>0</v>
      </c>
      <c r="O966" s="2">
        <f t="shared" si="383"/>
        <v>143.65773029494287</v>
      </c>
      <c r="P966" s="2">
        <f t="shared" si="384"/>
        <v>97.926196520070121</v>
      </c>
      <c r="Q966" s="5">
        <f t="shared" si="385"/>
        <v>1.2107432806563667</v>
      </c>
      <c r="R966" s="5">
        <f t="shared" si="386"/>
        <v>0.15425184887855775</v>
      </c>
      <c r="S966" s="4">
        <f t="shared" si="403"/>
        <v>0.10431042016627573</v>
      </c>
      <c r="T966" s="5">
        <f t="shared" si="387"/>
        <v>9.2884357640515697E-2</v>
      </c>
      <c r="U966" s="4">
        <f t="shared" si="388"/>
        <v>0</v>
      </c>
      <c r="V966" s="4">
        <f t="shared" si="389"/>
        <v>0</v>
      </c>
      <c r="W966" s="5">
        <f t="shared" si="390"/>
        <v>0</v>
      </c>
      <c r="X966" s="5">
        <f t="shared" si="391"/>
        <v>-11.270311427833466</v>
      </c>
      <c r="Y966" s="5">
        <f t="shared" si="392"/>
        <v>14.149596366390336</v>
      </c>
      <c r="Z966" s="5">
        <f>1</f>
        <v>1</v>
      </c>
      <c r="AA966" s="5">
        <f>IF(M966=0,0,const*($T966/omega)*O966*(wy*I966-wz*(H966-V966))/Z966)</f>
        <v>0</v>
      </c>
      <c r="AB966" s="5">
        <f>IF(M966=0,0,const*($T966/omega)*O966*(wz*(G966-U966)-wx*I966)/Z966)</f>
        <v>8.5203268480721341</v>
      </c>
      <c r="AC966" s="5">
        <f>IF(M966=0,0,const*($T966/omega)*O966*(wx*(H966-V966)-wy*(G966-U966))/Z966)</f>
        <v>6.7865354288689712</v>
      </c>
      <c r="AD966" s="5">
        <f t="shared" si="405"/>
        <v>0</v>
      </c>
      <c r="AE966" s="5">
        <f t="shared" si="405"/>
        <v>-2.7499845797613318</v>
      </c>
      <c r="AF966" s="5">
        <f t="shared" si="393"/>
        <v>-11.237868204740693</v>
      </c>
      <c r="AG966">
        <f t="shared" si="404"/>
        <v>0</v>
      </c>
    </row>
    <row r="967" spans="1:33" x14ac:dyDescent="0.2">
      <c r="A967">
        <f t="shared" si="394"/>
        <v>9.3499999999998451</v>
      </c>
      <c r="B967" s="5">
        <f t="shared" si="395"/>
        <v>0</v>
      </c>
      <c r="C967" s="5">
        <f t="shared" si="396"/>
        <v>1209.4525861690133</v>
      </c>
      <c r="D967" s="5">
        <f t="shared" si="397"/>
        <v>-359.38188236484336</v>
      </c>
      <c r="E967" s="2">
        <f t="shared" si="379"/>
        <v>403.15086205633776</v>
      </c>
      <c r="F967" s="2">
        <f t="shared" si="398"/>
        <v>0</v>
      </c>
      <c r="G967" s="3">
        <f t="shared" si="399"/>
        <v>0</v>
      </c>
      <c r="H967" s="3">
        <f t="shared" si="400"/>
        <v>89.475522255220227</v>
      </c>
      <c r="I967" s="3">
        <f t="shared" si="401"/>
        <v>-112.48120224214017</v>
      </c>
      <c r="J967" s="2">
        <f t="shared" si="380"/>
        <v>143.72852862491027</v>
      </c>
      <c r="K967" s="2">
        <f t="shared" si="402"/>
        <v>97.974457140361466</v>
      </c>
      <c r="L967" s="5">
        <f t="shared" si="381"/>
        <v>24.347423192270458</v>
      </c>
      <c r="M967" s="3">
        <f t="shared" si="382"/>
        <v>14.976014654924475</v>
      </c>
      <c r="N967" s="2">
        <v>0</v>
      </c>
      <c r="O967" s="2">
        <f t="shared" si="383"/>
        <v>143.72852862491027</v>
      </c>
      <c r="P967" s="2">
        <f t="shared" si="384"/>
        <v>97.974457140361466</v>
      </c>
      <c r="Q967" s="5">
        <f t="shared" si="385"/>
        <v>1.2113399669753957</v>
      </c>
      <c r="R967" s="5">
        <f t="shared" si="386"/>
        <v>0.15422807855652232</v>
      </c>
      <c r="S967" s="4">
        <f t="shared" si="403"/>
        <v>0.10419653494128174</v>
      </c>
      <c r="T967" s="5">
        <f t="shared" si="387"/>
        <v>9.2843780207456053E-2</v>
      </c>
      <c r="U967" s="4">
        <f t="shared" si="388"/>
        <v>0</v>
      </c>
      <c r="V967" s="4">
        <f t="shared" si="389"/>
        <v>0</v>
      </c>
      <c r="W967" s="5">
        <f t="shared" si="390"/>
        <v>0</v>
      </c>
      <c r="X967" s="5">
        <f t="shared" si="391"/>
        <v>-11.270664135169504</v>
      </c>
      <c r="Y967" s="5">
        <f t="shared" si="392"/>
        <v>14.168543754068715</v>
      </c>
      <c r="Z967" s="5">
        <f>1</f>
        <v>1</v>
      </c>
      <c r="AA967" s="5">
        <f>IF(M967=0,0,const*($T967/omega)*O967*(wy*I967-wz*(H967-V967))/Z967)</f>
        <v>0</v>
      </c>
      <c r="AB967" s="5">
        <f>IF(M967=0,0,const*($T967/omega)*O967*(wz*(G967-U967)-wx*I967)/Z967)</f>
        <v>8.5293234181114634</v>
      </c>
      <c r="AC967" s="5">
        <f>IF(M967=0,0,const*($T967/omega)*O967*(wx*(H967-V967)-wy*(G967-U967))/Z967)</f>
        <v>6.7848285056228663</v>
      </c>
      <c r="AD967" s="5">
        <f t="shared" si="405"/>
        <v>0</v>
      </c>
      <c r="AE967" s="5">
        <f t="shared" si="405"/>
        <v>-2.7413407170580406</v>
      </c>
      <c r="AF967" s="5">
        <f t="shared" si="393"/>
        <v>-11.220627740308419</v>
      </c>
      <c r="AG967">
        <f t="shared" si="404"/>
        <v>0</v>
      </c>
    </row>
    <row r="968" spans="1:33" x14ac:dyDescent="0.2">
      <c r="A968">
        <f t="shared" si="394"/>
        <v>9.3599999999998449</v>
      </c>
      <c r="B968" s="5">
        <f t="shared" si="395"/>
        <v>0</v>
      </c>
      <c r="C968" s="5">
        <f t="shared" si="396"/>
        <v>1210.3472043245297</v>
      </c>
      <c r="D968" s="5">
        <f t="shared" si="397"/>
        <v>-360.50725541865177</v>
      </c>
      <c r="E968" s="2">
        <f t="shared" si="379"/>
        <v>403.44906810817656</v>
      </c>
      <c r="F968" s="2">
        <f t="shared" si="398"/>
        <v>0</v>
      </c>
      <c r="G968" s="3">
        <f t="shared" si="399"/>
        <v>0</v>
      </c>
      <c r="H968" s="3">
        <f t="shared" si="400"/>
        <v>89.448108848049642</v>
      </c>
      <c r="I968" s="3">
        <f t="shared" si="401"/>
        <v>-112.59340851954326</v>
      </c>
      <c r="J968" s="2">
        <f t="shared" si="380"/>
        <v>143.79930395708212</v>
      </c>
      <c r="K968" s="2">
        <f t="shared" si="402"/>
        <v>98.022702083900555</v>
      </c>
      <c r="L968" s="5">
        <f t="shared" si="381"/>
        <v>24.335439845226752</v>
      </c>
      <c r="M968" s="3">
        <f t="shared" si="382"/>
        <v>14.967031352886165</v>
      </c>
      <c r="N968" s="2">
        <v>0</v>
      </c>
      <c r="O968" s="2">
        <f t="shared" si="383"/>
        <v>143.79930395708212</v>
      </c>
      <c r="P968" s="2">
        <f t="shared" si="384"/>
        <v>98.022702083900555</v>
      </c>
      <c r="Q968" s="5">
        <f t="shared" si="385"/>
        <v>1.2119364594696551</v>
      </c>
      <c r="R968" s="5">
        <f t="shared" si="386"/>
        <v>0.15420433547828508</v>
      </c>
      <c r="S968" s="4">
        <f t="shared" si="403"/>
        <v>0.10408278024317265</v>
      </c>
      <c r="T968" s="5">
        <f t="shared" si="387"/>
        <v>9.2803222707991156E-2</v>
      </c>
      <c r="U968" s="4">
        <f t="shared" si="388"/>
        <v>0</v>
      </c>
      <c r="V968" s="4">
        <f t="shared" si="389"/>
        <v>0</v>
      </c>
      <c r="W968" s="5">
        <f t="shared" si="390"/>
        <v>0</v>
      </c>
      <c r="X968" s="5">
        <f t="shared" si="391"/>
        <v>-11.271023866880411</v>
      </c>
      <c r="Y968" s="5">
        <f t="shared" si="392"/>
        <v>14.18747708610565</v>
      </c>
      <c r="Z968" s="5">
        <f>1</f>
        <v>1</v>
      </c>
      <c r="AA968" s="5">
        <f>IF(M968=0,0,const*($T968/omega)*O968*(wy*I968-wz*(H968-V968))/Z968)</f>
        <v>0</v>
      </c>
      <c r="AB968" s="5">
        <f>IF(M968=0,0,const*($T968/omega)*O968*(wz*(G968-U968)-wx*I968)/Z968)</f>
        <v>8.5383046566274565</v>
      </c>
      <c r="AC968" s="5">
        <f>IF(M968=0,0,const*($T968/omega)*O968*(wx*(H968-V968)-wy*(G968-U968))/Z968)</f>
        <v>6.7831253565012872</v>
      </c>
      <c r="AD968" s="5">
        <f t="shared" si="405"/>
        <v>0</v>
      </c>
      <c r="AE968" s="5">
        <f t="shared" si="405"/>
        <v>-2.7327192102529541</v>
      </c>
      <c r="AF968" s="5">
        <f t="shared" si="393"/>
        <v>-11.20339755739306</v>
      </c>
      <c r="AG968">
        <f t="shared" si="404"/>
        <v>0</v>
      </c>
    </row>
    <row r="969" spans="1:33" x14ac:dyDescent="0.2">
      <c r="A969">
        <f t="shared" si="394"/>
        <v>9.3699999999998447</v>
      </c>
      <c r="B969" s="5">
        <f t="shared" si="395"/>
        <v>0</v>
      </c>
      <c r="C969" s="5">
        <f t="shared" si="396"/>
        <v>1211.2415487770497</v>
      </c>
      <c r="D969" s="5">
        <f t="shared" si="397"/>
        <v>-361.63374967372505</v>
      </c>
      <c r="E969" s="2">
        <f t="shared" si="379"/>
        <v>403.74718292568326</v>
      </c>
      <c r="F969" s="2">
        <f t="shared" si="398"/>
        <v>0</v>
      </c>
      <c r="G969" s="3">
        <f t="shared" si="399"/>
        <v>0</v>
      </c>
      <c r="H969" s="3">
        <f t="shared" si="400"/>
        <v>89.42078165594711</v>
      </c>
      <c r="I969" s="3">
        <f t="shared" si="401"/>
        <v>-112.7054424951172</v>
      </c>
      <c r="J969" s="2">
        <f t="shared" si="380"/>
        <v>143.87005581419899</v>
      </c>
      <c r="K969" s="2">
        <f t="shared" si="402"/>
        <v>98.070931025357183</v>
      </c>
      <c r="L969" s="5">
        <f t="shared" si="381"/>
        <v>24.323472257162216</v>
      </c>
      <c r="M969" s="3">
        <f t="shared" si="382"/>
        <v>14.958048329160784</v>
      </c>
      <c r="N969" s="2">
        <v>0</v>
      </c>
      <c r="O969" s="2">
        <f t="shared" si="383"/>
        <v>143.87005581419899</v>
      </c>
      <c r="P969" s="2">
        <f t="shared" si="384"/>
        <v>98.070931025357183</v>
      </c>
      <c r="Q969" s="5">
        <f t="shared" si="385"/>
        <v>1.2125327541168163</v>
      </c>
      <c r="R969" s="5">
        <f t="shared" si="386"/>
        <v>0.15418061970497318</v>
      </c>
      <c r="S969" s="4">
        <f t="shared" si="403"/>
        <v>0.10396915636481269</v>
      </c>
      <c r="T969" s="5">
        <f t="shared" si="387"/>
        <v>9.2762685291684605E-2</v>
      </c>
      <c r="U969" s="4">
        <f t="shared" si="388"/>
        <v>0</v>
      </c>
      <c r="V969" s="4">
        <f t="shared" si="389"/>
        <v>0</v>
      </c>
      <c r="W969" s="5">
        <f t="shared" si="390"/>
        <v>0</v>
      </c>
      <c r="X969" s="5">
        <f t="shared" si="391"/>
        <v>-11.271390578089768</v>
      </c>
      <c r="Y969" s="5">
        <f t="shared" si="392"/>
        <v>14.206396310945411</v>
      </c>
      <c r="Z969" s="5">
        <f>1</f>
        <v>1</v>
      </c>
      <c r="AA969" s="5">
        <f>IF(M969=0,0,const*($T969/omega)*O969*(wy*I969-wz*(H969-V969))/Z969)</f>
        <v>0</v>
      </c>
      <c r="AB969" s="5">
        <f>IF(M969=0,0,const*($T969/omega)*O969*(wz*(G969-U969)-wx*I969)/Z969)</f>
        <v>8.547270549585626</v>
      </c>
      <c r="AC969" s="5">
        <f>IF(M969=0,0,const*($T969/omega)*O969*(wx*(H969-V969)-wy*(G969-U969))/Z969)</f>
        <v>6.7814259599922657</v>
      </c>
      <c r="AD969" s="5">
        <f t="shared" si="405"/>
        <v>0</v>
      </c>
      <c r="AE969" s="5">
        <f t="shared" si="405"/>
        <v>-2.7241200285041423</v>
      </c>
      <c r="AF969" s="5">
        <f t="shared" si="393"/>
        <v>-11.186177729062322</v>
      </c>
      <c r="AG969">
        <f t="shared" si="404"/>
        <v>0</v>
      </c>
    </row>
    <row r="970" spans="1:33" x14ac:dyDescent="0.2">
      <c r="A970">
        <f t="shared" si="394"/>
        <v>9.3799999999998445</v>
      </c>
      <c r="B970" s="5">
        <f t="shared" si="395"/>
        <v>0</v>
      </c>
      <c r="C970" s="5">
        <f t="shared" si="396"/>
        <v>1212.1356203876078</v>
      </c>
      <c r="D970" s="5">
        <f t="shared" si="397"/>
        <v>-362.76136340756267</v>
      </c>
      <c r="E970" s="2">
        <f t="shared" si="379"/>
        <v>404.04520679586926</v>
      </c>
      <c r="F970" s="2">
        <f t="shared" si="398"/>
        <v>0</v>
      </c>
      <c r="G970" s="3">
        <f t="shared" si="399"/>
        <v>0</v>
      </c>
      <c r="H970" s="3">
        <f t="shared" si="400"/>
        <v>89.393540455662063</v>
      </c>
      <c r="I970" s="3">
        <f t="shared" si="401"/>
        <v>-112.81730427240782</v>
      </c>
      <c r="J970" s="2">
        <f t="shared" si="380"/>
        <v>143.94078372195676</v>
      </c>
      <c r="K970" s="2">
        <f t="shared" si="402"/>
        <v>98.119143641415647</v>
      </c>
      <c r="L970" s="5">
        <f t="shared" si="381"/>
        <v>24.311520479093005</v>
      </c>
      <c r="M970" s="3">
        <f t="shared" si="382"/>
        <v>14.949065611731298</v>
      </c>
      <c r="N970" s="2">
        <v>0</v>
      </c>
      <c r="O970" s="2">
        <f t="shared" si="383"/>
        <v>143.94078372195676</v>
      </c>
      <c r="P970" s="2">
        <f t="shared" si="384"/>
        <v>98.119143641415647</v>
      </c>
      <c r="Q970" s="5">
        <f t="shared" si="385"/>
        <v>1.2131288469194577</v>
      </c>
      <c r="R970" s="5">
        <f t="shared" si="386"/>
        <v>0.15415693129672456</v>
      </c>
      <c r="S970" s="4">
        <f t="shared" si="403"/>
        <v>0.10385566359432684</v>
      </c>
      <c r="T970" s="5">
        <f t="shared" si="387"/>
        <v>9.2722168106764508E-2</v>
      </c>
      <c r="U970" s="4">
        <f t="shared" si="388"/>
        <v>0</v>
      </c>
      <c r="V970" s="4">
        <f t="shared" si="389"/>
        <v>0</v>
      </c>
      <c r="W970" s="5">
        <f t="shared" si="390"/>
        <v>0</v>
      </c>
      <c r="X970" s="5">
        <f t="shared" si="391"/>
        <v>-11.271764224137591</v>
      </c>
      <c r="Y970" s="5">
        <f t="shared" si="392"/>
        <v>14.225301377252107</v>
      </c>
      <c r="Z970" s="5">
        <f>1</f>
        <v>1</v>
      </c>
      <c r="AA970" s="5">
        <f>IF(M970=0,0,const*($T970/omega)*O970*(wy*I970-wz*(H970-V970))/Z970)</f>
        <v>0</v>
      </c>
      <c r="AB970" s="5">
        <f>IF(M970=0,0,const*($T970/omega)*O970*(wz*(G970-U970)-wx*I970)/Z970)</f>
        <v>8.5562210831254628</v>
      </c>
      <c r="AC970" s="5">
        <f>IF(M970=0,0,const*($T970/omega)*O970*(wx*(H970-V970)-wy*(G970-U970))/Z970)</f>
        <v>6.7797302946994122</v>
      </c>
      <c r="AD970" s="5">
        <f t="shared" si="405"/>
        <v>0</v>
      </c>
      <c r="AE970" s="5">
        <f t="shared" si="405"/>
        <v>-2.7155431410121285</v>
      </c>
      <c r="AF970" s="5">
        <f t="shared" si="393"/>
        <v>-11.168968328048479</v>
      </c>
      <c r="AG970">
        <f t="shared" si="404"/>
        <v>0</v>
      </c>
    </row>
    <row r="971" spans="1:33" x14ac:dyDescent="0.2">
      <c r="A971">
        <f t="shared" si="394"/>
        <v>9.3899999999998442</v>
      </c>
      <c r="B971" s="5">
        <f t="shared" si="395"/>
        <v>0</v>
      </c>
      <c r="C971" s="5">
        <f t="shared" si="396"/>
        <v>1213.0294200150074</v>
      </c>
      <c r="D971" s="5">
        <f t="shared" si="397"/>
        <v>-363.89009489870318</v>
      </c>
      <c r="E971" s="2">
        <f t="shared" si="379"/>
        <v>404.34314000500245</v>
      </c>
      <c r="F971" s="2">
        <f t="shared" si="398"/>
        <v>0</v>
      </c>
      <c r="G971" s="3">
        <f t="shared" si="399"/>
        <v>0</v>
      </c>
      <c r="H971" s="3">
        <f t="shared" si="400"/>
        <v>89.36638502425194</v>
      </c>
      <c r="I971" s="3">
        <f t="shared" si="401"/>
        <v>-112.92899395568831</v>
      </c>
      <c r="J971" s="2">
        <f t="shared" si="380"/>
        <v>144.0114872089957</v>
      </c>
      <c r="K971" s="2">
        <f t="shared" si="402"/>
        <v>98.167339610767343</v>
      </c>
      <c r="L971" s="5">
        <f t="shared" si="381"/>
        <v>24.29958456129642</v>
      </c>
      <c r="M971" s="3">
        <f t="shared" si="382"/>
        <v>14.94008322848684</v>
      </c>
      <c r="N971" s="2">
        <v>0</v>
      </c>
      <c r="O971" s="2">
        <f t="shared" si="383"/>
        <v>144.0114872089957</v>
      </c>
      <c r="P971" s="2">
        <f t="shared" si="384"/>
        <v>98.167339610767343</v>
      </c>
      <c r="Q971" s="5">
        <f t="shared" si="385"/>
        <v>1.2137247339049726</v>
      </c>
      <c r="R971" s="5">
        <f t="shared" si="386"/>
        <v>0.15413327031269536</v>
      </c>
      <c r="S971" s="4">
        <f t="shared" si="403"/>
        <v>0.1037423022151361</v>
      </c>
      <c r="T971" s="5">
        <f t="shared" si="387"/>
        <v>9.2681671300131024E-2</v>
      </c>
      <c r="U971" s="4">
        <f t="shared" si="388"/>
        <v>0</v>
      </c>
      <c r="V971" s="4">
        <f t="shared" si="389"/>
        <v>0</v>
      </c>
      <c r="W971" s="5">
        <f t="shared" si="390"/>
        <v>0</v>
      </c>
      <c r="X971" s="5">
        <f t="shared" si="391"/>
        <v>-11.272144760579076</v>
      </c>
      <c r="Y971" s="5">
        <f t="shared" si="392"/>
        <v>14.2441922339102</v>
      </c>
      <c r="Z971" s="5">
        <f>1</f>
        <v>1</v>
      </c>
      <c r="AA971" s="5">
        <f>IF(M971=0,0,const*($T971/omega)*O971*(wy*I971-wz*(H971-V971))/Z971)</f>
        <v>0</v>
      </c>
      <c r="AB971" s="5">
        <f>IF(M971=0,0,const*($T971/omega)*O971*(wz*(G971-U971)-wx*I971)/Z971)</f>
        <v>8.5651562435602617</v>
      </c>
      <c r="AC971" s="5">
        <f>IF(M971=0,0,const*($T971/omega)*O971*(wx*(H971-V971)-wy*(G971-U971))/Z971)</f>
        <v>6.7780383393411627</v>
      </c>
      <c r="AD971" s="5">
        <f t="shared" si="405"/>
        <v>0</v>
      </c>
      <c r="AE971" s="5">
        <f t="shared" si="405"/>
        <v>-2.7069885170188144</v>
      </c>
      <c r="AF971" s="5">
        <f t="shared" si="393"/>
        <v>-11.151769426748636</v>
      </c>
      <c r="AG971">
        <f t="shared" si="404"/>
        <v>0</v>
      </c>
    </row>
    <row r="972" spans="1:33" x14ac:dyDescent="0.2">
      <c r="A972">
        <f t="shared" si="394"/>
        <v>9.399999999999844</v>
      </c>
      <c r="B972" s="5">
        <f t="shared" si="395"/>
        <v>0</v>
      </c>
      <c r="C972" s="5">
        <f t="shared" si="396"/>
        <v>1213.9229485158241</v>
      </c>
      <c r="D972" s="5">
        <f t="shared" si="397"/>
        <v>-365.0199424267314</v>
      </c>
      <c r="E972" s="2">
        <f t="shared" si="379"/>
        <v>404.64098283860807</v>
      </c>
      <c r="F972" s="2">
        <f t="shared" si="398"/>
        <v>0</v>
      </c>
      <c r="G972" s="3">
        <f t="shared" si="399"/>
        <v>0</v>
      </c>
      <c r="H972" s="3">
        <f t="shared" si="400"/>
        <v>89.339315139081748</v>
      </c>
      <c r="I972" s="3">
        <f t="shared" si="401"/>
        <v>-113.0405116499558</v>
      </c>
      <c r="J972" s="2">
        <f t="shared" si="380"/>
        <v>144.08216580688935</v>
      </c>
      <c r="K972" s="2">
        <f t="shared" si="402"/>
        <v>98.215518614103161</v>
      </c>
      <c r="L972" s="5">
        <f t="shared" si="381"/>
        <v>24.287664553316443</v>
      </c>
      <c r="M972" s="3">
        <f t="shared" si="382"/>
        <v>14.931101207222657</v>
      </c>
      <c r="N972" s="2">
        <v>0</v>
      </c>
      <c r="O972" s="2">
        <f t="shared" si="383"/>
        <v>144.08216580688935</v>
      </c>
      <c r="P972" s="2">
        <f t="shared" si="384"/>
        <v>98.215518614103161</v>
      </c>
      <c r="Q972" s="5">
        <f t="shared" si="385"/>
        <v>1.2143204111254762</v>
      </c>
      <c r="R972" s="5">
        <f t="shared" si="386"/>
        <v>0.15410963681106729</v>
      </c>
      <c r="S972" s="4">
        <f t="shared" si="403"/>
        <v>0.1036290725059931</v>
      </c>
      <c r="T972" s="5">
        <f t="shared" si="387"/>
        <v>9.2641195017364161E-2</v>
      </c>
      <c r="U972" s="4">
        <f t="shared" si="388"/>
        <v>0</v>
      </c>
      <c r="V972" s="4">
        <f t="shared" si="389"/>
        <v>0</v>
      </c>
      <c r="W972" s="5">
        <f t="shared" si="390"/>
        <v>0</v>
      </c>
      <c r="X972" s="5">
        <f t="shared" si="391"/>
        <v>-11.272532143183346</v>
      </c>
      <c r="Y972" s="5">
        <f t="shared" si="392"/>
        <v>14.263068830025009</v>
      </c>
      <c r="Z972" s="5">
        <f>1</f>
        <v>1</v>
      </c>
      <c r="AA972" s="5">
        <f>IF(M972=0,0,const*($T972/omega)*O972*(wy*I972-wz*(H972-V972))/Z972)</f>
        <v>0</v>
      </c>
      <c r="AB972" s="5">
        <f>IF(M972=0,0,const*($T972/omega)*O972*(wz*(G972-U972)-wx*I972)/Z972)</f>
        <v>8.5740760173768908</v>
      </c>
      <c r="AC972" s="5">
        <f>IF(M972=0,0,const*($T972/omega)*O972*(wx*(H972-V972)-wy*(G972-U972))/Z972)</f>
        <v>6.7763500727500157</v>
      </c>
      <c r="AD972" s="5">
        <f t="shared" si="405"/>
        <v>0</v>
      </c>
      <c r="AE972" s="5">
        <f t="shared" si="405"/>
        <v>-2.6984561258064552</v>
      </c>
      <c r="AF972" s="5">
        <f t="shared" si="393"/>
        <v>-11.134581097224974</v>
      </c>
      <c r="AG972">
        <f t="shared" si="404"/>
        <v>0</v>
      </c>
    </row>
    <row r="973" spans="1:33" x14ac:dyDescent="0.2">
      <c r="A973">
        <f t="shared" si="394"/>
        <v>9.4099999999998438</v>
      </c>
      <c r="B973" s="5">
        <f t="shared" si="395"/>
        <v>0</v>
      </c>
      <c r="C973" s="5">
        <f t="shared" si="396"/>
        <v>1214.8162067444089</v>
      </c>
      <c r="D973" s="5">
        <f t="shared" si="397"/>
        <v>-366.1509042722858</v>
      </c>
      <c r="E973" s="2">
        <f t="shared" si="379"/>
        <v>404.93873558146964</v>
      </c>
      <c r="F973" s="2">
        <f t="shared" si="398"/>
        <v>0</v>
      </c>
      <c r="G973" s="3">
        <f t="shared" si="399"/>
        <v>0</v>
      </c>
      <c r="H973" s="3">
        <f t="shared" si="400"/>
        <v>89.312330577823687</v>
      </c>
      <c r="I973" s="3">
        <f t="shared" si="401"/>
        <v>-113.15185746092806</v>
      </c>
      <c r="J973" s="2">
        <f t="shared" si="380"/>
        <v>144.15281905013387</v>
      </c>
      <c r="K973" s="2">
        <f t="shared" si="402"/>
        <v>98.26368033410624</v>
      </c>
      <c r="L973" s="5">
        <f t="shared" si="381"/>
        <v>24.275760503969135</v>
      </c>
      <c r="M973" s="3">
        <f t="shared" si="382"/>
        <v>14.922119575640014</v>
      </c>
      <c r="N973" s="2">
        <v>0</v>
      </c>
      <c r="O973" s="2">
        <f t="shared" si="383"/>
        <v>144.15281905013387</v>
      </c>
      <c r="P973" s="2">
        <f t="shared" si="384"/>
        <v>98.26368033410624</v>
      </c>
      <c r="Q973" s="5">
        <f t="shared" si="385"/>
        <v>1.2149158746577153</v>
      </c>
      <c r="R973" s="5">
        <f t="shared" si="386"/>
        <v>0.15408603084905492</v>
      </c>
      <c r="S973" s="4">
        <f t="shared" si="403"/>
        <v>0.10351597474101674</v>
      </c>
      <c r="T973" s="5">
        <f t="shared" si="387"/>
        <v>9.2600739402730975E-2</v>
      </c>
      <c r="U973" s="4">
        <f t="shared" si="388"/>
        <v>0</v>
      </c>
      <c r="V973" s="4">
        <f t="shared" si="389"/>
        <v>0</v>
      </c>
      <c r="W973" s="5">
        <f t="shared" si="390"/>
        <v>0</v>
      </c>
      <c r="X973" s="5">
        <f t="shared" si="391"/>
        <v>-11.272926327932204</v>
      </c>
      <c r="Y973" s="5">
        <f t="shared" si="392"/>
        <v>14.281931114923211</v>
      </c>
      <c r="Z973" s="5">
        <f>1</f>
        <v>1</v>
      </c>
      <c r="AA973" s="5">
        <f>IF(M973=0,0,const*($T973/omega)*O973*(wy*I973-wz*(H973-V973))/Z973)</f>
        <v>0</v>
      </c>
      <c r="AB973" s="5">
        <f>IF(M973=0,0,const*($T973/omega)*O973*(wz*(G973-U973)-wx*I973)/Z973)</f>
        <v>8.5829803912355835</v>
      </c>
      <c r="AC973" s="5">
        <f>IF(M973=0,0,const*($T973/omega)*O973*(wx*(H973-V973)-wy*(G973-U973))/Z973)</f>
        <v>6.7746654738717851</v>
      </c>
      <c r="AD973" s="5">
        <f t="shared" si="405"/>
        <v>0</v>
      </c>
      <c r="AE973" s="5">
        <f t="shared" si="405"/>
        <v>-2.6899459366966205</v>
      </c>
      <c r="AF973" s="5">
        <f t="shared" si="393"/>
        <v>-11.117403411205004</v>
      </c>
      <c r="AG973">
        <f t="shared" si="404"/>
        <v>0</v>
      </c>
    </row>
    <row r="974" spans="1:33" x14ac:dyDescent="0.2">
      <c r="A974">
        <f t="shared" si="394"/>
        <v>9.4199999999998436</v>
      </c>
      <c r="B974" s="5">
        <f t="shared" si="395"/>
        <v>0</v>
      </c>
      <c r="C974" s="5">
        <f t="shared" si="396"/>
        <v>1215.7091955528904</v>
      </c>
      <c r="D974" s="5">
        <f t="shared" si="397"/>
        <v>-367.28297871706565</v>
      </c>
      <c r="E974" s="2">
        <f t="shared" si="379"/>
        <v>405.23639851763011</v>
      </c>
      <c r="F974" s="2">
        <f t="shared" si="398"/>
        <v>0</v>
      </c>
      <c r="G974" s="3">
        <f t="shared" si="399"/>
        <v>0</v>
      </c>
      <c r="H974" s="3">
        <f t="shared" si="400"/>
        <v>89.285431118456714</v>
      </c>
      <c r="I974" s="3">
        <f t="shared" si="401"/>
        <v>-113.26303149504011</v>
      </c>
      <c r="J974" s="2">
        <f t="shared" si="380"/>
        <v>144.2234464761369</v>
      </c>
      <c r="K974" s="2">
        <f t="shared" si="402"/>
        <v>98.311824455444366</v>
      </c>
      <c r="L974" s="5">
        <f t="shared" si="381"/>
        <v>24.263872461348097</v>
      </c>
      <c r="M974" s="3">
        <f t="shared" si="382"/>
        <v>14.913138361346121</v>
      </c>
      <c r="N974" s="2">
        <v>0</v>
      </c>
      <c r="O974" s="2">
        <f t="shared" si="383"/>
        <v>144.2234464761369</v>
      </c>
      <c r="P974" s="2">
        <f t="shared" si="384"/>
        <v>98.311824455444366</v>
      </c>
      <c r="Q974" s="5">
        <f t="shared" si="385"/>
        <v>1.2155111206029747</v>
      </c>
      <c r="R974" s="5">
        <f t="shared" si="386"/>
        <v>0.15406245248291303</v>
      </c>
      <c r="S974" s="4">
        <f t="shared" si="403"/>
        <v>0.10340300918972725</v>
      </c>
      <c r="T974" s="5">
        <f t="shared" si="387"/>
        <v>9.256030459919333E-2</v>
      </c>
      <c r="U974" s="4">
        <f t="shared" si="388"/>
        <v>0</v>
      </c>
      <c r="V974" s="4">
        <f t="shared" si="389"/>
        <v>0</v>
      </c>
      <c r="W974" s="5">
        <f t="shared" si="390"/>
        <v>0</v>
      </c>
      <c r="X974" s="5">
        <f t="shared" si="391"/>
        <v>-11.273327271018891</v>
      </c>
      <c r="Y974" s="5">
        <f t="shared" si="392"/>
        <v>14.300779038153312</v>
      </c>
      <c r="Z974" s="5">
        <f>1</f>
        <v>1</v>
      </c>
      <c r="AA974" s="5">
        <f>IF(M974=0,0,const*($T974/omega)*O974*(wy*I974-wz*(H974-V974))/Z974)</f>
        <v>0</v>
      </c>
      <c r="AB974" s="5">
        <f>IF(M974=0,0,const*($T974/omega)*O974*(wz*(G974-U974)-wx*I974)/Z974)</f>
        <v>8.5918693519697076</v>
      </c>
      <c r="AC974" s="5">
        <f>IF(M974=0,0,const*($T974/omega)*O974*(wx*(H974-V974)-wy*(G974-U974))/Z974)</f>
        <v>6.7729845217648421</v>
      </c>
      <c r="AD974" s="5">
        <f t="shared" si="405"/>
        <v>0</v>
      </c>
      <c r="AE974" s="5">
        <f t="shared" si="405"/>
        <v>-2.6814579190491834</v>
      </c>
      <c r="AF974" s="5">
        <f t="shared" si="393"/>
        <v>-11.100236440081844</v>
      </c>
      <c r="AG974">
        <f t="shared" si="404"/>
        <v>0</v>
      </c>
    </row>
    <row r="975" spans="1:33" x14ac:dyDescent="0.2">
      <c r="A975">
        <f t="shared" si="394"/>
        <v>9.4299999999998434</v>
      </c>
      <c r="B975" s="5">
        <f t="shared" si="395"/>
        <v>0</v>
      </c>
      <c r="C975" s="5">
        <f t="shared" si="396"/>
        <v>1216.601915791179</v>
      </c>
      <c r="D975" s="5">
        <f t="shared" si="397"/>
        <v>-368.41616404383808</v>
      </c>
      <c r="E975" s="2">
        <f t="shared" si="379"/>
        <v>405.53397193039297</v>
      </c>
      <c r="F975" s="2">
        <f t="shared" si="398"/>
        <v>0</v>
      </c>
      <c r="G975" s="3">
        <f t="shared" si="399"/>
        <v>0</v>
      </c>
      <c r="H975" s="3">
        <f t="shared" si="400"/>
        <v>89.258616539266228</v>
      </c>
      <c r="I975" s="3">
        <f t="shared" si="401"/>
        <v>-113.37403385944093</v>
      </c>
      <c r="J975" s="2">
        <f t="shared" si="380"/>
        <v>144.29404762520673</v>
      </c>
      <c r="K975" s="2">
        <f t="shared" si="402"/>
        <v>98.359950664762593</v>
      </c>
      <c r="L975" s="5">
        <f t="shared" si="381"/>
        <v>24.252000472829863</v>
      </c>
      <c r="M975" s="3">
        <f t="shared" si="382"/>
        <v>14.904157591854082</v>
      </c>
      <c r="N975" s="2">
        <v>0</v>
      </c>
      <c r="O975" s="2">
        <f t="shared" si="383"/>
        <v>144.29404762520673</v>
      </c>
      <c r="P975" s="2">
        <f t="shared" si="384"/>
        <v>98.359950664762593</v>
      </c>
      <c r="Q975" s="5">
        <f t="shared" si="385"/>
        <v>1.2161061450869857</v>
      </c>
      <c r="R975" s="5">
        <f t="shared" si="386"/>
        <v>0.15403890176794371</v>
      </c>
      <c r="S975" s="4">
        <f t="shared" si="403"/>
        <v>0.10329017611708104</v>
      </c>
      <c r="T975" s="5">
        <f t="shared" si="387"/>
        <v>9.2519890748415351E-2</v>
      </c>
      <c r="U975" s="4">
        <f t="shared" si="388"/>
        <v>0</v>
      </c>
      <c r="V975" s="4">
        <f t="shared" si="389"/>
        <v>0</v>
      </c>
      <c r="W975" s="5">
        <f t="shared" si="390"/>
        <v>0</v>
      </c>
      <c r="X975" s="5">
        <f t="shared" si="391"/>
        <v>-11.273734928846855</v>
      </c>
      <c r="Y975" s="5">
        <f t="shared" si="392"/>
        <v>14.319612549486109</v>
      </c>
      <c r="Z975" s="5">
        <f>1</f>
        <v>1</v>
      </c>
      <c r="AA975" s="5">
        <f>IF(M975=0,0,const*($T975/omega)*O975*(wy*I975-wz*(H975-V975))/Z975)</f>
        <v>0</v>
      </c>
      <c r="AB975" s="5">
        <f>IF(M975=0,0,const*($T975/omega)*O975*(wz*(G975-U975)-wx*I975)/Z975)</f>
        <v>8.6007428865855502</v>
      </c>
      <c r="AC975" s="5">
        <f>IF(M975=0,0,const*($T975/omega)*O975*(wx*(H975-V975)-wy*(G975-U975))/Z975)</f>
        <v>6.7713071955993911</v>
      </c>
      <c r="AD975" s="5">
        <f t="shared" si="405"/>
        <v>0</v>
      </c>
      <c r="AE975" s="5">
        <f t="shared" si="405"/>
        <v>-2.6729920422613045</v>
      </c>
      <c r="AF975" s="5">
        <f t="shared" si="393"/>
        <v>-11.083080254914499</v>
      </c>
      <c r="AG975">
        <f t="shared" si="404"/>
        <v>0</v>
      </c>
    </row>
    <row r="976" spans="1:33" x14ac:dyDescent="0.2">
      <c r="A976">
        <f t="shared" si="394"/>
        <v>9.4399999999998432</v>
      </c>
      <c r="B976" s="5">
        <f t="shared" si="395"/>
        <v>0</v>
      </c>
      <c r="C976" s="5">
        <f t="shared" si="396"/>
        <v>1217.4943683069696</v>
      </c>
      <c r="D976" s="5">
        <f t="shared" si="397"/>
        <v>-369.55045853644521</v>
      </c>
      <c r="E976" s="2">
        <f t="shared" si="379"/>
        <v>405.83145610232322</v>
      </c>
      <c r="F976" s="2">
        <f t="shared" si="398"/>
        <v>0</v>
      </c>
      <c r="G976" s="3">
        <f t="shared" si="399"/>
        <v>0</v>
      </c>
      <c r="H976" s="3">
        <f t="shared" si="400"/>
        <v>89.231886618843617</v>
      </c>
      <c r="I976" s="3">
        <f t="shared" si="401"/>
        <v>-113.48486466199007</v>
      </c>
      <c r="J976" s="2">
        <f t="shared" si="380"/>
        <v>144.36462204054138</v>
      </c>
      <c r="K976" s="2">
        <f t="shared" si="402"/>
        <v>98.408058650675784</v>
      </c>
      <c r="L976" s="5">
        <f t="shared" si="381"/>
        <v>24.240144585079303</v>
      </c>
      <c r="M976" s="3">
        <f t="shared" si="382"/>
        <v>14.895177294582815</v>
      </c>
      <c r="N976" s="2">
        <v>0</v>
      </c>
      <c r="O976" s="2">
        <f t="shared" si="383"/>
        <v>144.36462204054138</v>
      </c>
      <c r="P976" s="2">
        <f t="shared" si="384"/>
        <v>98.408058650675784</v>
      </c>
      <c r="Q976" s="5">
        <f t="shared" si="385"/>
        <v>1.2167009442598338</v>
      </c>
      <c r="R976" s="5">
        <f t="shared" si="386"/>
        <v>0.1540153787585038</v>
      </c>
      <c r="S976" s="4">
        <f t="shared" si="403"/>
        <v>0.10317747578350504</v>
      </c>
      <c r="T976" s="5">
        <f t="shared" si="387"/>
        <v>9.2479497990770779E-2</v>
      </c>
      <c r="U976" s="4">
        <f t="shared" si="388"/>
        <v>0</v>
      </c>
      <c r="V976" s="4">
        <f t="shared" si="389"/>
        <v>0</v>
      </c>
      <c r="W976" s="5">
        <f t="shared" si="390"/>
        <v>0</v>
      </c>
      <c r="X976" s="5">
        <f t="shared" si="391"/>
        <v>-11.27414925802853</v>
      </c>
      <c r="Y976" s="5">
        <f t="shared" si="392"/>
        <v>14.338431598915175</v>
      </c>
      <c r="Z976" s="5">
        <f>1</f>
        <v>1</v>
      </c>
      <c r="AA976" s="5">
        <f>IF(M976=0,0,const*($T976/omega)*O976*(wy*I976-wz*(H976-V976))/Z976)</f>
        <v>0</v>
      </c>
      <c r="AB976" s="5">
        <f>IF(M976=0,0,const*($T976/omega)*O976*(wz*(G976-U976)-wx*I976)/Z976)</f>
        <v>8.6096009822620765</v>
      </c>
      <c r="AC976" s="5">
        <f>IF(M976=0,0,const*($T976/omega)*O976*(wx*(H976-V976)-wy*(G976-U976))/Z976)</f>
        <v>6.7696334746567093</v>
      </c>
      <c r="AD976" s="5">
        <f t="shared" si="405"/>
        <v>0</v>
      </c>
      <c r="AE976" s="5">
        <f t="shared" si="405"/>
        <v>-2.6645482757664531</v>
      </c>
      <c r="AF976" s="5">
        <f t="shared" si="393"/>
        <v>-11.065934926428113</v>
      </c>
      <c r="AG976">
        <f t="shared" si="404"/>
        <v>0</v>
      </c>
    </row>
    <row r="977" spans="1:33" x14ac:dyDescent="0.2">
      <c r="A977">
        <f t="shared" si="394"/>
        <v>9.449999999999843</v>
      </c>
      <c r="B977" s="5">
        <f t="shared" si="395"/>
        <v>0</v>
      </c>
      <c r="C977" s="5">
        <f t="shared" si="396"/>
        <v>1218.3865539457443</v>
      </c>
      <c r="D977" s="5">
        <f t="shared" si="397"/>
        <v>-370.68586047981142</v>
      </c>
      <c r="E977" s="2">
        <f t="shared" si="379"/>
        <v>406.12885131524808</v>
      </c>
      <c r="F977" s="2">
        <f t="shared" si="398"/>
        <v>0</v>
      </c>
      <c r="G977" s="3">
        <f t="shared" si="399"/>
        <v>0</v>
      </c>
      <c r="H977" s="3">
        <f t="shared" si="400"/>
        <v>89.205241136085959</v>
      </c>
      <c r="I977" s="3">
        <f t="shared" si="401"/>
        <v>-113.59552401125435</v>
      </c>
      <c r="J977" s="2">
        <f t="shared" si="380"/>
        <v>144.43516926821772</v>
      </c>
      <c r="K977" s="2">
        <f t="shared" si="402"/>
        <v>98.456148103761223</v>
      </c>
      <c r="L977" s="5">
        <f t="shared" si="381"/>
        <v>24.228304844054897</v>
      </c>
      <c r="M977" s="3">
        <f t="shared" si="382"/>
        <v>14.886197496856996</v>
      </c>
      <c r="N977" s="2">
        <v>0</v>
      </c>
      <c r="O977" s="2">
        <f t="shared" si="383"/>
        <v>144.43516926821772</v>
      </c>
      <c r="P977" s="2">
        <f t="shared" si="384"/>
        <v>98.456148103761223</v>
      </c>
      <c r="Q977" s="5">
        <f t="shared" si="385"/>
        <v>1.2172955142958679</v>
      </c>
      <c r="R977" s="5">
        <f t="shared" si="386"/>
        <v>0.15399188350801177</v>
      </c>
      <c r="S977" s="4">
        <f t="shared" si="403"/>
        <v>0.10306490844493117</v>
      </c>
      <c r="T977" s="5">
        <f t="shared" si="387"/>
        <v>9.2439126465350491E-2</v>
      </c>
      <c r="U977" s="4">
        <f t="shared" si="388"/>
        <v>0</v>
      </c>
      <c r="V977" s="4">
        <f t="shared" si="389"/>
        <v>0</v>
      </c>
      <c r="W977" s="5">
        <f t="shared" si="390"/>
        <v>0</v>
      </c>
      <c r="X977" s="5">
        <f t="shared" si="391"/>
        <v>-11.274570215384115</v>
      </c>
      <c r="Y977" s="5">
        <f t="shared" si="392"/>
        <v>14.357236136657274</v>
      </c>
      <c r="Z977" s="5">
        <f>1</f>
        <v>1</v>
      </c>
      <c r="AA977" s="5">
        <f>IF(M977=0,0,const*($T977/omega)*O977*(wy*I977-wz*(H977-V977))/Z977)</f>
        <v>0</v>
      </c>
      <c r="AB977" s="5">
        <f>IF(M977=0,0,const*($T977/omega)*O977*(wz*(G977-U977)-wx*I977)/Z977)</f>
        <v>8.6184436263506878</v>
      </c>
      <c r="AC977" s="5">
        <f>IF(M977=0,0,const*($T977/omega)*O977*(wx*(H977-V977)-wy*(G977-U977))/Z977)</f>
        <v>6.7679633383284292</v>
      </c>
      <c r="AD977" s="5">
        <f t="shared" si="405"/>
        <v>0</v>
      </c>
      <c r="AE977" s="5">
        <f t="shared" si="405"/>
        <v>-2.6561265890334269</v>
      </c>
      <c r="AF977" s="5">
        <f t="shared" si="393"/>
        <v>-11.048800525014297</v>
      </c>
      <c r="AG977">
        <f t="shared" si="404"/>
        <v>0</v>
      </c>
    </row>
    <row r="978" spans="1:33" x14ac:dyDescent="0.2">
      <c r="A978">
        <f t="shared" si="394"/>
        <v>9.4599999999998428</v>
      </c>
      <c r="B978" s="5">
        <f t="shared" si="395"/>
        <v>0</v>
      </c>
      <c r="C978" s="5">
        <f t="shared" si="396"/>
        <v>1219.2784735507757</v>
      </c>
      <c r="D978" s="5">
        <f t="shared" si="397"/>
        <v>-371.8223681599502</v>
      </c>
      <c r="E978" s="2">
        <f t="shared" si="379"/>
        <v>406.42615785025856</v>
      </c>
      <c r="F978" s="2">
        <f t="shared" si="398"/>
        <v>0</v>
      </c>
      <c r="G978" s="3">
        <f t="shared" si="399"/>
        <v>0</v>
      </c>
      <c r="H978" s="3">
        <f t="shared" si="400"/>
        <v>89.178679870195623</v>
      </c>
      <c r="I978" s="3">
        <f t="shared" si="401"/>
        <v>-113.7060120165045</v>
      </c>
      <c r="J978" s="2">
        <f t="shared" si="380"/>
        <v>144.50568885718064</v>
      </c>
      <c r="K978" s="2">
        <f t="shared" si="402"/>
        <v>98.504218716551222</v>
      </c>
      <c r="L978" s="5">
        <f t="shared" si="381"/>
        <v>24.216481295014148</v>
      </c>
      <c r="M978" s="3">
        <f t="shared" si="382"/>
        <v>14.877218225907001</v>
      </c>
      <c r="N978" s="2">
        <v>0</v>
      </c>
      <c r="O978" s="2">
        <f t="shared" si="383"/>
        <v>144.50568885718064</v>
      </c>
      <c r="P978" s="2">
        <f t="shared" si="384"/>
        <v>98.504218716551222</v>
      </c>
      <c r="Q978" s="5">
        <f t="shared" si="385"/>
        <v>1.2178898513936087</v>
      </c>
      <c r="R978" s="5">
        <f t="shared" si="386"/>
        <v>0.15396841606895517</v>
      </c>
      <c r="S978" s="4">
        <f t="shared" si="403"/>
        <v>0.10295247435283054</v>
      </c>
      <c r="T978" s="5">
        <f t="shared" si="387"/>
        <v>9.2398776309969913E-2</v>
      </c>
      <c r="U978" s="4">
        <f t="shared" si="388"/>
        <v>0</v>
      </c>
      <c r="V978" s="4">
        <f t="shared" si="389"/>
        <v>0</v>
      </c>
      <c r="W978" s="5">
        <f t="shared" si="390"/>
        <v>0</v>
      </c>
      <c r="X978" s="5">
        <f t="shared" si="391"/>
        <v>-11.274997757940373</v>
      </c>
      <c r="Y978" s="5">
        <f t="shared" si="392"/>
        <v>14.376026113152836</v>
      </c>
      <c r="Z978" s="5">
        <f>1</f>
        <v>1</v>
      </c>
      <c r="AA978" s="5">
        <f>IF(M978=0,0,const*($T978/omega)*O978*(wy*I978-wz*(H978-V978))/Z978)</f>
        <v>0</v>
      </c>
      <c r="AB978" s="5">
        <f>IF(M978=0,0,const*($T978/omega)*O978*(wz*(G978-U978)-wx*I978)/Z978)</f>
        <v>8.627270806374991</v>
      </c>
      <c r="AC978" s="5">
        <f>IF(M978=0,0,const*($T978/omega)*O978*(wx*(H978-V978)-wy*(G978-U978))/Z978)</f>
        <v>6.7662967661158087</v>
      </c>
      <c r="AD978" s="5">
        <f t="shared" si="405"/>
        <v>0</v>
      </c>
      <c r="AE978" s="5">
        <f t="shared" si="405"/>
        <v>-2.6477269515653816</v>
      </c>
      <c r="AF978" s="5">
        <f t="shared" si="393"/>
        <v>-11.031677120731356</v>
      </c>
      <c r="AG978">
        <f t="shared" si="404"/>
        <v>0</v>
      </c>
    </row>
    <row r="979" spans="1:33" x14ac:dyDescent="0.2">
      <c r="A979">
        <f t="shared" si="394"/>
        <v>9.4699999999998425</v>
      </c>
      <c r="B979" s="5">
        <f t="shared" si="395"/>
        <v>0</v>
      </c>
      <c r="C979" s="5">
        <f t="shared" si="396"/>
        <v>1220.1701279631302</v>
      </c>
      <c r="D979" s="5">
        <f t="shared" si="397"/>
        <v>-372.95997986397123</v>
      </c>
      <c r="E979" s="2">
        <f t="shared" si="379"/>
        <v>406.72337598771009</v>
      </c>
      <c r="F979" s="2">
        <f t="shared" si="398"/>
        <v>0</v>
      </c>
      <c r="G979" s="3">
        <f t="shared" si="399"/>
        <v>0</v>
      </c>
      <c r="H979" s="3">
        <f t="shared" si="400"/>
        <v>89.152202600679971</v>
      </c>
      <c r="I979" s="3">
        <f t="shared" si="401"/>
        <v>-113.81632878771181</v>
      </c>
      <c r="J979" s="2">
        <f t="shared" si="380"/>
        <v>144.5761803592321</v>
      </c>
      <c r="K979" s="2">
        <f t="shared" si="402"/>
        <v>98.552270183525621</v>
      </c>
      <c r="L979" s="5">
        <f t="shared" si="381"/>
        <v>24.204673982518791</v>
      </c>
      <c r="M979" s="3">
        <f t="shared" si="382"/>
        <v>14.868239508868848</v>
      </c>
      <c r="N979" s="2">
        <v>0</v>
      </c>
      <c r="O979" s="2">
        <f t="shared" si="383"/>
        <v>144.5761803592321</v>
      </c>
      <c r="P979" s="2">
        <f t="shared" si="384"/>
        <v>98.552270183525621</v>
      </c>
      <c r="Q979" s="5">
        <f t="shared" si="385"/>
        <v>1.2184839517756552</v>
      </c>
      <c r="R979" s="5">
        <f t="shared" si="386"/>
        <v>0.15394497649289748</v>
      </c>
      <c r="S979" s="4">
        <f t="shared" si="403"/>
        <v>0.10284017375424746</v>
      </c>
      <c r="T979" s="5">
        <f t="shared" si="387"/>
        <v>9.2358447661176374E-2</v>
      </c>
      <c r="U979" s="4">
        <f t="shared" si="388"/>
        <v>0</v>
      </c>
      <c r="V979" s="4">
        <f t="shared" si="389"/>
        <v>0</v>
      </c>
      <c r="W979" s="5">
        <f t="shared" si="390"/>
        <v>0</v>
      </c>
      <c r="X979" s="5">
        <f t="shared" si="391"/>
        <v>-11.275431842929427</v>
      </c>
      <c r="Y979" s="5">
        <f t="shared" si="392"/>
        <v>14.39480147906635</v>
      </c>
      <c r="Z979" s="5">
        <f>1</f>
        <v>1</v>
      </c>
      <c r="AA979" s="5">
        <f>IF(M979=0,0,const*($T979/omega)*O979*(wy*I979-wz*(H979-V979))/Z979)</f>
        <v>0</v>
      </c>
      <c r="AB979" s="5">
        <f>IF(M979=0,0,const*($T979/omega)*O979*(wz*(G979-U979)-wx*I979)/Z979)</f>
        <v>8.6360825100305334</v>
      </c>
      <c r="AC979" s="5">
        <f>IF(M979=0,0,const*($T979/omega)*O979*(wx*(H979-V979)-wy*(G979-U979))/Z979)</f>
        <v>6.7646337376290075</v>
      </c>
      <c r="AD979" s="5">
        <f t="shared" si="405"/>
        <v>0</v>
      </c>
      <c r="AE979" s="5">
        <f t="shared" si="405"/>
        <v>-2.6393493328988935</v>
      </c>
      <c r="AF979" s="5">
        <f t="shared" si="393"/>
        <v>-11.014564783304643</v>
      </c>
      <c r="AG979">
        <f t="shared" si="404"/>
        <v>0</v>
      </c>
    </row>
    <row r="980" spans="1:33" x14ac:dyDescent="0.2">
      <c r="A980">
        <f t="shared" si="394"/>
        <v>9.4799999999998423</v>
      </c>
      <c r="B980" s="5">
        <f t="shared" si="395"/>
        <v>0</v>
      </c>
      <c r="C980" s="5">
        <f t="shared" si="396"/>
        <v>1221.0615180216705</v>
      </c>
      <c r="D980" s="5">
        <f t="shared" si="397"/>
        <v>-374.09869388008747</v>
      </c>
      <c r="E980" s="2">
        <f t="shared" si="379"/>
        <v>407.0205060072235</v>
      </c>
      <c r="F980" s="2">
        <f t="shared" si="398"/>
        <v>0</v>
      </c>
      <c r="G980" s="3">
        <f t="shared" si="399"/>
        <v>0</v>
      </c>
      <c r="H980" s="3">
        <f t="shared" si="400"/>
        <v>89.125809107350975</v>
      </c>
      <c r="I980" s="3">
        <f t="shared" si="401"/>
        <v>-113.92647443554486</v>
      </c>
      <c r="J980" s="2">
        <f t="shared" si="380"/>
        <v>144.64664332902032</v>
      </c>
      <c r="K980" s="2">
        <f t="shared" si="402"/>
        <v>98.600302201104512</v>
      </c>
      <c r="L980" s="5">
        <f t="shared" si="381"/>
        <v>24.192882950440119</v>
      </c>
      <c r="M980" s="3">
        <f t="shared" si="382"/>
        <v>14.859261372784157</v>
      </c>
      <c r="N980" s="2">
        <v>0</v>
      </c>
      <c r="O980" s="2">
        <f t="shared" si="383"/>
        <v>144.64664332902032</v>
      </c>
      <c r="P980" s="2">
        <f t="shared" si="384"/>
        <v>98.600302201104512</v>
      </c>
      <c r="Q980" s="5">
        <f t="shared" si="385"/>
        <v>1.2190778116885959</v>
      </c>
      <c r="R980" s="5">
        <f t="shared" si="386"/>
        <v>0.15392156483048536</v>
      </c>
      <c r="S980" s="4">
        <f t="shared" si="403"/>
        <v>0.10272800689183333</v>
      </c>
      <c r="T980" s="5">
        <f t="shared" si="387"/>
        <v>9.2318140654256475E-2</v>
      </c>
      <c r="U980" s="4">
        <f t="shared" si="388"/>
        <v>0</v>
      </c>
      <c r="V980" s="4">
        <f t="shared" si="389"/>
        <v>0</v>
      </c>
      <c r="W980" s="5">
        <f t="shared" si="390"/>
        <v>0</v>
      </c>
      <c r="X980" s="5">
        <f t="shared" si="391"/>
        <v>-11.275872427787558</v>
      </c>
      <c r="Y980" s="5">
        <f t="shared" si="392"/>
        <v>14.413562185286805</v>
      </c>
      <c r="Z980" s="5">
        <f>1</f>
        <v>1</v>
      </c>
      <c r="AA980" s="5">
        <f>IF(M980=0,0,const*($T980/omega)*O980*(wy*I980-wz*(H980-V980))/Z980)</f>
        <v>0</v>
      </c>
      <c r="AB980" s="5">
        <f>IF(M980=0,0,const*($T980/omega)*O980*(wz*(G980-U980)-wx*I980)/Z980)</f>
        <v>8.6448787251845634</v>
      </c>
      <c r="AC980" s="5">
        <f>IF(M980=0,0,const*($T980/omega)*O980*(wx*(H980-V980)-wy*(G980-U980))/Z980)</f>
        <v>6.7629742325863642</v>
      </c>
      <c r="AD980" s="5">
        <f t="shared" si="405"/>
        <v>0</v>
      </c>
      <c r="AE980" s="5">
        <f t="shared" si="405"/>
        <v>-2.6309937026029946</v>
      </c>
      <c r="AF980" s="5">
        <f t="shared" si="393"/>
        <v>-10.99746358212683</v>
      </c>
      <c r="AG980">
        <f t="shared" si="404"/>
        <v>0</v>
      </c>
    </row>
    <row r="981" spans="1:33" x14ac:dyDescent="0.2">
      <c r="A981">
        <f t="shared" si="394"/>
        <v>9.4899999999998421</v>
      </c>
      <c r="B981" s="5">
        <f t="shared" si="395"/>
        <v>0</v>
      </c>
      <c r="C981" s="5">
        <f t="shared" si="396"/>
        <v>1221.9526445630588</v>
      </c>
      <c r="D981" s="5">
        <f t="shared" si="397"/>
        <v>-375.23850849762204</v>
      </c>
      <c r="E981" s="2">
        <f t="shared" si="379"/>
        <v>407.31754818768627</v>
      </c>
      <c r="F981" s="2">
        <f t="shared" si="398"/>
        <v>0</v>
      </c>
      <c r="G981" s="3">
        <f t="shared" si="399"/>
        <v>0</v>
      </c>
      <c r="H981" s="3">
        <f t="shared" si="400"/>
        <v>89.099499170324947</v>
      </c>
      <c r="I981" s="3">
        <f t="shared" si="401"/>
        <v>-114.03644907136614</v>
      </c>
      <c r="J981" s="2">
        <f t="shared" si="380"/>
        <v>144.71707732402911</v>
      </c>
      <c r="K981" s="2">
        <f t="shared" si="402"/>
        <v>98.64831446764083</v>
      </c>
      <c r="L981" s="5">
        <f t="shared" si="381"/>
        <v>24.181108241964186</v>
      </c>
      <c r="M981" s="3">
        <f t="shared" si="382"/>
        <v>14.850283844600078</v>
      </c>
      <c r="N981" s="2">
        <v>0</v>
      </c>
      <c r="O981" s="2">
        <f t="shared" si="383"/>
        <v>144.71707732402911</v>
      </c>
      <c r="P981" s="2">
        <f t="shared" si="384"/>
        <v>98.64831446764083</v>
      </c>
      <c r="Q981" s="5">
        <f t="shared" si="385"/>
        <v>1.2196714274029159</v>
      </c>
      <c r="R981" s="5">
        <f t="shared" si="386"/>
        <v>0.15389818113145548</v>
      </c>
      <c r="S981" s="4">
        <f t="shared" si="403"/>
        <v>0.1026159740038801</v>
      </c>
      <c r="T981" s="5">
        <f t="shared" si="387"/>
        <v>9.2277855423243377E-2</v>
      </c>
      <c r="U981" s="4">
        <f t="shared" si="388"/>
        <v>0</v>
      </c>
      <c r="V981" s="4">
        <f t="shared" si="389"/>
        <v>0</v>
      </c>
      <c r="W981" s="5">
        <f t="shared" si="390"/>
        <v>0</v>
      </c>
      <c r="X981" s="5">
        <f t="shared" si="391"/>
        <v>-11.276319470154039</v>
      </c>
      <c r="Y981" s="5">
        <f t="shared" si="392"/>
        <v>14.432308182928091</v>
      </c>
      <c r="Z981" s="5">
        <f>1</f>
        <v>1</v>
      </c>
      <c r="AA981" s="5">
        <f>IF(M981=0,0,const*($T981/omega)*O981*(wy*I981-wz*(H981-V981))/Z981)</f>
        <v>0</v>
      </c>
      <c r="AB981" s="5">
        <f>IF(M981=0,0,const*($T981/omega)*O981*(wz*(G981-U981)-wx*I981)/Z981)</f>
        <v>8.6536594398757689</v>
      </c>
      <c r="AC981" s="5">
        <f>IF(M981=0,0,const*($T981/omega)*O981*(wx*(H981-V981)-wy*(G981-U981))/Z981)</f>
        <v>6.761318230813699</v>
      </c>
      <c r="AD981" s="5">
        <f t="shared" si="405"/>
        <v>0</v>
      </c>
      <c r="AE981" s="5">
        <f t="shared" si="405"/>
        <v>-2.6226600302782703</v>
      </c>
      <c r="AF981" s="5">
        <f t="shared" si="393"/>
        <v>-10.98037358625821</v>
      </c>
      <c r="AG981">
        <f t="shared" si="404"/>
        <v>0</v>
      </c>
    </row>
    <row r="982" spans="1:33" x14ac:dyDescent="0.2">
      <c r="A982">
        <f t="shared" si="394"/>
        <v>9.4999999999998419</v>
      </c>
      <c r="B982" s="5">
        <f t="shared" si="395"/>
        <v>0</v>
      </c>
      <c r="C982" s="5">
        <f t="shared" si="396"/>
        <v>1222.8435084217606</v>
      </c>
      <c r="D982" s="5">
        <f t="shared" si="397"/>
        <v>-376.37942200701497</v>
      </c>
      <c r="E982" s="2">
        <f t="shared" si="379"/>
        <v>407.61450280725353</v>
      </c>
      <c r="F982" s="2">
        <f t="shared" si="398"/>
        <v>0</v>
      </c>
      <c r="G982" s="3">
        <f t="shared" si="399"/>
        <v>0</v>
      </c>
      <c r="H982" s="3">
        <f t="shared" si="400"/>
        <v>89.073272570022169</v>
      </c>
      <c r="I982" s="3">
        <f t="shared" si="401"/>
        <v>-114.14625280722872</v>
      </c>
      <c r="J982" s="2">
        <f t="shared" si="380"/>
        <v>144.78748190456673</v>
      </c>
      <c r="K982" s="2">
        <f t="shared" si="402"/>
        <v>98.696306683412899</v>
      </c>
      <c r="L982" s="5">
        <f t="shared" si="381"/>
        <v>24.169349899597044</v>
      </c>
      <c r="M982" s="3">
        <f t="shared" si="382"/>
        <v>14.841306951169271</v>
      </c>
      <c r="N982" s="2">
        <v>0</v>
      </c>
      <c r="O982" s="2">
        <f t="shared" si="383"/>
        <v>144.78748190456673</v>
      </c>
      <c r="P982" s="2">
        <f t="shared" si="384"/>
        <v>98.696306683412899</v>
      </c>
      <c r="Q982" s="5">
        <f t="shared" si="385"/>
        <v>1.2202647952129069</v>
      </c>
      <c r="R982" s="5">
        <f t="shared" si="386"/>
        <v>0.15387482544464173</v>
      </c>
      <c r="S982" s="4">
        <f t="shared" si="403"/>
        <v>0.10250407532435414</v>
      </c>
      <c r="T982" s="5">
        <f t="shared" si="387"/>
        <v>9.2237592100924207E-2</v>
      </c>
      <c r="U982" s="4">
        <f t="shared" si="388"/>
        <v>0</v>
      </c>
      <c r="V982" s="4">
        <f t="shared" si="389"/>
        <v>0</v>
      </c>
      <c r="W982" s="5">
        <f t="shared" si="390"/>
        <v>0</v>
      </c>
      <c r="X982" s="5">
        <f t="shared" si="391"/>
        <v>-11.276772927869935</v>
      </c>
      <c r="Y982" s="5">
        <f t="shared" si="392"/>
        <v>14.451039423329386</v>
      </c>
      <c r="Z982" s="5">
        <f>1</f>
        <v>1</v>
      </c>
      <c r="AA982" s="5">
        <f>IF(M982=0,0,const*($T982/omega)*O982*(wy*I982-wz*(H982-V982))/Z982)</f>
        <v>0</v>
      </c>
      <c r="AB982" s="5">
        <f>IF(M982=0,0,const*($T982/omega)*O982*(wz*(G982-U982)-wx*I982)/Z982)</f>
        <v>8.6624246423140061</v>
      </c>
      <c r="AC982" s="5">
        <f>IF(M982=0,0,const*($T982/omega)*O982*(wx*(H982-V982)-wy*(G982-U982))/Z982)</f>
        <v>6.7596657122435868</v>
      </c>
      <c r="AD982" s="5">
        <f t="shared" si="405"/>
        <v>0</v>
      </c>
      <c r="AE982" s="5">
        <f t="shared" si="405"/>
        <v>-2.6143482855559288</v>
      </c>
      <c r="AF982" s="5">
        <f t="shared" si="393"/>
        <v>-10.963294864427027</v>
      </c>
      <c r="AG982">
        <f t="shared" si="404"/>
        <v>0</v>
      </c>
    </row>
    <row r="983" spans="1:33" x14ac:dyDescent="0.2">
      <c r="A983">
        <f t="shared" si="394"/>
        <v>9.5099999999998417</v>
      </c>
      <c r="B983" s="5">
        <f t="shared" si="395"/>
        <v>0</v>
      </c>
      <c r="C983" s="5">
        <f t="shared" si="396"/>
        <v>1223.7341104300465</v>
      </c>
      <c r="D983" s="5">
        <f t="shared" si="397"/>
        <v>-377.52143269983048</v>
      </c>
      <c r="E983" s="2">
        <f t="shared" si="379"/>
        <v>407.91137014334885</v>
      </c>
      <c r="F983" s="2">
        <f t="shared" si="398"/>
        <v>0</v>
      </c>
      <c r="G983" s="3">
        <f t="shared" si="399"/>
        <v>0</v>
      </c>
      <c r="H983" s="3">
        <f t="shared" si="400"/>
        <v>89.04712908716661</v>
      </c>
      <c r="I983" s="3">
        <f t="shared" si="401"/>
        <v>-114.255885755873</v>
      </c>
      <c r="J983" s="2">
        <f t="shared" si="380"/>
        <v>144.85785663375535</v>
      </c>
      <c r="K983" s="2">
        <f t="shared" si="402"/>
        <v>98.744278550617139</v>
      </c>
      <c r="L983" s="5">
        <f t="shared" si="381"/>
        <v>24.157607965169909</v>
      </c>
      <c r="M983" s="3">
        <f t="shared" si="382"/>
        <v>14.832330719249853</v>
      </c>
      <c r="N983" s="2">
        <v>0</v>
      </c>
      <c r="O983" s="2">
        <f t="shared" si="383"/>
        <v>144.85785663375535</v>
      </c>
      <c r="P983" s="2">
        <f t="shared" si="384"/>
        <v>98.744278550617139</v>
      </c>
      <c r="Q983" s="5">
        <f t="shared" si="385"/>
        <v>1.2208579114365741</v>
      </c>
      <c r="R983" s="5">
        <f t="shared" si="386"/>
        <v>0.15385149781798205</v>
      </c>
      <c r="S983" s="4">
        <f t="shared" si="403"/>
        <v>0.10239231108292932</v>
      </c>
      <c r="T983" s="5">
        <f t="shared" si="387"/>
        <v>9.2197350818847182E-2</v>
      </c>
      <c r="U983" s="4">
        <f t="shared" si="388"/>
        <v>0</v>
      </c>
      <c r="V983" s="4">
        <f t="shared" si="389"/>
        <v>0</v>
      </c>
      <c r="W983" s="5">
        <f t="shared" si="390"/>
        <v>0</v>
      </c>
      <c r="X983" s="5">
        <f t="shared" si="391"/>
        <v>-11.277232758976945</v>
      </c>
      <c r="Y983" s="5">
        <f t="shared" si="392"/>
        <v>14.469755858055555</v>
      </c>
      <c r="Z983" s="5">
        <f>1</f>
        <v>1</v>
      </c>
      <c r="AA983" s="5">
        <f>IF(M983=0,0,const*($T983/omega)*O983*(wy*I983-wz*(H983-V983))/Z983)</f>
        <v>0</v>
      </c>
      <c r="AB983" s="5">
        <f>IF(M983=0,0,const*($T983/omega)*O983*(wz*(G983-U983)-wx*I983)/Z983)</f>
        <v>8.6711743208800378</v>
      </c>
      <c r="AC983" s="5">
        <f>IF(M983=0,0,const*($T983/omega)*O983*(wx*(H983-V983)-wy*(G983-U983))/Z983)</f>
        <v>6.7580166569146671</v>
      </c>
      <c r="AD983" s="5">
        <f t="shared" si="405"/>
        <v>0</v>
      </c>
      <c r="AE983" s="5">
        <f t="shared" si="405"/>
        <v>-2.6060584380969072</v>
      </c>
      <c r="AF983" s="5">
        <f t="shared" si="393"/>
        <v>-10.946227485029777</v>
      </c>
      <c r="AG983">
        <f t="shared" si="404"/>
        <v>0</v>
      </c>
    </row>
    <row r="984" spans="1:33" x14ac:dyDescent="0.2">
      <c r="A984">
        <f t="shared" si="394"/>
        <v>9.5199999999998415</v>
      </c>
      <c r="B984" s="5">
        <f t="shared" si="395"/>
        <v>0</v>
      </c>
      <c r="C984" s="5">
        <f t="shared" si="396"/>
        <v>1224.6244514179962</v>
      </c>
      <c r="D984" s="5">
        <f t="shared" si="397"/>
        <v>-378.66453886876349</v>
      </c>
      <c r="E984" s="2">
        <f t="shared" si="379"/>
        <v>408.20815047266541</v>
      </c>
      <c r="F984" s="2">
        <f t="shared" si="398"/>
        <v>0</v>
      </c>
      <c r="G984" s="3">
        <f t="shared" si="399"/>
        <v>0</v>
      </c>
      <c r="H984" s="3">
        <f t="shared" si="400"/>
        <v>89.021068502785639</v>
      </c>
      <c r="I984" s="3">
        <f t="shared" si="401"/>
        <v>-114.3653480307233</v>
      </c>
      <c r="J984" s="2">
        <f t="shared" si="380"/>
        <v>144.92820107752019</v>
      </c>
      <c r="K984" s="2">
        <f t="shared" si="402"/>
        <v>98.792229773360717</v>
      </c>
      <c r="L984" s="5">
        <f t="shared" si="381"/>
        <v>24.145882479844317</v>
      </c>
      <c r="M984" s="3">
        <f t="shared" si="382"/>
        <v>14.823355175505359</v>
      </c>
      <c r="N984" s="2">
        <v>0</v>
      </c>
      <c r="O984" s="2">
        <f t="shared" si="383"/>
        <v>144.92820107752019</v>
      </c>
      <c r="P984" s="2">
        <f t="shared" si="384"/>
        <v>98.792229773360717</v>
      </c>
      <c r="Q984" s="5">
        <f t="shared" si="385"/>
        <v>1.2214507724155474</v>
      </c>
      <c r="R984" s="5">
        <f t="shared" si="386"/>
        <v>0.15382819829852531</v>
      </c>
      <c r="S984" s="4">
        <f t="shared" si="403"/>
        <v>0.10228068150502014</v>
      </c>
      <c r="T984" s="5">
        <f t="shared" si="387"/>
        <v>9.2157131707329018E-2</v>
      </c>
      <c r="U984" s="4">
        <f t="shared" si="388"/>
        <v>0</v>
      </c>
      <c r="V984" s="4">
        <f t="shared" si="389"/>
        <v>0</v>
      </c>
      <c r="W984" s="5">
        <f t="shared" si="390"/>
        <v>0</v>
      </c>
      <c r="X984" s="5">
        <f t="shared" si="391"/>
        <v>-11.277698921716231</v>
      </c>
      <c r="Y984" s="5">
        <f t="shared" si="392"/>
        <v>14.488457438897512</v>
      </c>
      <c r="Z984" s="5">
        <f>1</f>
        <v>1</v>
      </c>
      <c r="AA984" s="5">
        <f>IF(M984=0,0,const*($T984/omega)*O984*(wy*I984-wz*(H984-V984))/Z984)</f>
        <v>0</v>
      </c>
      <c r="AB984" s="5">
        <f>IF(M984=0,0,const*($T984/omega)*O984*(wz*(G984-U984)-wx*I984)/Z984)</f>
        <v>8.6799084641252602</v>
      </c>
      <c r="AC984" s="5">
        <f>IF(M984=0,0,const*($T984/omega)*O984*(wx*(H984-V984)-wy*(G984-U984))/Z984)</f>
        <v>6.7563710449709449</v>
      </c>
      <c r="AD984" s="5">
        <f t="shared" si="405"/>
        <v>0</v>
      </c>
      <c r="AE984" s="5">
        <f t="shared" si="405"/>
        <v>-2.5977904575909712</v>
      </c>
      <c r="AF984" s="5">
        <f t="shared" si="393"/>
        <v>-10.929171516131543</v>
      </c>
      <c r="AG984">
        <f t="shared" si="404"/>
        <v>0</v>
      </c>
    </row>
    <row r="985" spans="1:33" x14ac:dyDescent="0.2">
      <c r="A985">
        <f t="shared" si="394"/>
        <v>9.5299999999998413</v>
      </c>
      <c r="B985" s="5">
        <f t="shared" si="395"/>
        <v>0</v>
      </c>
      <c r="C985" s="5">
        <f t="shared" si="396"/>
        <v>1225.5145322135011</v>
      </c>
      <c r="D985" s="5">
        <f t="shared" si="397"/>
        <v>-379.80873880764653</v>
      </c>
      <c r="E985" s="2">
        <f t="shared" si="379"/>
        <v>408.50484407116704</v>
      </c>
      <c r="F985" s="2">
        <f t="shared" si="398"/>
        <v>0</v>
      </c>
      <c r="G985" s="3">
        <f t="shared" si="399"/>
        <v>0</v>
      </c>
      <c r="H985" s="3">
        <f t="shared" si="400"/>
        <v>88.995090598209728</v>
      </c>
      <c r="I985" s="3">
        <f t="shared" si="401"/>
        <v>-114.47463974588462</v>
      </c>
      <c r="J985" s="2">
        <f t="shared" si="380"/>
        <v>144.99851480457869</v>
      </c>
      <c r="K985" s="2">
        <f t="shared" si="402"/>
        <v>98.840160057654174</v>
      </c>
      <c r="L985" s="5">
        <f t="shared" si="381"/>
        <v>24.134173484117273</v>
      </c>
      <c r="M985" s="3">
        <f t="shared" si="382"/>
        <v>14.814380346504706</v>
      </c>
      <c r="N985" s="2">
        <v>0</v>
      </c>
      <c r="O985" s="2">
        <f t="shared" si="383"/>
        <v>144.99851480457869</v>
      </c>
      <c r="P985" s="2">
        <f t="shared" si="384"/>
        <v>98.840160057654174</v>
      </c>
      <c r="Q985" s="5">
        <f t="shared" si="385"/>
        <v>1.2220433745149903</v>
      </c>
      <c r="R985" s="5">
        <f t="shared" si="386"/>
        <v>0.15380492693243836</v>
      </c>
      <c r="S985" s="4">
        <f t="shared" si="403"/>
        <v>0.10216918681181487</v>
      </c>
      <c r="T985" s="5">
        <f t="shared" si="387"/>
        <v>9.2116934895462008E-2</v>
      </c>
      <c r="U985" s="4">
        <f t="shared" si="388"/>
        <v>0</v>
      </c>
      <c r="V985" s="4">
        <f t="shared" si="389"/>
        <v>0</v>
      </c>
      <c r="W985" s="5">
        <f t="shared" si="390"/>
        <v>0</v>
      </c>
      <c r="X985" s="5">
        <f t="shared" si="391"/>
        <v>-11.278171374527274</v>
      </c>
      <c r="Y985" s="5">
        <f t="shared" si="392"/>
        <v>14.507144117872606</v>
      </c>
      <c r="Z985" s="5">
        <f>1</f>
        <v>1</v>
      </c>
      <c r="AA985" s="5">
        <f>IF(M985=0,0,const*($T985/omega)*O985*(wy*I985-wz*(H985-V985))/Z985)</f>
        <v>0</v>
      </c>
      <c r="AB985" s="5">
        <f>IF(M985=0,0,const*($T985/omega)*O985*(wz*(G985-U985)-wx*I985)/Z985)</f>
        <v>8.6886270607714255</v>
      </c>
      <c r="AC985" s="5">
        <f>IF(M985=0,0,const*($T985/omega)*O985*(wx*(H985-V985)-wy*(G985-U985))/Z985)</f>
        <v>6.7547288566610932</v>
      </c>
      <c r="AD985" s="5">
        <f t="shared" si="405"/>
        <v>0</v>
      </c>
      <c r="AE985" s="5">
        <f t="shared" si="405"/>
        <v>-2.589544313755848</v>
      </c>
      <c r="AF985" s="5">
        <f t="shared" si="393"/>
        <v>-10.912127025466301</v>
      </c>
      <c r="AG985">
        <f t="shared" si="404"/>
        <v>0</v>
      </c>
    </row>
    <row r="986" spans="1:33" x14ac:dyDescent="0.2">
      <c r="A986">
        <f t="shared" si="394"/>
        <v>9.5399999999998411</v>
      </c>
      <c r="B986" s="5">
        <f t="shared" si="395"/>
        <v>0</v>
      </c>
      <c r="C986" s="5">
        <f t="shared" si="396"/>
        <v>1226.4043536422673</v>
      </c>
      <c r="D986" s="5">
        <f t="shared" si="397"/>
        <v>-380.95403081145668</v>
      </c>
      <c r="E986" s="2">
        <f t="shared" si="379"/>
        <v>408.80145121408913</v>
      </c>
      <c r="F986" s="2">
        <f t="shared" si="398"/>
        <v>0</v>
      </c>
      <c r="G986" s="3">
        <f t="shared" si="399"/>
        <v>0</v>
      </c>
      <c r="H986" s="3">
        <f t="shared" si="400"/>
        <v>88.969195155072171</v>
      </c>
      <c r="I986" s="3">
        <f t="shared" si="401"/>
        <v>-114.58376101613928</v>
      </c>
      <c r="J986" s="2">
        <f t="shared" si="380"/>
        <v>145.06879738642985</v>
      </c>
      <c r="K986" s="2">
        <f t="shared" si="402"/>
        <v>98.888069111404121</v>
      </c>
      <c r="L986" s="5">
        <f t="shared" si="381"/>
        <v>24.122481017826338</v>
      </c>
      <c r="M986" s="3">
        <f t="shared" si="382"/>
        <v>14.80540625872217</v>
      </c>
      <c r="N986" s="2">
        <v>0</v>
      </c>
      <c r="O986" s="2">
        <f t="shared" si="383"/>
        <v>145.06879738642985</v>
      </c>
      <c r="P986" s="2">
        <f t="shared" si="384"/>
        <v>98.888069111404121</v>
      </c>
      <c r="Q986" s="5">
        <f t="shared" si="385"/>
        <v>1.2226357141235085</v>
      </c>
      <c r="R986" s="5">
        <f t="shared" si="386"/>
        <v>0.15378168376501267</v>
      </c>
      <c r="S986" s="4">
        <f t="shared" si="403"/>
        <v>0.1020578272203083</v>
      </c>
      <c r="T986" s="5">
        <f t="shared" si="387"/>
        <v>9.2076760511121361E-2</v>
      </c>
      <c r="U986" s="4">
        <f t="shared" si="388"/>
        <v>0</v>
      </c>
      <c r="V986" s="4">
        <f t="shared" si="389"/>
        <v>0</v>
      </c>
      <c r="W986" s="5">
        <f t="shared" si="390"/>
        <v>0</v>
      </c>
      <c r="X986" s="5">
        <f t="shared" si="391"/>
        <v>-11.278650076046713</v>
      </c>
      <c r="Y986" s="5">
        <f t="shared" si="392"/>
        <v>14.52581584722496</v>
      </c>
      <c r="Z986" s="5">
        <f>1</f>
        <v>1</v>
      </c>
      <c r="AA986" s="5">
        <f>IF(M986=0,0,const*($T986/omega)*O986*(wy*I986-wz*(H986-V986))/Z986)</f>
        <v>0</v>
      </c>
      <c r="AB986" s="5">
        <f>IF(M986=0,0,const*($T986/omega)*O986*(wz*(G986-U986)-wx*I986)/Z986)</f>
        <v>8.6973300997103564</v>
      </c>
      <c r="AC986" s="5">
        <f>IF(M986=0,0,const*($T986/omega)*O986*(wx*(H986-V986)-wy*(G986-U986))/Z986)</f>
        <v>6.7530900723377734</v>
      </c>
      <c r="AD986" s="5">
        <f t="shared" si="405"/>
        <v>0</v>
      </c>
      <c r="AE986" s="5">
        <f t="shared" si="405"/>
        <v>-2.5813199763363563</v>
      </c>
      <c r="AF986" s="5">
        <f t="shared" si="393"/>
        <v>-10.895094080437268</v>
      </c>
      <c r="AG986">
        <f t="shared" si="404"/>
        <v>0</v>
      </c>
    </row>
    <row r="987" spans="1:33" x14ac:dyDescent="0.2">
      <c r="A987">
        <f t="shared" si="394"/>
        <v>9.5499999999998408</v>
      </c>
      <c r="B987" s="5">
        <f t="shared" si="395"/>
        <v>0</v>
      </c>
      <c r="C987" s="5">
        <f t="shared" si="396"/>
        <v>1227.2939165278192</v>
      </c>
      <c r="D987" s="5">
        <f t="shared" si="397"/>
        <v>-382.10041317632209</v>
      </c>
      <c r="E987" s="2">
        <f t="shared" si="379"/>
        <v>409.09797217593973</v>
      </c>
      <c r="F987" s="2">
        <f t="shared" si="398"/>
        <v>0</v>
      </c>
      <c r="G987" s="3">
        <f t="shared" si="399"/>
        <v>0</v>
      </c>
      <c r="H987" s="3">
        <f t="shared" si="400"/>
        <v>88.943381955308809</v>
      </c>
      <c r="I987" s="3">
        <f t="shared" si="401"/>
        <v>-114.69271195694365</v>
      </c>
      <c r="J987" s="2">
        <f t="shared" si="380"/>
        <v>145.13904839734343</v>
      </c>
      <c r="K987" s="2">
        <f t="shared" si="402"/>
        <v>98.935956644405877</v>
      </c>
      <c r="L987" s="5">
        <f t="shared" si="381"/>
        <v>24.110805120154701</v>
      </c>
      <c r="M987" s="3">
        <f t="shared" si="382"/>
        <v>14.796432938537341</v>
      </c>
      <c r="N987" s="2">
        <v>0</v>
      </c>
      <c r="O987" s="2">
        <f t="shared" si="383"/>
        <v>145.13904839734343</v>
      </c>
      <c r="P987" s="2">
        <f t="shared" si="384"/>
        <v>98.935956644405877</v>
      </c>
      <c r="Q987" s="5">
        <f t="shared" si="385"/>
        <v>1.2232277876530588</v>
      </c>
      <c r="R987" s="5">
        <f t="shared" si="386"/>
        <v>0.15375846884067135</v>
      </c>
      <c r="S987" s="4">
        <f t="shared" si="403"/>
        <v>0.10194660294333423</v>
      </c>
      <c r="T987" s="5">
        <f t="shared" si="387"/>
        <v>9.2036608680972201E-2</v>
      </c>
      <c r="U987" s="4">
        <f t="shared" si="388"/>
        <v>0</v>
      </c>
      <c r="V987" s="4">
        <f t="shared" si="389"/>
        <v>0</v>
      </c>
      <c r="W987" s="5">
        <f t="shared" si="390"/>
        <v>0</v>
      </c>
      <c r="X987" s="5">
        <f t="shared" si="391"/>
        <v>-11.279134985107207</v>
      </c>
      <c r="Y987" s="5">
        <f t="shared" si="392"/>
        <v>14.544472579425827</v>
      </c>
      <c r="Z987" s="5">
        <f>1</f>
        <v>1</v>
      </c>
      <c r="AA987" s="5">
        <f>IF(M987=0,0,const*($T987/omega)*O987*(wy*I987-wz*(H987-V987))/Z987)</f>
        <v>0</v>
      </c>
      <c r="AB987" s="5">
        <f>IF(M987=0,0,const*($T987/omega)*O987*(wz*(G987-U987)-wx*I987)/Z987)</f>
        <v>8.7060175700036613</v>
      </c>
      <c r="AC987" s="5">
        <f>IF(M987=0,0,const*($T987/omega)*O987*(wx*(H987-V987)-wy*(G987-U987))/Z987)</f>
        <v>6.7514546724569398</v>
      </c>
      <c r="AD987" s="5">
        <f t="shared" si="405"/>
        <v>0</v>
      </c>
      <c r="AE987" s="5">
        <f t="shared" si="405"/>
        <v>-2.5731174151035461</v>
      </c>
      <c r="AF987" s="5">
        <f t="shared" si="393"/>
        <v>-10.878072748117233</v>
      </c>
      <c r="AG987">
        <f t="shared" si="404"/>
        <v>0</v>
      </c>
    </row>
    <row r="988" spans="1:33" x14ac:dyDescent="0.2">
      <c r="A988">
        <f t="shared" si="394"/>
        <v>9.5599999999998406</v>
      </c>
      <c r="B988" s="5">
        <f t="shared" si="395"/>
        <v>0</v>
      </c>
      <c r="C988" s="5">
        <f t="shared" si="396"/>
        <v>1228.1832216915013</v>
      </c>
      <c r="D988" s="5">
        <f t="shared" si="397"/>
        <v>-383.24788419952893</v>
      </c>
      <c r="E988" s="2">
        <f t="shared" si="379"/>
        <v>409.39440723050046</v>
      </c>
      <c r="F988" s="2">
        <f t="shared" si="398"/>
        <v>0</v>
      </c>
      <c r="G988" s="3">
        <f t="shared" si="399"/>
        <v>0</v>
      </c>
      <c r="H988" s="3">
        <f t="shared" si="400"/>
        <v>88.917650781157775</v>
      </c>
      <c r="I988" s="3">
        <f t="shared" si="401"/>
        <v>-114.80149268442483</v>
      </c>
      <c r="J988" s="2">
        <f t="shared" si="380"/>
        <v>145.2092674143492</v>
      </c>
      <c r="K988" s="2">
        <f t="shared" si="402"/>
        <v>98.983822368336192</v>
      </c>
      <c r="L988" s="5">
        <f t="shared" si="381"/>
        <v>24.09914582963625</v>
      </c>
      <c r="M988" s="3">
        <f t="shared" si="382"/>
        <v>14.787460412235111</v>
      </c>
      <c r="N988" s="2">
        <v>0</v>
      </c>
      <c r="O988" s="2">
        <f t="shared" si="383"/>
        <v>145.2092674143492</v>
      </c>
      <c r="P988" s="2">
        <f t="shared" si="384"/>
        <v>98.983822368336192</v>
      </c>
      <c r="Q988" s="5">
        <f t="shared" si="385"/>
        <v>1.2238195915388608</v>
      </c>
      <c r="R988" s="5">
        <f t="shared" si="386"/>
        <v>0.15373528220297569</v>
      </c>
      <c r="S988" s="4">
        <f t="shared" si="403"/>
        <v>0.10183551418959816</v>
      </c>
      <c r="T988" s="5">
        <f t="shared" si="387"/>
        <v>9.1996479530476849E-2</v>
      </c>
      <c r="U988" s="4">
        <f t="shared" si="388"/>
        <v>0</v>
      </c>
      <c r="V988" s="4">
        <f t="shared" si="389"/>
        <v>0</v>
      </c>
      <c r="W988" s="5">
        <f t="shared" si="390"/>
        <v>0</v>
      </c>
      <c r="X988" s="5">
        <f t="shared" si="391"/>
        <v>-11.279626060736298</v>
      </c>
      <c r="Y988" s="5">
        <f t="shared" si="392"/>
        <v>14.563114267173907</v>
      </c>
      <c r="Z988" s="5">
        <f>1</f>
        <v>1</v>
      </c>
      <c r="AA988" s="5">
        <f>IF(M988=0,0,const*($T988/omega)*O988*(wy*I988-wz*(H988-V988))/Z988)</f>
        <v>0</v>
      </c>
      <c r="AB988" s="5">
        <f>IF(M988=0,0,const*($T988/omega)*O988*(wz*(G988-U988)-wx*I988)/Z988)</f>
        <v>8.7146894608824379</v>
      </c>
      <c r="AC988" s="5">
        <f>IF(M988=0,0,const*($T988/omega)*O988*(wx*(H988-V988)-wy*(G988-U988))/Z988)</f>
        <v>6.7498226375771715</v>
      </c>
      <c r="AD988" s="5">
        <f t="shared" si="405"/>
        <v>0</v>
      </c>
      <c r="AE988" s="5">
        <f t="shared" si="405"/>
        <v>-2.5649365998538602</v>
      </c>
      <c r="AF988" s="5">
        <f t="shared" si="393"/>
        <v>-10.861063095248923</v>
      </c>
      <c r="AG988">
        <f t="shared" si="404"/>
        <v>0</v>
      </c>
    </row>
    <row r="989" spans="1:33" x14ac:dyDescent="0.2">
      <c r="A989">
        <f t="shared" si="394"/>
        <v>9.5699999999998404</v>
      </c>
      <c r="B989" s="5">
        <f t="shared" si="395"/>
        <v>0</v>
      </c>
      <c r="C989" s="5">
        <f t="shared" si="396"/>
        <v>1229.0722699524829</v>
      </c>
      <c r="D989" s="5">
        <f t="shared" si="397"/>
        <v>-384.39644217952798</v>
      </c>
      <c r="E989" s="2">
        <f t="shared" si="379"/>
        <v>409.69075665082761</v>
      </c>
      <c r="F989" s="2">
        <f t="shared" si="398"/>
        <v>0</v>
      </c>
      <c r="G989" s="3">
        <f t="shared" si="399"/>
        <v>0</v>
      </c>
      <c r="H989" s="3">
        <f t="shared" si="400"/>
        <v>88.892001415159243</v>
      </c>
      <c r="I989" s="3">
        <f t="shared" si="401"/>
        <v>-114.91010331537731</v>
      </c>
      <c r="J989" s="2">
        <f t="shared" si="380"/>
        <v>145.27945401722627</v>
      </c>
      <c r="K989" s="2">
        <f t="shared" si="402"/>
        <v>99.031665996745915</v>
      </c>
      <c r="L989" s="5">
        <f t="shared" si="381"/>
        <v>24.087503184160585</v>
      </c>
      <c r="M989" s="3">
        <f t="shared" si="382"/>
        <v>14.778488706005646</v>
      </c>
      <c r="N989" s="2">
        <v>0</v>
      </c>
      <c r="O989" s="2">
        <f t="shared" si="383"/>
        <v>145.27945401722627</v>
      </c>
      <c r="P989" s="2">
        <f t="shared" si="384"/>
        <v>99.031665996745915</v>
      </c>
      <c r="Q989" s="5">
        <f t="shared" si="385"/>
        <v>1.2244111222393044</v>
      </c>
      <c r="R989" s="5">
        <f t="shared" si="386"/>
        <v>0.15371212389463218</v>
      </c>
      <c r="S989" s="4">
        <f t="shared" si="403"/>
        <v>0.10172456116370944</v>
      </c>
      <c r="T989" s="5">
        <f t="shared" si="387"/>
        <v>9.1956373183901902E-2</v>
      </c>
      <c r="U989" s="4">
        <f t="shared" si="388"/>
        <v>0</v>
      </c>
      <c r="V989" s="4">
        <f t="shared" si="389"/>
        <v>0</v>
      </c>
      <c r="W989" s="5">
        <f t="shared" si="390"/>
        <v>0</v>
      </c>
      <c r="X989" s="5">
        <f t="shared" si="391"/>
        <v>-11.2801232621553</v>
      </c>
      <c r="Y989" s="5">
        <f t="shared" si="392"/>
        <v>14.581740863395707</v>
      </c>
      <c r="Z989" s="5">
        <f>1</f>
        <v>1</v>
      </c>
      <c r="AA989" s="5">
        <f>IF(M989=0,0,const*($T989/omega)*O989*(wy*I989-wz*(H989-V989))/Z989)</f>
        <v>0</v>
      </c>
      <c r="AB989" s="5">
        <f>IF(M989=0,0,const*($T989/omega)*O989*(wz*(G989-U989)-wx*I989)/Z989)</f>
        <v>8.7233457617469874</v>
      </c>
      <c r="AC989" s="5">
        <f>IF(M989=0,0,const*($T989/omega)*O989*(wx*(H989-V989)-wy*(G989-U989))/Z989)</f>
        <v>6.748193948358999</v>
      </c>
      <c r="AD989" s="5">
        <f t="shared" si="405"/>
        <v>0</v>
      </c>
      <c r="AE989" s="5">
        <f t="shared" si="405"/>
        <v>-2.5567775004083124</v>
      </c>
      <c r="AF989" s="5">
        <f t="shared" si="393"/>
        <v>-10.844065188245295</v>
      </c>
      <c r="AG989">
        <f t="shared" si="404"/>
        <v>0</v>
      </c>
    </row>
    <row r="990" spans="1:33" x14ac:dyDescent="0.2">
      <c r="A990">
        <f t="shared" si="394"/>
        <v>9.5799999999998402</v>
      </c>
      <c r="B990" s="5">
        <f t="shared" si="395"/>
        <v>0</v>
      </c>
      <c r="C990" s="5">
        <f t="shared" si="396"/>
        <v>1229.9610621277595</v>
      </c>
      <c r="D990" s="5">
        <f t="shared" si="397"/>
        <v>-385.54608541594115</v>
      </c>
      <c r="E990" s="2">
        <f t="shared" si="379"/>
        <v>409.98702070925316</v>
      </c>
      <c r="F990" s="2">
        <f t="shared" si="398"/>
        <v>0</v>
      </c>
      <c r="G990" s="3">
        <f t="shared" si="399"/>
        <v>0</v>
      </c>
      <c r="H990" s="3">
        <f t="shared" si="400"/>
        <v>88.866433640155165</v>
      </c>
      <c r="I990" s="3">
        <f t="shared" si="401"/>
        <v>-115.01854396725976</v>
      </c>
      <c r="J990" s="2">
        <f t="shared" si="380"/>
        <v>145.34960778849239</v>
      </c>
      <c r="K990" s="2">
        <f t="shared" si="402"/>
        <v>99.079487245052746</v>
      </c>
      <c r="L990" s="5">
        <f t="shared" si="381"/>
        <v>24.075877220977986</v>
      </c>
      <c r="M990" s="3">
        <f t="shared" si="382"/>
        <v>14.769517845944362</v>
      </c>
      <c r="N990" s="2">
        <v>0</v>
      </c>
      <c r="O990" s="2">
        <f t="shared" si="383"/>
        <v>145.34960778849239</v>
      </c>
      <c r="P990" s="2">
        <f t="shared" si="384"/>
        <v>99.079487245052746</v>
      </c>
      <c r="Q990" s="5">
        <f t="shared" si="385"/>
        <v>1.2250023762358611</v>
      </c>
      <c r="R990" s="5">
        <f t="shared" si="386"/>
        <v>0.15368899395749896</v>
      </c>
      <c r="S990" s="4">
        <f t="shared" si="403"/>
        <v>0.10161374406621339</v>
      </c>
      <c r="T990" s="5">
        <f t="shared" si="387"/>
        <v>9.1916289764325212E-2</v>
      </c>
      <c r="U990" s="4">
        <f t="shared" si="388"/>
        <v>0</v>
      </c>
      <c r="V990" s="4">
        <f t="shared" si="389"/>
        <v>0</v>
      </c>
      <c r="W990" s="5">
        <f t="shared" si="390"/>
        <v>0</v>
      </c>
      <c r="X990" s="5">
        <f t="shared" si="391"/>
        <v>-11.28062654877815</v>
      </c>
      <c r="Y990" s="5">
        <f t="shared" si="392"/>
        <v>14.600352321245822</v>
      </c>
      <c r="Z990" s="5">
        <f>1</f>
        <v>1</v>
      </c>
      <c r="AA990" s="5">
        <f>IF(M990=0,0,const*($T990/omega)*O990*(wy*I990-wz*(H990-V990))/Z990)</f>
        <v>0</v>
      </c>
      <c r="AB990" s="5">
        <f>IF(M990=0,0,const*($T990/omega)*O990*(wz*(G990-U990)-wx*I990)/Z990)</f>
        <v>8.7319864621664944</v>
      </c>
      <c r="AC990" s="5">
        <f>IF(M990=0,0,const*($T990/omega)*O990*(wx*(H990-V990)-wy*(G990-U990))/Z990)</f>
        <v>6.7465685855642228</v>
      </c>
      <c r="AD990" s="5">
        <f t="shared" si="405"/>
        <v>0</v>
      </c>
      <c r="AE990" s="5">
        <f t="shared" si="405"/>
        <v>-2.5486400866116554</v>
      </c>
      <c r="AF990" s="5">
        <f t="shared" si="393"/>
        <v>-10.827079093189955</v>
      </c>
      <c r="AG990">
        <f t="shared" si="404"/>
        <v>0</v>
      </c>
    </row>
    <row r="991" spans="1:33" x14ac:dyDescent="0.2">
      <c r="A991">
        <f t="shared" si="394"/>
        <v>9.58999999999984</v>
      </c>
      <c r="B991" s="5">
        <f t="shared" si="395"/>
        <v>0</v>
      </c>
      <c r="C991" s="5">
        <f t="shared" si="396"/>
        <v>1230.8495990321567</v>
      </c>
      <c r="D991" s="5">
        <f t="shared" si="397"/>
        <v>-386.69681220956841</v>
      </c>
      <c r="E991" s="2">
        <f t="shared" si="379"/>
        <v>410.28319967738554</v>
      </c>
      <c r="F991" s="2">
        <f t="shared" si="398"/>
        <v>0</v>
      </c>
      <c r="G991" s="3">
        <f t="shared" si="399"/>
        <v>0</v>
      </c>
      <c r="H991" s="3">
        <f t="shared" si="400"/>
        <v>88.840947239289051</v>
      </c>
      <c r="I991" s="3">
        <f t="shared" si="401"/>
        <v>-115.12681475819166</v>
      </c>
      <c r="J991" s="2">
        <f t="shared" si="380"/>
        <v>145.41972831339328</v>
      </c>
      <c r="K991" s="2">
        <f t="shared" si="402"/>
        <v>99.127285830533921</v>
      </c>
      <c r="L991" s="5">
        <f t="shared" si="381"/>
        <v>24.064267976704436</v>
      </c>
      <c r="M991" s="3">
        <f t="shared" si="382"/>
        <v>14.760547858051916</v>
      </c>
      <c r="N991" s="2">
        <v>0</v>
      </c>
      <c r="O991" s="2">
        <f t="shared" si="383"/>
        <v>145.41972831339328</v>
      </c>
      <c r="P991" s="2">
        <f t="shared" si="384"/>
        <v>99.127285830533921</v>
      </c>
      <c r="Q991" s="5">
        <f t="shared" si="385"/>
        <v>1.2255933500329936</v>
      </c>
      <c r="R991" s="5">
        <f t="shared" si="386"/>
        <v>0.15366589243259263</v>
      </c>
      <c r="S991" s="4">
        <f t="shared" si="403"/>
        <v>0.10150306309362329</v>
      </c>
      <c r="T991" s="5">
        <f t="shared" si="387"/>
        <v>9.187622939364315E-2</v>
      </c>
      <c r="U991" s="4">
        <f t="shared" si="388"/>
        <v>0</v>
      </c>
      <c r="V991" s="4">
        <f t="shared" si="389"/>
        <v>0</v>
      </c>
      <c r="W991" s="5">
        <f t="shared" si="390"/>
        <v>0</v>
      </c>
      <c r="X991" s="5">
        <f t="shared" si="391"/>
        <v>-11.281135880210318</v>
      </c>
      <c r="Y991" s="5">
        <f t="shared" si="392"/>
        <v>14.618948594107268</v>
      </c>
      <c r="Z991" s="5">
        <f>1</f>
        <v>1</v>
      </c>
      <c r="AA991" s="5">
        <f>IF(M991=0,0,const*($T991/omega)*O991*(wy*I991-wz*(H991-V991))/Z991)</f>
        <v>0</v>
      </c>
      <c r="AB991" s="5">
        <f>IF(M991=0,0,const*($T991/omega)*O991*(wz*(G991-U991)-wx*I991)/Z991)</f>
        <v>8.7406115518787502</v>
      </c>
      <c r="AC991" s="5">
        <f>IF(M991=0,0,const*($T991/omega)*O991*(wx*(H991-V991)-wy*(G991-U991))/Z991)</f>
        <v>6.7449465300552678</v>
      </c>
      <c r="AD991" s="5">
        <f t="shared" si="405"/>
        <v>0</v>
      </c>
      <c r="AE991" s="5">
        <f t="shared" si="405"/>
        <v>-2.5405243283315677</v>
      </c>
      <c r="AF991" s="5">
        <f t="shared" si="393"/>
        <v>-10.810104875837464</v>
      </c>
      <c r="AG991">
        <f t="shared" si="404"/>
        <v>0</v>
      </c>
    </row>
    <row r="992" spans="1:33" x14ac:dyDescent="0.2">
      <c r="A992">
        <f t="shared" si="394"/>
        <v>9.5999999999998398</v>
      </c>
      <c r="B992" s="5">
        <f t="shared" si="395"/>
        <v>0</v>
      </c>
      <c r="C992" s="5">
        <f t="shared" si="396"/>
        <v>1231.7378814783331</v>
      </c>
      <c r="D992" s="5">
        <f t="shared" si="397"/>
        <v>-387.84862086239411</v>
      </c>
      <c r="E992" s="2">
        <f t="shared" ref="E992:E1055" si="406">SQRT(B992^2+C992^2)/3</f>
        <v>410.57929382611104</v>
      </c>
      <c r="F992" s="2">
        <f t="shared" si="398"/>
        <v>0</v>
      </c>
      <c r="G992" s="3">
        <f t="shared" si="399"/>
        <v>0</v>
      </c>
      <c r="H992" s="3">
        <f t="shared" si="400"/>
        <v>88.815541996005734</v>
      </c>
      <c r="I992" s="3">
        <f t="shared" si="401"/>
        <v>-115.23491580695003</v>
      </c>
      <c r="J992" s="2">
        <f t="shared" ref="J992:J1055" si="407">SQRT(G992^2+H992^2+I992^2)</f>
        <v>145.48981517989196</v>
      </c>
      <c r="K992" s="2">
        <f t="shared" si="402"/>
        <v>99.175061472318987</v>
      </c>
      <c r="L992" s="5">
        <f t="shared" ref="L992:L1055" si="408">1/(0.00002*J992/(circ/(2*PI()*12)))</f>
        <v>24.052675487326486</v>
      </c>
      <c r="M992" s="3">
        <f t="shared" ref="M992:M1055" si="409">romega*EXP(-A992/L992)</f>
        <v>14.751578768234181</v>
      </c>
      <c r="N992" s="2">
        <v>0</v>
      </c>
      <c r="O992" s="2">
        <f t="shared" ref="O992:O1055" si="410">IF(D992&gt;=hwind,SQRT((G992-vxw)^2+(H992-vyw)^2+I992^2),J992)</f>
        <v>145.48981517989196</v>
      </c>
      <c r="P992" s="2">
        <f t="shared" ref="P992:P1055" si="411">J992/1.467</f>
        <v>99.175061472318987</v>
      </c>
      <c r="Q992" s="5">
        <f t="shared" ref="Q992:Q1055" si="412">(P992/100)*Re_100*0.00001</f>
        <v>1.2261840401580661</v>
      </c>
      <c r="R992" s="5">
        <f t="shared" ref="R992:R1055" si="413">IF(Q992&lt;=ReLow,CdL,IF(Q992&lt;ReHigh,CdL+(CdH-CdL)*(Q992-ReLow)/(ReHigh-ReLow),CdH))+CdS*S992</f>
        <v>0.1536428193600948</v>
      </c>
      <c r="S992" s="4">
        <f t="shared" si="403"/>
        <v>0.10139251843845208</v>
      </c>
      <c r="T992" s="5">
        <f t="shared" ref="T992:T1055" si="414">ClAmp*S992^0.4</f>
        <v>9.1836192192577382E-2</v>
      </c>
      <c r="U992" s="4">
        <f t="shared" ref="U992:U1055" si="415">IF(D992&gt;=hwind,vxw,0)</f>
        <v>0</v>
      </c>
      <c r="V992" s="4">
        <f t="shared" ref="V992:V1055" si="416">IF(D992&gt;=hwind,vyw,0)</f>
        <v>0</v>
      </c>
      <c r="W992" s="5">
        <f t="shared" ref="W992:W1055" si="417">-const*$R992*$O992*(G992-U992)</f>
        <v>0</v>
      </c>
      <c r="X992" s="5">
        <f t="shared" ref="X992:X1055" si="418">-const*$R992*$O992*(H992-V992)</f>
        <v>-11.281651216247701</v>
      </c>
      <c r="Y992" s="5">
        <f t="shared" ref="Y992:Y1055" si="419">-const*$R992*$O992*I992</f>
        <v>14.637529635591767</v>
      </c>
      <c r="Z992" s="5">
        <f>1</f>
        <v>1</v>
      </c>
      <c r="AA992" s="5">
        <f>IF(M992=0,0,const*($T992/omega)*O992*(wy*I992-wz*(H992-V992))/Z992)</f>
        <v>0</v>
      </c>
      <c r="AB992" s="5">
        <f>IF(M992=0,0,const*($T992/omega)*O992*(wz*(G992-U992)-wx*I992)/Z992)</f>
        <v>8.7492210207898076</v>
      </c>
      <c r="AC992" s="5">
        <f>IF(M992=0,0,const*($T992/omega)*O992*(wx*(H992-V992)-wy*(G992-U992))/Z992)</f>
        <v>6.743327762794503</v>
      </c>
      <c r="AD992" s="5">
        <f t="shared" si="405"/>
        <v>0</v>
      </c>
      <c r="AE992" s="5">
        <f t="shared" si="405"/>
        <v>-2.5324301954578932</v>
      </c>
      <c r="AF992" s="5">
        <f t="shared" ref="AF992:AF1055" si="420">Y992+AC992-32.174</f>
        <v>-10.793142601613731</v>
      </c>
      <c r="AG992">
        <f t="shared" si="404"/>
        <v>0</v>
      </c>
    </row>
    <row r="993" spans="1:33" x14ac:dyDescent="0.2">
      <c r="A993">
        <f t="shared" ref="A993:A1056" si="421">A992+dt</f>
        <v>9.6099999999998396</v>
      </c>
      <c r="B993" s="5">
        <f t="shared" ref="B993:B1056" si="422">B992+G992*dt+0.5*AD992*dt*dt</f>
        <v>0</v>
      </c>
      <c r="C993" s="5">
        <f t="shared" ref="C993:C1056" si="423">C992+H992*dt+0.5*AE992*dt*dt</f>
        <v>1232.6259102767833</v>
      </c>
      <c r="D993" s="5">
        <f t="shared" ref="D993:D1056" si="424">D992+I992*dt+0.5*AF992*dt*dt</f>
        <v>-389.00150967759373</v>
      </c>
      <c r="E993" s="2">
        <f t="shared" si="406"/>
        <v>410.87530342559444</v>
      </c>
      <c r="F993" s="2">
        <f t="shared" ref="F993:F1056" si="425">ATAN2(C993,B993)*180/PI()</f>
        <v>0</v>
      </c>
      <c r="G993" s="3">
        <f t="shared" ref="G993:G1056" si="426">G992+AD992*dt</f>
        <v>0</v>
      </c>
      <c r="H993" s="3">
        <f t="shared" ref="H993:H1056" si="427">H992+AE992*dt</f>
        <v>88.790217694051151</v>
      </c>
      <c r="I993" s="3">
        <f t="shared" ref="I993:I1056" si="428">I992+AF992*dt</f>
        <v>-115.34284723296616</v>
      </c>
      <c r="J993" s="2">
        <f t="shared" si="407"/>
        <v>145.55986797865805</v>
      </c>
      <c r="K993" s="2">
        <f t="shared" ref="K993:K1056" si="429">J993/1.467</f>
        <v>99.222813891382444</v>
      </c>
      <c r="L993" s="5">
        <f t="shared" si="408"/>
        <v>24.041099788206271</v>
      </c>
      <c r="M993" s="3">
        <f t="shared" si="409"/>
        <v>14.74261060230225</v>
      </c>
      <c r="N993" s="2">
        <v>0</v>
      </c>
      <c r="O993" s="2">
        <f t="shared" si="410"/>
        <v>145.55986797865805</v>
      </c>
      <c r="P993" s="2">
        <f t="shared" si="411"/>
        <v>99.222813891382444</v>
      </c>
      <c r="Q993" s="5">
        <f t="shared" si="412"/>
        <v>1.2267744431612535</v>
      </c>
      <c r="R993" s="5">
        <f t="shared" si="413"/>
        <v>0.15361977477935881</v>
      </c>
      <c r="S993" s="4">
        <f t="shared" ref="S993:S1056" si="430">(M993/O993)</f>
        <v>0.10128211028924407</v>
      </c>
      <c r="T993" s="5">
        <f t="shared" si="414"/>
        <v>9.1796178280682109E-2</v>
      </c>
      <c r="U993" s="4">
        <f t="shared" si="415"/>
        <v>0</v>
      </c>
      <c r="V993" s="4">
        <f t="shared" si="416"/>
        <v>0</v>
      </c>
      <c r="W993" s="5">
        <f t="shared" si="417"/>
        <v>0</v>
      </c>
      <c r="X993" s="5">
        <f t="shared" si="418"/>
        <v>-11.282172516875507</v>
      </c>
      <c r="Y993" s="5">
        <f t="shared" si="419"/>
        <v>14.656095399540032</v>
      </c>
      <c r="Z993" s="5">
        <f>1</f>
        <v>1</v>
      </c>
      <c r="AA993" s="5">
        <f>IF(M993=0,0,const*($T993/omega)*O993*(wy*I993-wz*(H993-V993))/Z993)</f>
        <v>0</v>
      </c>
      <c r="AB993" s="5">
        <f>IF(M993=0,0,const*($T993/omega)*O993*(wz*(G993-U993)-wx*I993)/Z993)</f>
        <v>8.7578148589736973</v>
      </c>
      <c r="AC993" s="5">
        <f>IF(M993=0,0,const*($T993/omega)*O993*(wx*(H993-V993)-wy*(G993-U993))/Z993)</f>
        <v>6.7417122648436072</v>
      </c>
      <c r="AD993" s="5">
        <f t="shared" si="405"/>
        <v>0</v>
      </c>
      <c r="AE993" s="5">
        <f t="shared" si="405"/>
        <v>-2.5243576579018097</v>
      </c>
      <c r="AF993" s="5">
        <f t="shared" si="420"/>
        <v>-10.776192335616361</v>
      </c>
      <c r="AG993">
        <f t="shared" si="404"/>
        <v>0</v>
      </c>
    </row>
    <row r="994" spans="1:33" x14ac:dyDescent="0.2">
      <c r="A994">
        <f t="shared" si="421"/>
        <v>9.6199999999998393</v>
      </c>
      <c r="B994" s="5">
        <f t="shared" si="422"/>
        <v>0</v>
      </c>
      <c r="C994" s="5">
        <f t="shared" si="423"/>
        <v>1233.5136862358409</v>
      </c>
      <c r="D994" s="5">
        <f t="shared" si="424"/>
        <v>-390.15547695954018</v>
      </c>
      <c r="E994" s="2">
        <f t="shared" si="406"/>
        <v>411.1712287452803</v>
      </c>
      <c r="F994" s="2">
        <f t="shared" si="425"/>
        <v>0</v>
      </c>
      <c r="G994" s="3">
        <f t="shared" si="426"/>
        <v>0</v>
      </c>
      <c r="H994" s="3">
        <f t="shared" si="427"/>
        <v>88.764974117472136</v>
      </c>
      <c r="I994" s="3">
        <f t="shared" si="428"/>
        <v>-115.45060915632233</v>
      </c>
      <c r="J994" s="2">
        <f t="shared" si="407"/>
        <v>145.6298863030573</v>
      </c>
      <c r="K994" s="2">
        <f t="shared" si="429"/>
        <v>99.270542810536668</v>
      </c>
      <c r="L994" s="5">
        <f t="shared" si="408"/>
        <v>24.029540914086279</v>
      </c>
      <c r="M994" s="3">
        <f t="shared" si="409"/>
        <v>14.733643385972414</v>
      </c>
      <c r="N994" s="2">
        <v>0</v>
      </c>
      <c r="O994" s="2">
        <f t="shared" si="410"/>
        <v>145.6298863030573</v>
      </c>
      <c r="P994" s="2">
        <f t="shared" si="411"/>
        <v>99.270542810536668</v>
      </c>
      <c r="Q994" s="5">
        <f t="shared" si="412"/>
        <v>1.227364555615454</v>
      </c>
      <c r="R994" s="5">
        <f t="shared" si="413"/>
        <v>0.15359675872891609</v>
      </c>
      <c r="S994" s="4">
        <f t="shared" si="430"/>
        <v>0.10117183883060617</v>
      </c>
      <c r="T994" s="5">
        <f t="shared" si="414"/>
        <v>9.1756187776350862E-2</v>
      </c>
      <c r="U994" s="4">
        <f t="shared" si="415"/>
        <v>0</v>
      </c>
      <c r="V994" s="4">
        <f t="shared" si="416"/>
        <v>0</v>
      </c>
      <c r="W994" s="5">
        <f t="shared" si="417"/>
        <v>0</v>
      </c>
      <c r="X994" s="5">
        <f t="shared" si="418"/>
        <v>-11.282699742267191</v>
      </c>
      <c r="Y994" s="5">
        <f t="shared" si="419"/>
        <v>14.674645840022057</v>
      </c>
      <c r="Z994" s="5">
        <f>1</f>
        <v>1</v>
      </c>
      <c r="AA994" s="5">
        <f>IF(M994=0,0,const*($T994/omega)*O994*(wy*I994-wz*(H994-V994))/Z994)</f>
        <v>0</v>
      </c>
      <c r="AB994" s="5">
        <f>IF(M994=0,0,const*($T994/omega)*O994*(wz*(G994-U994)-wx*I994)/Z994)</f>
        <v>8.7663930566721024</v>
      </c>
      <c r="AC994" s="5">
        <f>IF(M994=0,0,const*($T994/omega)*O994*(wx*(H994-V994)-wy*(G994-U994))/Z994)</f>
        <v>6.7401000173629102</v>
      </c>
      <c r="AD994" s="5">
        <f t="shared" si="405"/>
        <v>0</v>
      </c>
      <c r="AE994" s="5">
        <f t="shared" si="405"/>
        <v>-2.5163066855950884</v>
      </c>
      <c r="AF994" s="5">
        <f t="shared" si="420"/>
        <v>-10.759254142615031</v>
      </c>
      <c r="AG994">
        <f t="shared" ref="AG994:AG1057" si="431">IF($D994*$D995&lt;0,1,0)</f>
        <v>0</v>
      </c>
    </row>
    <row r="995" spans="1:33" x14ac:dyDescent="0.2">
      <c r="A995">
        <f t="shared" si="421"/>
        <v>9.6299999999998391</v>
      </c>
      <c r="B995" s="5">
        <f t="shared" si="422"/>
        <v>0</v>
      </c>
      <c r="C995" s="5">
        <f t="shared" si="423"/>
        <v>1234.4012101616813</v>
      </c>
      <c r="D995" s="5">
        <f t="shared" si="424"/>
        <v>-391.31052101381056</v>
      </c>
      <c r="E995" s="2">
        <f t="shared" si="406"/>
        <v>411.46707005389379</v>
      </c>
      <c r="F995" s="2">
        <f t="shared" si="425"/>
        <v>0</v>
      </c>
      <c r="G995" s="3">
        <f t="shared" si="426"/>
        <v>0</v>
      </c>
      <c r="H995" s="3">
        <f t="shared" si="427"/>
        <v>88.739811050616183</v>
      </c>
      <c r="I995" s="3">
        <f t="shared" si="428"/>
        <v>-115.55820169774847</v>
      </c>
      <c r="J995" s="2">
        <f t="shared" si="407"/>
        <v>145.69986974914076</v>
      </c>
      <c r="K995" s="2">
        <f t="shared" si="429"/>
        <v>99.318247954424507</v>
      </c>
      <c r="L995" s="5">
        <f t="shared" si="408"/>
        <v>24.017998899094323</v>
      </c>
      <c r="M995" s="3">
        <f t="shared" si="409"/>
        <v>14.724677144866167</v>
      </c>
      <c r="N995" s="2">
        <v>0</v>
      </c>
      <c r="O995" s="2">
        <f t="shared" si="410"/>
        <v>145.69986974914076</v>
      </c>
      <c r="P995" s="2">
        <f t="shared" si="411"/>
        <v>99.318247954424507</v>
      </c>
      <c r="Q995" s="5">
        <f t="shared" si="412"/>
        <v>1.2279543741161971</v>
      </c>
      <c r="R995" s="5">
        <f t="shared" si="413"/>
        <v>0.15357377124648292</v>
      </c>
      <c r="S995" s="4">
        <f t="shared" si="430"/>
        <v>0.1010617042432394</v>
      </c>
      <c r="T995" s="5">
        <f t="shared" si="414"/>
        <v>9.171622079682358E-2</v>
      </c>
      <c r="U995" s="4">
        <f t="shared" si="415"/>
        <v>0</v>
      </c>
      <c r="V995" s="4">
        <f t="shared" si="416"/>
        <v>0</v>
      </c>
      <c r="W995" s="5">
        <f t="shared" si="417"/>
        <v>0</v>
      </c>
      <c r="X995" s="5">
        <f t="shared" si="418"/>
        <v>-11.283232852783344</v>
      </c>
      <c r="Y995" s="5">
        <f t="shared" si="419"/>
        <v>14.693180911337381</v>
      </c>
      <c r="Z995" s="5">
        <f>1</f>
        <v>1</v>
      </c>
      <c r="AA995" s="5">
        <f>IF(M995=0,0,const*($T995/omega)*O995*(wy*I995-wz*(H995-V995))/Z995)</f>
        <v>0</v>
      </c>
      <c r="AB995" s="5">
        <f>IF(M995=0,0,const*($T995/omega)*O995*(wz*(G995-U995)-wx*I995)/Z995)</f>
        <v>8.774955604294016</v>
      </c>
      <c r="AC995" s="5">
        <f>IF(M995=0,0,const*($T995/omega)*O995*(wx*(H995-V995)-wy*(G995-U995))/Z995)</f>
        <v>6.7384910016107362</v>
      </c>
      <c r="AD995" s="5">
        <f t="shared" si="405"/>
        <v>0</v>
      </c>
      <c r="AE995" s="5">
        <f t="shared" si="405"/>
        <v>-2.5082772484893283</v>
      </c>
      <c r="AF995" s="5">
        <f t="shared" si="420"/>
        <v>-10.742328087051881</v>
      </c>
      <c r="AG995">
        <f t="shared" si="431"/>
        <v>0</v>
      </c>
    </row>
    <row r="996" spans="1:33" x14ac:dyDescent="0.2">
      <c r="A996">
        <f t="shared" si="421"/>
        <v>9.6399999999998389</v>
      </c>
      <c r="B996" s="5">
        <f t="shared" si="422"/>
        <v>0</v>
      </c>
      <c r="C996" s="5">
        <f t="shared" si="423"/>
        <v>1235.2884828583251</v>
      </c>
      <c r="D996" s="5">
        <f t="shared" si="424"/>
        <v>-392.46664014719238</v>
      </c>
      <c r="E996" s="2">
        <f t="shared" si="406"/>
        <v>411.76282761944168</v>
      </c>
      <c r="F996" s="2">
        <f t="shared" si="425"/>
        <v>0</v>
      </c>
      <c r="G996" s="3">
        <f t="shared" si="426"/>
        <v>0</v>
      </c>
      <c r="H996" s="3">
        <f t="shared" si="427"/>
        <v>88.71472827813129</v>
      </c>
      <c r="I996" s="3">
        <f t="shared" si="428"/>
        <v>-115.66562497861899</v>
      </c>
      <c r="J996" s="2">
        <f t="shared" si="407"/>
        <v>145.76981791563435</v>
      </c>
      <c r="K996" s="2">
        <f t="shared" si="429"/>
        <v>99.365929049512161</v>
      </c>
      <c r="L996" s="5">
        <f t="shared" si="408"/>
        <v>24.00647377674829</v>
      </c>
      <c r="M996" s="3">
        <f t="shared" si="409"/>
        <v>14.715711904510194</v>
      </c>
      <c r="N996" s="2">
        <v>0</v>
      </c>
      <c r="O996" s="2">
        <f t="shared" si="410"/>
        <v>145.76981791563435</v>
      </c>
      <c r="P996" s="2">
        <f t="shared" si="411"/>
        <v>99.365929049512161</v>
      </c>
      <c r="Q996" s="5">
        <f t="shared" si="412"/>
        <v>1.2285438952815564</v>
      </c>
      <c r="R996" s="5">
        <f t="shared" si="413"/>
        <v>0.1535508123689667</v>
      </c>
      <c r="S996" s="4">
        <f t="shared" si="430"/>
        <v>0.10095170670396975</v>
      </c>
      <c r="T996" s="5">
        <f t="shared" si="414"/>
        <v>9.1676277458193456E-2</v>
      </c>
      <c r="U996" s="4">
        <f t="shared" si="415"/>
        <v>0</v>
      </c>
      <c r="V996" s="4">
        <f t="shared" si="416"/>
        <v>0</v>
      </c>
      <c r="W996" s="5">
        <f t="shared" si="417"/>
        <v>0</v>
      </c>
      <c r="X996" s="5">
        <f t="shared" si="418"/>
        <v>-11.283771808970624</v>
      </c>
      <c r="Y996" s="5">
        <f t="shared" si="419"/>
        <v>14.711700568015326</v>
      </c>
      <c r="Z996" s="5">
        <f>1</f>
        <v>1</v>
      </c>
      <c r="AA996" s="5">
        <f>IF(M996=0,0,const*($T996/omega)*O996*(wy*I996-wz*(H996-V996))/Z996)</f>
        <v>0</v>
      </c>
      <c r="AB996" s="5">
        <f>IF(M996=0,0,const*($T996/omega)*O996*(wz*(G996-U996)-wx*I996)/Z996)</f>
        <v>8.7835024924154439</v>
      </c>
      <c r="AC996" s="5">
        <f>IF(M996=0,0,const*($T996/omega)*O996*(wx*(H996-V996)-wy*(G996-U996))/Z996)</f>
        <v>6.7368851989427831</v>
      </c>
      <c r="AD996" s="5">
        <f t="shared" si="405"/>
        <v>0</v>
      </c>
      <c r="AE996" s="5">
        <f t="shared" si="405"/>
        <v>-2.5002693165551797</v>
      </c>
      <c r="AF996" s="5">
        <f t="shared" si="420"/>
        <v>-10.725414233041889</v>
      </c>
      <c r="AG996">
        <f t="shared" si="431"/>
        <v>0</v>
      </c>
    </row>
    <row r="997" spans="1:33" x14ac:dyDescent="0.2">
      <c r="A997">
        <f t="shared" si="421"/>
        <v>9.6499999999998387</v>
      </c>
      <c r="B997" s="5">
        <f t="shared" si="422"/>
        <v>0</v>
      </c>
      <c r="C997" s="5">
        <f t="shared" si="423"/>
        <v>1236.1755051276407</v>
      </c>
      <c r="D997" s="5">
        <f t="shared" si="424"/>
        <v>-393.62383266769024</v>
      </c>
      <c r="E997" s="2">
        <f t="shared" si="406"/>
        <v>412.05850170921354</v>
      </c>
      <c r="F997" s="2">
        <f t="shared" si="425"/>
        <v>0</v>
      </c>
      <c r="G997" s="3">
        <f t="shared" si="426"/>
        <v>0</v>
      </c>
      <c r="H997" s="3">
        <f t="shared" si="427"/>
        <v>88.689725584965743</v>
      </c>
      <c r="I997" s="3">
        <f t="shared" si="428"/>
        <v>-115.77287912094941</v>
      </c>
      <c r="J997" s="2">
        <f t="shared" si="407"/>
        <v>145.83973040392831</v>
      </c>
      <c r="K997" s="2">
        <f t="shared" si="429"/>
        <v>99.413585824082006</v>
      </c>
      <c r="L997" s="5">
        <f t="shared" si="408"/>
        <v>23.994965579960979</v>
      </c>
      <c r="M997" s="3">
        <f t="shared" si="409"/>
        <v>14.706747690336373</v>
      </c>
      <c r="N997" s="2">
        <v>0</v>
      </c>
      <c r="O997" s="2">
        <f t="shared" si="410"/>
        <v>145.83973040392831</v>
      </c>
      <c r="P997" s="2">
        <f t="shared" si="411"/>
        <v>99.413585824082006</v>
      </c>
      <c r="Q997" s="5">
        <f t="shared" si="412"/>
        <v>1.22913311575206</v>
      </c>
      <c r="R997" s="5">
        <f t="shared" si="413"/>
        <v>0.15352788213247248</v>
      </c>
      <c r="S997" s="4">
        <f t="shared" si="430"/>
        <v>0.10084184638577907</v>
      </c>
      <c r="T997" s="5">
        <f t="shared" si="414"/>
        <v>9.1636357875413771E-2</v>
      </c>
      <c r="U997" s="4">
        <f t="shared" si="415"/>
        <v>0</v>
      </c>
      <c r="V997" s="4">
        <f t="shared" si="416"/>
        <v>0</v>
      </c>
      <c r="W997" s="5">
        <f t="shared" si="417"/>
        <v>0</v>
      </c>
      <c r="X997" s="5">
        <f t="shared" si="418"/>
        <v>-11.284316571560696</v>
      </c>
      <c r="Y997" s="5">
        <f t="shared" si="419"/>
        <v>14.730204764815289</v>
      </c>
      <c r="Z997" s="5">
        <f>1</f>
        <v>1</v>
      </c>
      <c r="AA997" s="5">
        <f>IF(M997=0,0,const*($T997/omega)*O997*(wy*I997-wz*(H997-V997))/Z997)</f>
        <v>0</v>
      </c>
      <c r="AB997" s="5">
        <f>IF(M997=0,0,const*($T997/omega)*O997*(wz*(G997-U997)-wx*I997)/Z997)</f>
        <v>8.7920337117790499</v>
      </c>
      <c r="AC997" s="5">
        <f>IF(M997=0,0,const*($T997/omega)*O997*(wx*(H997-V997)-wy*(G997-U997))/Z997)</f>
        <v>6.7352825908114742</v>
      </c>
      <c r="AD997" s="5">
        <f t="shared" si="405"/>
        <v>0</v>
      </c>
      <c r="AE997" s="5">
        <f t="shared" si="405"/>
        <v>-2.4922828597816462</v>
      </c>
      <c r="AF997" s="5">
        <f t="shared" si="420"/>
        <v>-10.708512644373236</v>
      </c>
      <c r="AG997">
        <f t="shared" si="431"/>
        <v>0</v>
      </c>
    </row>
    <row r="998" spans="1:33" x14ac:dyDescent="0.2">
      <c r="A998">
        <f t="shared" si="421"/>
        <v>9.6599999999998385</v>
      </c>
      <c r="B998" s="5">
        <f t="shared" si="422"/>
        <v>0</v>
      </c>
      <c r="C998" s="5">
        <f t="shared" si="423"/>
        <v>1237.0622777693472</v>
      </c>
      <c r="D998" s="5">
        <f t="shared" si="424"/>
        <v>-394.78209688453194</v>
      </c>
      <c r="E998" s="2">
        <f t="shared" si="406"/>
        <v>412.3540925897824</v>
      </c>
      <c r="F998" s="2">
        <f t="shared" si="425"/>
        <v>0</v>
      </c>
      <c r="G998" s="3">
        <f t="shared" si="426"/>
        <v>0</v>
      </c>
      <c r="H998" s="3">
        <f t="shared" si="427"/>
        <v>88.664802756367919</v>
      </c>
      <c r="I998" s="3">
        <f t="shared" si="428"/>
        <v>-115.87996424739315</v>
      </c>
      <c r="J998" s="2">
        <f t="shared" si="407"/>
        <v>145.90960681806644</v>
      </c>
      <c r="K998" s="2">
        <f t="shared" si="429"/>
        <v>99.461218008225245</v>
      </c>
      <c r="L998" s="5">
        <f t="shared" si="408"/>
        <v>23.983474341044914</v>
      </c>
      <c r="M998" s="3">
        <f t="shared" si="409"/>
        <v>14.697784527681792</v>
      </c>
      <c r="N998" s="2">
        <v>0</v>
      </c>
      <c r="O998" s="2">
        <f t="shared" si="410"/>
        <v>145.90960681806644</v>
      </c>
      <c r="P998" s="2">
        <f t="shared" si="411"/>
        <v>99.461218008225245</v>
      </c>
      <c r="Q998" s="5">
        <f t="shared" si="412"/>
        <v>1.2297220321906006</v>
      </c>
      <c r="R998" s="5">
        <f t="shared" si="413"/>
        <v>0.15350498057230949</v>
      </c>
      <c r="S998" s="4">
        <f t="shared" si="430"/>
        <v>0.1007321234578361</v>
      </c>
      <c r="T998" s="5">
        <f t="shared" si="414"/>
        <v>9.1596462162304881E-2</v>
      </c>
      <c r="U998" s="4">
        <f t="shared" si="415"/>
        <v>0</v>
      </c>
      <c r="V998" s="4">
        <f t="shared" si="416"/>
        <v>0</v>
      </c>
      <c r="W998" s="5">
        <f t="shared" si="417"/>
        <v>0</v>
      </c>
      <c r="X998" s="5">
        <f t="shared" si="418"/>
        <v>-11.284867101469152</v>
      </c>
      <c r="Y998" s="5">
        <f t="shared" si="419"/>
        <v>14.748693456726942</v>
      </c>
      <c r="Z998" s="5">
        <f>1</f>
        <v>1</v>
      </c>
      <c r="AA998" s="5">
        <f>IF(M998=0,0,const*($T998/omega)*O998*(wy*I998-wz*(H998-V998))/Z998)</f>
        <v>0</v>
      </c>
      <c r="AB998" s="5">
        <f>IF(M998=0,0,const*($T998/omega)*O998*(wz*(G998-U998)-wx*I998)/Z998)</f>
        <v>8.8005492532938341</v>
      </c>
      <c r="AC998" s="5">
        <f>IF(M998=0,0,const*($T998/omega)*O998*(wx*(H998-V998)-wy*(G998-U998))/Z998)</f>
        <v>6.733683158765321</v>
      </c>
      <c r="AD998" s="5">
        <f t="shared" si="405"/>
        <v>0</v>
      </c>
      <c r="AE998" s="5">
        <f t="shared" si="405"/>
        <v>-2.4843178481753174</v>
      </c>
      <c r="AF998" s="5">
        <f t="shared" si="420"/>
        <v>-10.691623384507736</v>
      </c>
      <c r="AG998">
        <f t="shared" si="431"/>
        <v>0</v>
      </c>
    </row>
    <row r="999" spans="1:33" x14ac:dyDescent="0.2">
      <c r="A999">
        <f t="shared" si="421"/>
        <v>9.6699999999998383</v>
      </c>
      <c r="B999" s="5">
        <f t="shared" si="422"/>
        <v>0</v>
      </c>
      <c r="C999" s="5">
        <f t="shared" si="423"/>
        <v>1237.9488015810186</v>
      </c>
      <c r="D999" s="5">
        <f t="shared" si="424"/>
        <v>-395.9414311081751</v>
      </c>
      <c r="E999" s="2">
        <f t="shared" si="406"/>
        <v>412.64960052700621</v>
      </c>
      <c r="F999" s="2">
        <f t="shared" si="425"/>
        <v>0</v>
      </c>
      <c r="G999" s="3">
        <f t="shared" si="426"/>
        <v>0</v>
      </c>
      <c r="H999" s="3">
        <f t="shared" si="427"/>
        <v>88.63995957788616</v>
      </c>
      <c r="I999" s="3">
        <f t="shared" si="428"/>
        <v>-115.98688048123823</v>
      </c>
      <c r="J999" s="2">
        <f t="shared" si="407"/>
        <v>145.9794467647358</v>
      </c>
      <c r="K999" s="2">
        <f t="shared" si="429"/>
        <v>99.508825333834892</v>
      </c>
      <c r="L999" s="5">
        <f t="shared" si="408"/>
        <v>23.972000091717039</v>
      </c>
      <c r="M999" s="3">
        <f t="shared" si="409"/>
        <v>14.688822441788739</v>
      </c>
      <c r="N999" s="2">
        <v>0</v>
      </c>
      <c r="O999" s="2">
        <f t="shared" si="410"/>
        <v>145.9794467647358</v>
      </c>
      <c r="P999" s="2">
        <f t="shared" si="411"/>
        <v>99.508825333834892</v>
      </c>
      <c r="Q999" s="5">
        <f t="shared" si="412"/>
        <v>1.2303106412823475</v>
      </c>
      <c r="R999" s="5">
        <f t="shared" si="413"/>
        <v>0.15348210772299734</v>
      </c>
      <c r="S999" s="4">
        <f t="shared" si="430"/>
        <v>0.10062253808552665</v>
      </c>
      <c r="T999" s="5">
        <f t="shared" si="414"/>
        <v>9.155659043156103E-2</v>
      </c>
      <c r="U999" s="4">
        <f t="shared" si="415"/>
        <v>0</v>
      </c>
      <c r="V999" s="4">
        <f t="shared" si="416"/>
        <v>0</v>
      </c>
      <c r="W999" s="5">
        <f t="shared" si="417"/>
        <v>0</v>
      </c>
      <c r="X999" s="5">
        <f t="shared" si="418"/>
        <v>-11.285423359794473</v>
      </c>
      <c r="Y999" s="5">
        <f t="shared" si="419"/>
        <v>14.767166598970498</v>
      </c>
      <c r="Z999" s="5">
        <f>1</f>
        <v>1</v>
      </c>
      <c r="AA999" s="5">
        <f>IF(M999=0,0,const*($T999/omega)*O999*(wy*I999-wz*(H999-V999))/Z999)</f>
        <v>0</v>
      </c>
      <c r="AB999" s="5">
        <f>IF(M999=0,0,const*($T999/omega)*O999*(wz*(G999-U999)-wx*I999)/Z999)</f>
        <v>8.8090491080347935</v>
      </c>
      <c r="AC999" s="5">
        <f>IF(M999=0,0,const*($T999/omega)*O999*(wx*(H999-V999)-wy*(G999-U999))/Z999)</f>
        <v>6.7320868844483153</v>
      </c>
      <c r="AD999" s="5">
        <f t="shared" si="405"/>
        <v>0</v>
      </c>
      <c r="AE999" s="5">
        <f t="shared" si="405"/>
        <v>-2.4763742517596796</v>
      </c>
      <c r="AF999" s="5">
        <f t="shared" si="420"/>
        <v>-10.674746516581187</v>
      </c>
      <c r="AG999">
        <f t="shared" si="431"/>
        <v>0</v>
      </c>
    </row>
    <row r="1000" spans="1:33" x14ac:dyDescent="0.2">
      <c r="A1000">
        <f t="shared" si="421"/>
        <v>9.6799999999998381</v>
      </c>
      <c r="B1000" s="5">
        <f t="shared" si="422"/>
        <v>0</v>
      </c>
      <c r="C1000" s="5">
        <f t="shared" si="423"/>
        <v>1238.8350773580848</v>
      </c>
      <c r="D1000" s="5">
        <f t="shared" si="424"/>
        <v>-397.10183365031332</v>
      </c>
      <c r="E1000" s="2">
        <f t="shared" si="406"/>
        <v>412.94502578602828</v>
      </c>
      <c r="F1000" s="2">
        <f t="shared" si="425"/>
        <v>0</v>
      </c>
      <c r="G1000" s="3">
        <f t="shared" si="426"/>
        <v>0</v>
      </c>
      <c r="H1000" s="3">
        <f t="shared" si="427"/>
        <v>88.615195835368567</v>
      </c>
      <c r="I1000" s="3">
        <f t="shared" si="428"/>
        <v>-116.09362794640404</v>
      </c>
      <c r="J1000" s="2">
        <f t="shared" si="407"/>
        <v>146.04924985325604</v>
      </c>
      <c r="K1000" s="2">
        <f t="shared" si="429"/>
        <v>99.55640753459852</v>
      </c>
      <c r="L1000" s="5">
        <f t="shared" si="408"/>
        <v>23.960542863103466</v>
      </c>
      <c r="M1000" s="3">
        <f t="shared" si="409"/>
        <v>14.679861457804718</v>
      </c>
      <c r="N1000" s="2">
        <v>0</v>
      </c>
      <c r="O1000" s="2">
        <f t="shared" si="410"/>
        <v>146.04924985325604</v>
      </c>
      <c r="P1000" s="2">
        <f t="shared" si="411"/>
        <v>99.55640753459852</v>
      </c>
      <c r="Q1000" s="5">
        <f t="shared" si="412"/>
        <v>1.2308989397346579</v>
      </c>
      <c r="R1000" s="5">
        <f t="shared" si="413"/>
        <v>0.15345926361827245</v>
      </c>
      <c r="S1000" s="4">
        <f t="shared" si="430"/>
        <v>0.10051309043048427</v>
      </c>
      <c r="T1000" s="5">
        <f t="shared" si="414"/>
        <v>9.1516742794757036E-2</v>
      </c>
      <c r="U1000" s="4">
        <f t="shared" si="415"/>
        <v>0</v>
      </c>
      <c r="V1000" s="4">
        <f t="shared" si="416"/>
        <v>0</v>
      </c>
      <c r="W1000" s="5">
        <f t="shared" si="417"/>
        <v>0</v>
      </c>
      <c r="X1000" s="5">
        <f t="shared" si="418"/>
        <v>-11.285985307816961</v>
      </c>
      <c r="Y1000" s="5">
        <f t="shared" si="419"/>
        <v>14.7856241469969</v>
      </c>
      <c r="Z1000" s="5">
        <f>1</f>
        <v>1</v>
      </c>
      <c r="AA1000" s="5">
        <f>IF(M1000=0,0,const*($T1000/omega)*O1000*(wy*I1000-wz*(H1000-V1000))/Z1000)</f>
        <v>0</v>
      </c>
      <c r="AB1000" s="5">
        <f>IF(M1000=0,0,const*($T1000/omega)*O1000*(wz*(G1000-U1000)-wx*I1000)/Z1000)</f>
        <v>8.8175332672425668</v>
      </c>
      <c r="AC1000" s="5">
        <f>IF(M1000=0,0,const*($T1000/omega)*O1000*(wx*(H1000-V1000)-wy*(G1000-U1000))/Z1000)</f>
        <v>6.7304937495992849</v>
      </c>
      <c r="AD1000" s="5">
        <f t="shared" si="405"/>
        <v>0</v>
      </c>
      <c r="AE1000" s="5">
        <f t="shared" si="405"/>
        <v>-2.4684520405743946</v>
      </c>
      <c r="AF1000" s="5">
        <f t="shared" si="420"/>
        <v>-10.657882103403814</v>
      </c>
      <c r="AG1000">
        <f t="shared" si="431"/>
        <v>0</v>
      </c>
    </row>
    <row r="1001" spans="1:33" x14ac:dyDescent="0.2">
      <c r="A1001">
        <f t="shared" si="421"/>
        <v>9.6899999999998379</v>
      </c>
      <c r="B1001" s="5">
        <f t="shared" si="422"/>
        <v>0</v>
      </c>
      <c r="C1001" s="5">
        <f t="shared" si="423"/>
        <v>1239.7211058938365</v>
      </c>
      <c r="D1001" s="5">
        <f t="shared" si="424"/>
        <v>-398.26330282388255</v>
      </c>
      <c r="E1001" s="2">
        <f t="shared" si="406"/>
        <v>413.24036863127884</v>
      </c>
      <c r="F1001" s="2">
        <f t="shared" si="425"/>
        <v>0</v>
      </c>
      <c r="G1001" s="3">
        <f t="shared" si="426"/>
        <v>0</v>
      </c>
      <c r="H1001" s="3">
        <f t="shared" si="427"/>
        <v>88.590511314962825</v>
      </c>
      <c r="I1001" s="3">
        <f t="shared" si="428"/>
        <v>-116.20020676743808</v>
      </c>
      <c r="J1001" s="2">
        <f t="shared" si="407"/>
        <v>146.11901569556892</v>
      </c>
      <c r="K1001" s="2">
        <f t="shared" si="429"/>
        <v>99.603964345991074</v>
      </c>
      <c r="L1001" s="5">
        <f t="shared" si="408"/>
        <v>23.949102685744204</v>
      </c>
      <c r="M1001" s="3">
        <f t="shared" si="409"/>
        <v>14.670901600782457</v>
      </c>
      <c r="N1001" s="2">
        <v>0</v>
      </c>
      <c r="O1001" s="2">
        <f t="shared" si="410"/>
        <v>146.11901569556892</v>
      </c>
      <c r="P1001" s="2">
        <f t="shared" si="411"/>
        <v>99.603964345991074</v>
      </c>
      <c r="Q1001" s="5">
        <f t="shared" si="412"/>
        <v>1.2314869242769877</v>
      </c>
      <c r="R1001" s="5">
        <f t="shared" si="413"/>
        <v>0.15343644829109435</v>
      </c>
      <c r="S1001" s="4">
        <f t="shared" si="430"/>
        <v>0.10040378065062038</v>
      </c>
      <c r="T1001" s="5">
        <f t="shared" si="414"/>
        <v>9.1476919362355219E-2</v>
      </c>
      <c r="U1001" s="4">
        <f t="shared" si="415"/>
        <v>0</v>
      </c>
      <c r="V1001" s="4">
        <f t="shared" si="416"/>
        <v>0</v>
      </c>
      <c r="W1001" s="5">
        <f t="shared" si="417"/>
        <v>0</v>
      </c>
      <c r="X1001" s="5">
        <f t="shared" si="418"/>
        <v>-11.286552906997704</v>
      </c>
      <c r="Y1001" s="5">
        <f t="shared" si="419"/>
        <v>14.804066056488058</v>
      </c>
      <c r="Z1001" s="5">
        <f>1</f>
        <v>1</v>
      </c>
      <c r="AA1001" s="5">
        <f>IF(M1001=0,0,const*($T1001/omega)*O1001*(wy*I1001-wz*(H1001-V1001))/Z1001)</f>
        <v>0</v>
      </c>
      <c r="AB1001" s="5">
        <f>IF(M1001=0,0,const*($T1001/omega)*O1001*(wz*(G1001-U1001)-wx*I1001)/Z1001)</f>
        <v>8.8260017223231007</v>
      </c>
      <c r="AC1001" s="5">
        <f>IF(M1001=0,0,const*($T1001/omega)*O1001*(wx*(H1001-V1001)-wy*(G1001-U1001))/Z1001)</f>
        <v>6.7289037360512864</v>
      </c>
      <c r="AD1001" s="5">
        <f t="shared" si="405"/>
        <v>0</v>
      </c>
      <c r="AE1001" s="5">
        <f t="shared" si="405"/>
        <v>-2.4605511846746033</v>
      </c>
      <c r="AF1001" s="5">
        <f t="shared" si="420"/>
        <v>-10.641030207460656</v>
      </c>
      <c r="AG1001">
        <f t="shared" si="431"/>
        <v>0</v>
      </c>
    </row>
    <row r="1002" spans="1:33" x14ac:dyDescent="0.2">
      <c r="A1002">
        <f t="shared" si="421"/>
        <v>9.6999999999998376</v>
      </c>
      <c r="B1002" s="5">
        <f t="shared" si="422"/>
        <v>0</v>
      </c>
      <c r="C1002" s="5">
        <f t="shared" si="423"/>
        <v>1240.6068879794268</v>
      </c>
      <c r="D1002" s="5">
        <f t="shared" si="424"/>
        <v>-399.42583694306734</v>
      </c>
      <c r="E1002" s="2">
        <f t="shared" si="406"/>
        <v>413.5356293264756</v>
      </c>
      <c r="F1002" s="2">
        <f t="shared" si="425"/>
        <v>0</v>
      </c>
      <c r="G1002" s="3">
        <f t="shared" si="426"/>
        <v>0</v>
      </c>
      <c r="H1002" s="3">
        <f t="shared" si="427"/>
        <v>88.565905803116081</v>
      </c>
      <c r="I1002" s="3">
        <f t="shared" si="428"/>
        <v>-116.30661706951268</v>
      </c>
      <c r="J1002" s="2">
        <f t="shared" si="407"/>
        <v>146.18874390622793</v>
      </c>
      <c r="K1002" s="2">
        <f t="shared" si="429"/>
        <v>99.651495505267832</v>
      </c>
      <c r="L1002" s="5">
        <f t="shared" si="408"/>
        <v>23.937679589597778</v>
      </c>
      <c r="M1002" s="3">
        <f t="shared" si="409"/>
        <v>14.661942895679923</v>
      </c>
      <c r="N1002" s="2">
        <v>0</v>
      </c>
      <c r="O1002" s="2">
        <f t="shared" si="410"/>
        <v>146.18874390622793</v>
      </c>
      <c r="P1002" s="2">
        <f t="shared" si="411"/>
        <v>99.651495505267832</v>
      </c>
      <c r="Q1002" s="5">
        <f t="shared" si="412"/>
        <v>1.2320745916608054</v>
      </c>
      <c r="R1002" s="5">
        <f t="shared" si="413"/>
        <v>0.15341366177365198</v>
      </c>
      <c r="S1002" s="4">
        <f t="shared" si="430"/>
        <v>0.10029460890015415</v>
      </c>
      <c r="T1002" s="5">
        <f t="shared" si="414"/>
        <v>9.143712024371202E-2</v>
      </c>
      <c r="U1002" s="4">
        <f t="shared" si="415"/>
        <v>0</v>
      </c>
      <c r="V1002" s="4">
        <f t="shared" si="416"/>
        <v>0</v>
      </c>
      <c r="W1002" s="5">
        <f t="shared" si="417"/>
        <v>0</v>
      </c>
      <c r="X1002" s="5">
        <f t="shared" si="418"/>
        <v>-11.287126118977547</v>
      </c>
      <c r="Y1002" s="5">
        <f t="shared" si="419"/>
        <v>14.822492283357059</v>
      </c>
      <c r="Z1002" s="5">
        <f>1</f>
        <v>1</v>
      </c>
      <c r="AA1002" s="5">
        <f>IF(M1002=0,0,const*($T1002/omega)*O1002*(wy*I1002-wz*(H1002-V1002))/Z1002)</f>
        <v>0</v>
      </c>
      <c r="AB1002" s="5">
        <f>IF(M1002=0,0,const*($T1002/omega)*O1002*(wz*(G1002-U1002)-wx*I1002)/Z1002)</f>
        <v>8.8344544648472976</v>
      </c>
      <c r="AC1002" s="5">
        <f>IF(M1002=0,0,const*($T1002/omega)*O1002*(wx*(H1002-V1002)-wy*(G1002-U1002))/Z1002)</f>
        <v>6.7273168257309921</v>
      </c>
      <c r="AD1002" s="5">
        <f t="shared" si="405"/>
        <v>0</v>
      </c>
      <c r="AE1002" s="5">
        <f t="shared" si="405"/>
        <v>-2.4526716541302491</v>
      </c>
      <c r="AF1002" s="5">
        <f t="shared" si="420"/>
        <v>-10.624190890911947</v>
      </c>
      <c r="AG1002">
        <f t="shared" si="431"/>
        <v>0</v>
      </c>
    </row>
    <row r="1003" spans="1:33" x14ac:dyDescent="0.2">
      <c r="A1003">
        <f t="shared" si="421"/>
        <v>9.7099999999998374</v>
      </c>
      <c r="B1003" s="5">
        <f t="shared" si="422"/>
        <v>0</v>
      </c>
      <c r="C1003" s="5">
        <f t="shared" si="423"/>
        <v>1241.4924244038752</v>
      </c>
      <c r="D1003" s="5">
        <f t="shared" si="424"/>
        <v>-400.58943432330699</v>
      </c>
      <c r="E1003" s="2">
        <f t="shared" si="406"/>
        <v>413.8308081346251</v>
      </c>
      <c r="F1003" s="2">
        <f t="shared" si="425"/>
        <v>0</v>
      </c>
      <c r="G1003" s="3">
        <f t="shared" si="426"/>
        <v>0</v>
      </c>
      <c r="H1003" s="3">
        <f t="shared" si="427"/>
        <v>88.541379086574779</v>
      </c>
      <c r="I1003" s="3">
        <f t="shared" si="428"/>
        <v>-116.41285897842181</v>
      </c>
      <c r="J1003" s="2">
        <f t="shared" si="407"/>
        <v>146.25843410238764</v>
      </c>
      <c r="K1003" s="2">
        <f t="shared" si="429"/>
        <v>99.699000751457149</v>
      </c>
      <c r="L1003" s="5">
        <f t="shared" si="408"/>
        <v>23.926273604045932</v>
      </c>
      <c r="M1003" s="3">
        <f t="shared" si="409"/>
        <v>14.652985367360348</v>
      </c>
      <c r="N1003" s="2">
        <v>0</v>
      </c>
      <c r="O1003" s="2">
        <f t="shared" si="410"/>
        <v>146.25843410238764</v>
      </c>
      <c r="P1003" s="2">
        <f t="shared" si="411"/>
        <v>99.699000751457149</v>
      </c>
      <c r="Q1003" s="5">
        <f t="shared" si="412"/>
        <v>1.2326619386594999</v>
      </c>
      <c r="R1003" s="5">
        <f t="shared" si="413"/>
        <v>0.15339090409736986</v>
      </c>
      <c r="S1003" s="4">
        <f t="shared" si="430"/>
        <v>0.10018557532964276</v>
      </c>
      <c r="T1003" s="5">
        <f t="shared" si="414"/>
        <v>9.1397345547084868E-2</v>
      </c>
      <c r="U1003" s="4">
        <f t="shared" si="415"/>
        <v>0</v>
      </c>
      <c r="V1003" s="4">
        <f t="shared" si="416"/>
        <v>0</v>
      </c>
      <c r="W1003" s="5">
        <f t="shared" si="417"/>
        <v>0</v>
      </c>
      <c r="X1003" s="5">
        <f t="shared" si="418"/>
        <v>-11.287704905576042</v>
      </c>
      <c r="Y1003" s="5">
        <f t="shared" si="419"/>
        <v>14.84090278374833</v>
      </c>
      <c r="Z1003" s="5">
        <f>1</f>
        <v>1</v>
      </c>
      <c r="AA1003" s="5">
        <f>IF(M1003=0,0,const*($T1003/omega)*O1003*(wy*I1003-wz*(H1003-V1003))/Z1003)</f>
        <v>0</v>
      </c>
      <c r="AB1003" s="5">
        <f>IF(M1003=0,0,const*($T1003/omega)*O1003*(wz*(G1003-U1003)-wx*I1003)/Z1003)</f>
        <v>8.8428914865506538</v>
      </c>
      <c r="AC1003" s="5">
        <f>IF(M1003=0,0,const*($T1003/omega)*O1003*(wx*(H1003-V1003)-wy*(G1003-U1003))/Z1003)</f>
        <v>6.7257330006580744</v>
      </c>
      <c r="AD1003" s="5">
        <f t="shared" si="405"/>
        <v>0</v>
      </c>
      <c r="AE1003" s="5">
        <f t="shared" si="405"/>
        <v>-2.4448134190253885</v>
      </c>
      <c r="AF1003" s="5">
        <f t="shared" si="420"/>
        <v>-10.607364215593595</v>
      </c>
      <c r="AG1003">
        <f t="shared" si="431"/>
        <v>0</v>
      </c>
    </row>
    <row r="1004" spans="1:33" x14ac:dyDescent="0.2">
      <c r="A1004">
        <f t="shared" si="421"/>
        <v>9.7199999999998372</v>
      </c>
      <c r="B1004" s="5">
        <f t="shared" si="422"/>
        <v>0</v>
      </c>
      <c r="C1004" s="5">
        <f t="shared" si="423"/>
        <v>1242.37771595407</v>
      </c>
      <c r="D1004" s="5">
        <f t="shared" si="424"/>
        <v>-401.754093281302</v>
      </c>
      <c r="E1004" s="2">
        <f t="shared" si="406"/>
        <v>414.12590531802334</v>
      </c>
      <c r="F1004" s="2">
        <f t="shared" si="425"/>
        <v>0</v>
      </c>
      <c r="G1004" s="3">
        <f t="shared" si="426"/>
        <v>0</v>
      </c>
      <c r="H1004" s="3">
        <f t="shared" si="427"/>
        <v>88.516930952384527</v>
      </c>
      <c r="I1004" s="3">
        <f t="shared" si="428"/>
        <v>-116.51893262057774</v>
      </c>
      <c r="J1004" s="2">
        <f t="shared" si="407"/>
        <v>146.32808590379341</v>
      </c>
      <c r="K1004" s="2">
        <f t="shared" si="429"/>
        <v>99.746479825353376</v>
      </c>
      <c r="L1004" s="5">
        <f t="shared" si="408"/>
        <v>23.914884757898207</v>
      </c>
      <c r="M1004" s="3">
        <f t="shared" si="409"/>
        <v>14.644029040592235</v>
      </c>
      <c r="N1004" s="2">
        <v>0</v>
      </c>
      <c r="O1004" s="2">
        <f t="shared" si="410"/>
        <v>146.32808590379341</v>
      </c>
      <c r="P1004" s="2">
        <f t="shared" si="411"/>
        <v>99.746479825353376</v>
      </c>
      <c r="Q1004" s="5">
        <f t="shared" si="412"/>
        <v>1.2332489620682958</v>
      </c>
      <c r="R1004" s="5">
        <f t="shared" si="413"/>
        <v>0.15336817529291435</v>
      </c>
      <c r="S1004" s="4">
        <f t="shared" si="430"/>
        <v>0.10007668008601077</v>
      </c>
      <c r="T1004" s="5">
        <f t="shared" si="414"/>
        <v>9.1357595379638751E-2</v>
      </c>
      <c r="U1004" s="4">
        <f t="shared" si="415"/>
        <v>0</v>
      </c>
      <c r="V1004" s="4">
        <f t="shared" si="416"/>
        <v>0</v>
      </c>
      <c r="W1004" s="5">
        <f t="shared" si="417"/>
        <v>0</v>
      </c>
      <c r="X1004" s="5">
        <f t="shared" si="418"/>
        <v>-11.288289228790449</v>
      </c>
      <c r="Y1004" s="5">
        <f t="shared" si="419"/>
        <v>14.859297514037856</v>
      </c>
      <c r="Z1004" s="5">
        <f>1</f>
        <v>1</v>
      </c>
      <c r="AA1004" s="5">
        <f>IF(M1004=0,0,const*($T1004/omega)*O1004*(wy*I1004-wz*(H1004-V1004))/Z1004)</f>
        <v>0</v>
      </c>
      <c r="AB1004" s="5">
        <f>IF(M1004=0,0,const*($T1004/omega)*O1004*(wz*(G1004-U1004)-wx*I1004)/Z1004)</f>
        <v>8.8513127793329094</v>
      </c>
      <c r="AC1004" s="5">
        <f>IF(M1004=0,0,const*($T1004/omega)*O1004*(wx*(H1004-V1004)-wy*(G1004-U1004))/Z1004)</f>
        <v>6.7241522429446103</v>
      </c>
      <c r="AD1004" s="5">
        <f t="shared" si="405"/>
        <v>0</v>
      </c>
      <c r="AE1004" s="5">
        <f t="shared" si="405"/>
        <v>-2.4369764494575392</v>
      </c>
      <c r="AF1004" s="5">
        <f t="shared" si="420"/>
        <v>-10.590550243017532</v>
      </c>
      <c r="AG1004">
        <f t="shared" si="431"/>
        <v>0</v>
      </c>
    </row>
    <row r="1005" spans="1:33" x14ac:dyDescent="0.2">
      <c r="A1005">
        <f t="shared" si="421"/>
        <v>9.729999999999837</v>
      </c>
      <c r="B1005" s="5">
        <f t="shared" si="422"/>
        <v>0</v>
      </c>
      <c r="C1005" s="5">
        <f t="shared" si="423"/>
        <v>1243.2627634147714</v>
      </c>
      <c r="D1005" s="5">
        <f t="shared" si="424"/>
        <v>-402.91981213501992</v>
      </c>
      <c r="E1005" s="2">
        <f t="shared" si="406"/>
        <v>414.42092113825714</v>
      </c>
      <c r="F1005" s="2">
        <f t="shared" si="425"/>
        <v>0</v>
      </c>
      <c r="G1005" s="3">
        <f t="shared" si="426"/>
        <v>0</v>
      </c>
      <c r="H1005" s="3">
        <f t="shared" si="427"/>
        <v>88.492561187889947</v>
      </c>
      <c r="I1005" s="3">
        <f t="shared" si="428"/>
        <v>-116.62483812300792</v>
      </c>
      <c r="J1005" s="2">
        <f t="shared" si="407"/>
        <v>146.39769893277096</v>
      </c>
      <c r="K1005" s="2">
        <f t="shared" si="429"/>
        <v>99.793932469509855</v>
      </c>
      <c r="L1005" s="5">
        <f t="shared" si="408"/>
        <v>23.90351307939655</v>
      </c>
      <c r="M1005" s="3">
        <f t="shared" si="409"/>
        <v>14.635073940049384</v>
      </c>
      <c r="N1005" s="2">
        <v>0</v>
      </c>
      <c r="O1005" s="2">
        <f t="shared" si="410"/>
        <v>146.39769893277096</v>
      </c>
      <c r="P1005" s="2">
        <f t="shared" si="411"/>
        <v>99.793932469509855</v>
      </c>
      <c r="Q1005" s="5">
        <f t="shared" si="412"/>
        <v>1.2338356587041654</v>
      </c>
      <c r="R1005" s="5">
        <f t="shared" si="413"/>
        <v>0.15334547539019977</v>
      </c>
      <c r="S1005" s="4">
        <f t="shared" si="430"/>
        <v>9.996792331257974E-2</v>
      </c>
      <c r="T1005" s="5">
        <f t="shared" si="414"/>
        <v>9.1317869847452868E-2</v>
      </c>
      <c r="U1005" s="4">
        <f t="shared" si="415"/>
        <v>0</v>
      </c>
      <c r="V1005" s="4">
        <f t="shared" si="416"/>
        <v>0</v>
      </c>
      <c r="W1005" s="5">
        <f t="shared" si="417"/>
        <v>0</v>
      </c>
      <c r="X1005" s="5">
        <f t="shared" si="418"/>
        <v>-11.288879050794709</v>
      </c>
      <c r="Y1005" s="5">
        <f t="shared" si="419"/>
        <v>14.877676430833349</v>
      </c>
      <c r="Z1005" s="5">
        <f>1</f>
        <v>1</v>
      </c>
      <c r="AA1005" s="5">
        <f>IF(M1005=0,0,const*($T1005/omega)*O1005*(wy*I1005-wz*(H1005-V1005))/Z1005)</f>
        <v>0</v>
      </c>
      <c r="AB1005" s="5">
        <f>IF(M1005=0,0,const*($T1005/omega)*O1005*(wz*(G1005-U1005)-wx*I1005)/Z1005)</f>
        <v>8.8597183352576714</v>
      </c>
      <c r="AC1005" s="5">
        <f>IF(M1005=0,0,const*($T1005/omega)*O1005*(wx*(H1005-V1005)-wy*(G1005-U1005))/Z1005)</f>
        <v>6.7225745347944672</v>
      </c>
      <c r="AD1005" s="5">
        <f t="shared" si="405"/>
        <v>0</v>
      </c>
      <c r="AE1005" s="5">
        <f t="shared" si="405"/>
        <v>-2.4291607155370372</v>
      </c>
      <c r="AF1005" s="5">
        <f t="shared" si="420"/>
        <v>-10.573749034372184</v>
      </c>
      <c r="AG1005">
        <f t="shared" si="431"/>
        <v>0</v>
      </c>
    </row>
    <row r="1006" spans="1:33" x14ac:dyDescent="0.2">
      <c r="A1006">
        <f t="shared" si="421"/>
        <v>9.7399999999998368</v>
      </c>
      <c r="B1006" s="5">
        <f t="shared" si="422"/>
        <v>0</v>
      </c>
      <c r="C1006" s="5">
        <f t="shared" si="423"/>
        <v>1244.1475675686147</v>
      </c>
      <c r="D1006" s="5">
        <f t="shared" si="424"/>
        <v>-404.08658920370175</v>
      </c>
      <c r="E1006" s="2">
        <f t="shared" si="406"/>
        <v>414.71585585620488</v>
      </c>
      <c r="F1006" s="2">
        <f t="shared" si="425"/>
        <v>0</v>
      </c>
      <c r="G1006" s="3">
        <f t="shared" si="426"/>
        <v>0</v>
      </c>
      <c r="H1006" s="3">
        <f t="shared" si="427"/>
        <v>88.468269580734571</v>
      </c>
      <c r="I1006" s="3">
        <f t="shared" si="428"/>
        <v>-116.73057561335165</v>
      </c>
      <c r="J1006" s="2">
        <f t="shared" si="407"/>
        <v>146.46727281421585</v>
      </c>
      <c r="K1006" s="2">
        <f t="shared" si="429"/>
        <v>99.841358428231658</v>
      </c>
      <c r="L1006" s="5">
        <f t="shared" si="408"/>
        <v>23.892158596219875</v>
      </c>
      <c r="M1006" s="3">
        <f t="shared" si="409"/>
        <v>14.626120090310925</v>
      </c>
      <c r="N1006" s="2">
        <v>0</v>
      </c>
      <c r="O1006" s="2">
        <f t="shared" si="410"/>
        <v>146.46727281421585</v>
      </c>
      <c r="P1006" s="2">
        <f t="shared" si="411"/>
        <v>99.841358428231658</v>
      </c>
      <c r="Q1006" s="5">
        <f t="shared" si="412"/>
        <v>1.234422025405739</v>
      </c>
      <c r="R1006" s="5">
        <f t="shared" si="413"/>
        <v>0.15332280441839458</v>
      </c>
      <c r="S1006" s="4">
        <f t="shared" si="430"/>
        <v>9.9859305149097716E-2</v>
      </c>
      <c r="T1006" s="5">
        <f t="shared" si="414"/>
        <v>9.1278169055527394E-2</v>
      </c>
      <c r="U1006" s="4">
        <f t="shared" si="415"/>
        <v>0</v>
      </c>
      <c r="V1006" s="4">
        <f t="shared" si="416"/>
        <v>0</v>
      </c>
      <c r="W1006" s="5">
        <f t="shared" si="417"/>
        <v>0</v>
      </c>
      <c r="X1006" s="5">
        <f t="shared" si="418"/>
        <v>-11.289474333938429</v>
      </c>
      <c r="Y1006" s="5">
        <f t="shared" si="419"/>
        <v>14.896039490974413</v>
      </c>
      <c r="Z1006" s="5">
        <f>1</f>
        <v>1</v>
      </c>
      <c r="AA1006" s="5">
        <f>IF(M1006=0,0,const*($T1006/omega)*O1006*(wy*I1006-wz*(H1006-V1006))/Z1006)</f>
        <v>0</v>
      </c>
      <c r="AB1006" s="5">
        <f>IF(M1006=0,0,const*($T1006/omega)*O1006*(wz*(G1006-U1006)-wx*I1006)/Z1006)</f>
        <v>8.8681081465520695</v>
      </c>
      <c r="AC1006" s="5">
        <f>IF(M1006=0,0,const*($T1006/omega)*O1006*(wx*(H1006-V1006)-wy*(G1006-U1006))/Z1006)</f>
        <v>6.7209998585027151</v>
      </c>
      <c r="AD1006" s="5">
        <f t="shared" si="405"/>
        <v>0</v>
      </c>
      <c r="AE1006" s="5">
        <f t="shared" si="405"/>
        <v>-2.4213661873863597</v>
      </c>
      <c r="AF1006" s="5">
        <f t="shared" si="420"/>
        <v>-10.556960650522871</v>
      </c>
      <c r="AG1006">
        <f t="shared" si="431"/>
        <v>0</v>
      </c>
    </row>
    <row r="1007" spans="1:33" x14ac:dyDescent="0.2">
      <c r="A1007">
        <f t="shared" si="421"/>
        <v>9.7499999999998366</v>
      </c>
      <c r="B1007" s="5">
        <f t="shared" si="422"/>
        <v>0</v>
      </c>
      <c r="C1007" s="5">
        <f t="shared" si="423"/>
        <v>1245.0321291961127</v>
      </c>
      <c r="D1007" s="5">
        <f t="shared" si="424"/>
        <v>-405.2544228078678</v>
      </c>
      <c r="E1007" s="2">
        <f t="shared" si="406"/>
        <v>415.01070973203758</v>
      </c>
      <c r="F1007" s="2">
        <f t="shared" si="425"/>
        <v>0</v>
      </c>
      <c r="G1007" s="3">
        <f t="shared" si="426"/>
        <v>0</v>
      </c>
      <c r="H1007" s="3">
        <f t="shared" si="427"/>
        <v>88.444055918860712</v>
      </c>
      <c r="I1007" s="3">
        <f t="shared" si="428"/>
        <v>-116.83614521985687</v>
      </c>
      <c r="J1007" s="2">
        <f t="shared" si="407"/>
        <v>146.53680717558316</v>
      </c>
      <c r="K1007" s="2">
        <f t="shared" si="429"/>
        <v>99.888757447568608</v>
      </c>
      <c r="L1007" s="5">
        <f t="shared" si="408"/>
        <v>23.880821335488623</v>
      </c>
      <c r="M1007" s="3">
        <f t="shared" si="409"/>
        <v>14.617167515861338</v>
      </c>
      <c r="N1007" s="2">
        <v>0</v>
      </c>
      <c r="O1007" s="2">
        <f t="shared" si="410"/>
        <v>146.53680717558316</v>
      </c>
      <c r="P1007" s="2">
        <f t="shared" si="411"/>
        <v>99.888757447568608</v>
      </c>
      <c r="Q1007" s="5">
        <f t="shared" si="412"/>
        <v>1.2350080590332184</v>
      </c>
      <c r="R1007" s="5">
        <f t="shared" si="413"/>
        <v>0.15330016240592748</v>
      </c>
      <c r="S1007" s="4">
        <f t="shared" si="430"/>
        <v>9.9750825731768356E-2</v>
      </c>
      <c r="T1007" s="5">
        <f t="shared" si="414"/>
        <v>9.1238493107789989E-2</v>
      </c>
      <c r="U1007" s="4">
        <f t="shared" si="415"/>
        <v>0</v>
      </c>
      <c r="V1007" s="4">
        <f t="shared" si="416"/>
        <v>0</v>
      </c>
      <c r="W1007" s="5">
        <f t="shared" si="417"/>
        <v>0</v>
      </c>
      <c r="X1007" s="5">
        <f t="shared" si="418"/>
        <v>-11.290075040745894</v>
      </c>
      <c r="Y1007" s="5">
        <f t="shared" si="419"/>
        <v>14.914386651532711</v>
      </c>
      <c r="Z1007" s="5">
        <f>1</f>
        <v>1</v>
      </c>
      <c r="AA1007" s="5">
        <f>IF(M1007=0,0,const*($T1007/omega)*O1007*(wy*I1007-wz*(H1007-V1007))/Z1007)</f>
        <v>0</v>
      </c>
      <c r="AB1007" s="5">
        <f>IF(M1007=0,0,const*($T1007/omega)*O1007*(wz*(G1007-U1007)-wx*I1007)/Z1007)</f>
        <v>8.8764822056063721</v>
      </c>
      <c r="AC1007" s="5">
        <f>IF(M1007=0,0,const*($T1007/omega)*O1007*(wx*(H1007-V1007)-wy*(G1007-U1007))/Z1007)</f>
        <v>6.7194281964550404</v>
      </c>
      <c r="AD1007" s="5">
        <f t="shared" si="405"/>
        <v>0</v>
      </c>
      <c r="AE1007" s="5">
        <f t="shared" si="405"/>
        <v>-2.4135928351395215</v>
      </c>
      <c r="AF1007" s="5">
        <f t="shared" si="420"/>
        <v>-10.540185152012249</v>
      </c>
      <c r="AG1007">
        <f t="shared" si="431"/>
        <v>0</v>
      </c>
    </row>
    <row r="1008" spans="1:33" x14ac:dyDescent="0.2">
      <c r="A1008">
        <f t="shared" si="421"/>
        <v>9.7599999999998364</v>
      </c>
      <c r="B1008" s="5">
        <f t="shared" si="422"/>
        <v>0</v>
      </c>
      <c r="C1008" s="5">
        <f t="shared" si="423"/>
        <v>1245.9164490756596</v>
      </c>
      <c r="D1008" s="5">
        <f t="shared" si="424"/>
        <v>-406.42331126932396</v>
      </c>
      <c r="E1008" s="2">
        <f t="shared" si="406"/>
        <v>415.30548302521987</v>
      </c>
      <c r="F1008" s="2">
        <f t="shared" si="425"/>
        <v>0</v>
      </c>
      <c r="G1008" s="3">
        <f t="shared" si="426"/>
        <v>0</v>
      </c>
      <c r="H1008" s="3">
        <f t="shared" si="427"/>
        <v>88.419919990509314</v>
      </c>
      <c r="I1008" s="3">
        <f t="shared" si="428"/>
        <v>-116.941547071377</v>
      </c>
      <c r="J1008" s="2">
        <f t="shared" si="407"/>
        <v>146.6063016468772</v>
      </c>
      <c r="K1008" s="2">
        <f t="shared" si="429"/>
        <v>99.936129275308247</v>
      </c>
      <c r="L1008" s="5">
        <f t="shared" si="408"/>
        <v>23.869501323769246</v>
      </c>
      <c r="M1008" s="3">
        <f t="shared" si="409"/>
        <v>14.608216241090483</v>
      </c>
      <c r="N1008" s="2">
        <v>0</v>
      </c>
      <c r="O1008" s="2">
        <f t="shared" si="410"/>
        <v>146.6063016468772</v>
      </c>
      <c r="P1008" s="2">
        <f t="shared" si="411"/>
        <v>99.936129275308247</v>
      </c>
      <c r="Q1008" s="5">
        <f t="shared" si="412"/>
        <v>1.2355937564682906</v>
      </c>
      <c r="R1008" s="5">
        <f t="shared" si="413"/>
        <v>0.15327754938049332</v>
      </c>
      <c r="S1008" s="4">
        <f t="shared" si="430"/>
        <v>9.9642485193279867E-2</v>
      </c>
      <c r="T1008" s="5">
        <f t="shared" si="414"/>
        <v>9.1198842107102399E-2</v>
      </c>
      <c r="U1008" s="4">
        <f t="shared" si="415"/>
        <v>0</v>
      </c>
      <c r="V1008" s="4">
        <f t="shared" si="416"/>
        <v>0</v>
      </c>
      <c r="W1008" s="5">
        <f t="shared" si="417"/>
        <v>0</v>
      </c>
      <c r="X1008" s="5">
        <f t="shared" si="418"/>
        <v>-11.290681133915049</v>
      </c>
      <c r="Y1008" s="5">
        <f t="shared" si="419"/>
        <v>14.932717869812103</v>
      </c>
      <c r="Z1008" s="5">
        <f>1</f>
        <v>1</v>
      </c>
      <c r="AA1008" s="5">
        <f>IF(M1008=0,0,const*($T1008/omega)*O1008*(wy*I1008-wz*(H1008-V1008))/Z1008)</f>
        <v>0</v>
      </c>
      <c r="AB1008" s="5">
        <f>IF(M1008=0,0,const*($T1008/omega)*O1008*(wz*(G1008-U1008)-wx*I1008)/Z1008)</f>
        <v>8.8848405049736154</v>
      </c>
      <c r="AC1008" s="5">
        <f>IF(M1008=0,0,const*($T1008/omega)*O1008*(wx*(H1008-V1008)-wy*(G1008-U1008))/Z1008)</f>
        <v>6.717859531127143</v>
      </c>
      <c r="AD1008" s="5">
        <f t="shared" ref="AD1008:AE1071" si="432">W1008+AA1008</f>
        <v>0</v>
      </c>
      <c r="AE1008" s="5">
        <f t="shared" si="432"/>
        <v>-2.4058406289414336</v>
      </c>
      <c r="AF1008" s="5">
        <f t="shared" si="420"/>
        <v>-10.523422599060751</v>
      </c>
      <c r="AG1008">
        <f t="shared" si="431"/>
        <v>0</v>
      </c>
    </row>
    <row r="1009" spans="1:33" x14ac:dyDescent="0.2">
      <c r="A1009">
        <f t="shared" si="421"/>
        <v>9.7699999999998361</v>
      </c>
      <c r="B1009" s="5">
        <f t="shared" si="422"/>
        <v>0</v>
      </c>
      <c r="C1009" s="5">
        <f t="shared" si="423"/>
        <v>1246.8005279835334</v>
      </c>
      <c r="D1009" s="5">
        <f t="shared" si="424"/>
        <v>-407.59325291116767</v>
      </c>
      <c r="E1009" s="2">
        <f t="shared" si="406"/>
        <v>415.60017599451112</v>
      </c>
      <c r="F1009" s="2">
        <f t="shared" si="425"/>
        <v>0</v>
      </c>
      <c r="G1009" s="3">
        <f t="shared" si="426"/>
        <v>0</v>
      </c>
      <c r="H1009" s="3">
        <f t="shared" si="427"/>
        <v>88.395861584219901</v>
      </c>
      <c r="I1009" s="3">
        <f t="shared" si="428"/>
        <v>-117.04678129736762</v>
      </c>
      <c r="J1009" s="2">
        <f t="shared" si="407"/>
        <v>146.675755860641</v>
      </c>
      <c r="K1009" s="2">
        <f t="shared" si="429"/>
        <v>99.983473660968642</v>
      </c>
      <c r="L1009" s="5">
        <f t="shared" si="408"/>
        <v>23.858198587078721</v>
      </c>
      <c r="M1009" s="3">
        <f t="shared" si="409"/>
        <v>14.599266290293638</v>
      </c>
      <c r="N1009" s="2">
        <v>0</v>
      </c>
      <c r="O1009" s="2">
        <f t="shared" si="410"/>
        <v>146.675755860641</v>
      </c>
      <c r="P1009" s="2">
        <f t="shared" si="411"/>
        <v>99.983473660968642</v>
      </c>
      <c r="Q1009" s="5">
        <f t="shared" si="412"/>
        <v>1.2361791146140384</v>
      </c>
      <c r="R1009" s="5">
        <f t="shared" si="413"/>
        <v>0.15325496536905933</v>
      </c>
      <c r="S1009" s="4">
        <f t="shared" si="430"/>
        <v>9.9534283662834067E-2</v>
      </c>
      <c r="T1009" s="5">
        <f t="shared" si="414"/>
        <v>9.1159216155266981E-2</v>
      </c>
      <c r="U1009" s="4">
        <f t="shared" si="415"/>
        <v>0</v>
      </c>
      <c r="V1009" s="4">
        <f t="shared" si="416"/>
        <v>0</v>
      </c>
      <c r="W1009" s="5">
        <f t="shared" si="417"/>
        <v>0</v>
      </c>
      <c r="X1009" s="5">
        <f t="shared" si="418"/>
        <v>-11.291292576316533</v>
      </c>
      <c r="Y1009" s="5">
        <f t="shared" si="419"/>
        <v>14.951033103348816</v>
      </c>
      <c r="Z1009" s="5">
        <f>1</f>
        <v>1</v>
      </c>
      <c r="AA1009" s="5">
        <f>IF(M1009=0,0,const*($T1009/omega)*O1009*(wy*I1009-wz*(H1009-V1009))/Z1009)</f>
        <v>0</v>
      </c>
      <c r="AB1009" s="5">
        <f>IF(M1009=0,0,const*($T1009/omega)*O1009*(wz*(G1009-U1009)-wx*I1009)/Z1009)</f>
        <v>8.8931830373692282</v>
      </c>
      <c r="AC1009" s="5">
        <f>IF(M1009=0,0,const*($T1009/omega)*O1009*(wx*(H1009-V1009)-wy*(G1009-U1009))/Z1009)</f>
        <v>6.7162938450841647</v>
      </c>
      <c r="AD1009" s="5">
        <f t="shared" si="432"/>
        <v>0</v>
      </c>
      <c r="AE1009" s="5">
        <f t="shared" si="432"/>
        <v>-2.3981095389473044</v>
      </c>
      <c r="AF1009" s="5">
        <f t="shared" si="420"/>
        <v>-10.50667305156702</v>
      </c>
      <c r="AG1009">
        <f t="shared" si="431"/>
        <v>0</v>
      </c>
    </row>
    <row r="1010" spans="1:33" x14ac:dyDescent="0.2">
      <c r="A1010">
        <f t="shared" si="421"/>
        <v>9.7799999999998359</v>
      </c>
      <c r="B1010" s="5">
        <f t="shared" si="422"/>
        <v>0</v>
      </c>
      <c r="C1010" s="5">
        <f t="shared" si="423"/>
        <v>1247.6843666938985</v>
      </c>
      <c r="D1010" s="5">
        <f t="shared" si="424"/>
        <v>-408.76424605779397</v>
      </c>
      <c r="E1010" s="2">
        <f t="shared" si="406"/>
        <v>415.89478889796618</v>
      </c>
      <c r="F1010" s="2">
        <f t="shared" si="425"/>
        <v>0</v>
      </c>
      <c r="G1010" s="3">
        <f t="shared" si="426"/>
        <v>0</v>
      </c>
      <c r="H1010" s="3">
        <f t="shared" si="427"/>
        <v>88.371880488830428</v>
      </c>
      <c r="I1010" s="3">
        <f t="shared" si="428"/>
        <v>-117.15184802788329</v>
      </c>
      <c r="J1010" s="2">
        <f t="shared" si="407"/>
        <v>146.74516945194614</v>
      </c>
      <c r="K1010" s="2">
        <f t="shared" si="429"/>
        <v>100.0307903557915</v>
      </c>
      <c r="L1010" s="5">
        <f t="shared" si="408"/>
        <v>23.846913150889002</v>
      </c>
      <c r="M1010" s="3">
        <f t="shared" si="409"/>
        <v>14.590317687671527</v>
      </c>
      <c r="N1010" s="2">
        <v>0</v>
      </c>
      <c r="O1010" s="2">
        <f t="shared" si="410"/>
        <v>146.74516945194614</v>
      </c>
      <c r="P1010" s="2">
        <f t="shared" si="411"/>
        <v>100.0307903557915</v>
      </c>
      <c r="Q1010" s="5">
        <f t="shared" si="412"/>
        <v>1.2367641303948556</v>
      </c>
      <c r="R1010" s="5">
        <f t="shared" si="413"/>
        <v>0.15323241039787105</v>
      </c>
      <c r="S1010" s="4">
        <f t="shared" si="430"/>
        <v>9.9426221266174911E-2</v>
      </c>
      <c r="T1010" s="5">
        <f t="shared" si="414"/>
        <v>9.111961535303334E-2</v>
      </c>
      <c r="U1010" s="4">
        <f t="shared" si="415"/>
        <v>0</v>
      </c>
      <c r="V1010" s="4">
        <f t="shared" si="416"/>
        <v>0</v>
      </c>
      <c r="W1010" s="5">
        <f t="shared" si="417"/>
        <v>0</v>
      </c>
      <c r="X1010" s="5">
        <f t="shared" si="418"/>
        <v>-11.291909330992679</v>
      </c>
      <c r="Y1010" s="5">
        <f t="shared" si="419"/>
        <v>14.969332309911552</v>
      </c>
      <c r="Z1010" s="5">
        <f>1</f>
        <v>1</v>
      </c>
      <c r="AA1010" s="5">
        <f>IF(M1010=0,0,const*($T1010/omega)*O1010*(wy*I1010-wz*(H1010-V1010))/Z1010)</f>
        <v>0</v>
      </c>
      <c r="AB1010" s="5">
        <f>IF(M1010=0,0,const*($T1010/omega)*O1010*(wz*(G1010-U1010)-wx*I1010)/Z1010)</f>
        <v>8.9015097956706519</v>
      </c>
      <c r="AC1010" s="5">
        <f>IF(M1010=0,0,const*($T1010/omega)*O1010*(wx*(H1010-V1010)-wy*(G1010-U1010))/Z1010)</f>
        <v>6.714731120980109</v>
      </c>
      <c r="AD1010" s="5">
        <f t="shared" si="432"/>
        <v>0</v>
      </c>
      <c r="AE1010" s="5">
        <f t="shared" si="432"/>
        <v>-2.3903995353220271</v>
      </c>
      <c r="AF1010" s="5">
        <f t="shared" si="420"/>
        <v>-10.489936569108337</v>
      </c>
      <c r="AG1010">
        <f t="shared" si="431"/>
        <v>0</v>
      </c>
    </row>
    <row r="1011" spans="1:33" x14ac:dyDescent="0.2">
      <c r="A1011">
        <f t="shared" si="421"/>
        <v>9.7899999999998357</v>
      </c>
      <c r="B1011" s="5">
        <f t="shared" si="422"/>
        <v>0</v>
      </c>
      <c r="C1011" s="5">
        <f t="shared" si="423"/>
        <v>1248.56796597881</v>
      </c>
      <c r="D1011" s="5">
        <f t="shared" si="424"/>
        <v>-409.93628903490128</v>
      </c>
      <c r="E1011" s="2">
        <f t="shared" si="406"/>
        <v>416.18932199293664</v>
      </c>
      <c r="F1011" s="2">
        <f t="shared" si="425"/>
        <v>0</v>
      </c>
      <c r="G1011" s="3">
        <f t="shared" si="426"/>
        <v>0</v>
      </c>
      <c r="H1011" s="3">
        <f t="shared" si="427"/>
        <v>88.347976493477205</v>
      </c>
      <c r="I1011" s="3">
        <f t="shared" si="428"/>
        <v>-117.25674739357437</v>
      </c>
      <c r="J1011" s="2">
        <f t="shared" si="407"/>
        <v>146.81454205838233</v>
      </c>
      <c r="K1011" s="2">
        <f t="shared" si="429"/>
        <v>100.07807911273505</v>
      </c>
      <c r="L1011" s="5">
        <f t="shared" si="408"/>
        <v>23.835645040131439</v>
      </c>
      <c r="M1011" s="3">
        <f t="shared" si="409"/>
        <v>14.581370457330358</v>
      </c>
      <c r="N1011" s="2">
        <v>0</v>
      </c>
      <c r="O1011" s="2">
        <f t="shared" si="410"/>
        <v>146.81454205838233</v>
      </c>
      <c r="P1011" s="2">
        <f t="shared" si="411"/>
        <v>100.07807911273505</v>
      </c>
      <c r="Q1011" s="5">
        <f t="shared" si="412"/>
        <v>1.2373488007563584</v>
      </c>
      <c r="R1011" s="5">
        <f t="shared" si="413"/>
        <v>0.1532098844924582</v>
      </c>
      <c r="S1011" s="4">
        <f t="shared" si="430"/>
        <v>9.9318298125617044E-2</v>
      </c>
      <c r="T1011" s="5">
        <f t="shared" si="414"/>
        <v>9.1080039800104609E-2</v>
      </c>
      <c r="U1011" s="4">
        <f t="shared" si="415"/>
        <v>0</v>
      </c>
      <c r="V1011" s="4">
        <f t="shared" si="416"/>
        <v>0</v>
      </c>
      <c r="W1011" s="5">
        <f t="shared" si="417"/>
        <v>0</v>
      </c>
      <c r="X1011" s="5">
        <f t="shared" si="418"/>
        <v>-11.292531361156545</v>
      </c>
      <c r="Y1011" s="5">
        <f t="shared" si="419"/>
        <v>14.987615447501627</v>
      </c>
      <c r="Z1011" s="5">
        <f>1</f>
        <v>1</v>
      </c>
      <c r="AA1011" s="5">
        <f>IF(M1011=0,0,const*($T1011/omega)*O1011*(wy*I1011-wz*(H1011-V1011))/Z1011)</f>
        <v>0</v>
      </c>
      <c r="AB1011" s="5">
        <f>IF(M1011=0,0,const*($T1011/omega)*O1011*(wz*(G1011-U1011)-wx*I1011)/Z1011)</f>
        <v>8.9098207729169534</v>
      </c>
      <c r="AC1011" s="5">
        <f>IF(M1011=0,0,const*($T1011/omega)*O1011*(wx*(H1011-V1011)-wy*(G1011-U1011))/Z1011)</f>
        <v>6.7131713415572545</v>
      </c>
      <c r="AD1011" s="5">
        <f t="shared" si="432"/>
        <v>0</v>
      </c>
      <c r="AE1011" s="5">
        <f t="shared" si="432"/>
        <v>-2.3827105882395916</v>
      </c>
      <c r="AF1011" s="5">
        <f t="shared" si="420"/>
        <v>-10.473213210941118</v>
      </c>
      <c r="AG1011">
        <f t="shared" si="431"/>
        <v>0</v>
      </c>
    </row>
    <row r="1012" spans="1:33" x14ac:dyDescent="0.2">
      <c r="A1012">
        <f t="shared" si="421"/>
        <v>9.7999999999998355</v>
      </c>
      <c r="B1012" s="5">
        <f t="shared" si="422"/>
        <v>0</v>
      </c>
      <c r="C1012" s="5">
        <f t="shared" si="423"/>
        <v>1249.4513266082154</v>
      </c>
      <c r="D1012" s="5">
        <f t="shared" si="424"/>
        <v>-411.10938016949757</v>
      </c>
      <c r="E1012" s="2">
        <f t="shared" si="406"/>
        <v>416.48377553607179</v>
      </c>
      <c r="F1012" s="2">
        <f t="shared" si="425"/>
        <v>0</v>
      </c>
      <c r="G1012" s="3">
        <f t="shared" si="426"/>
        <v>0</v>
      </c>
      <c r="H1012" s="3">
        <f t="shared" si="427"/>
        <v>88.324149387594815</v>
      </c>
      <c r="I1012" s="3">
        <f t="shared" si="428"/>
        <v>-117.36147952568378</v>
      </c>
      <c r="J1012" s="2">
        <f t="shared" si="407"/>
        <v>146.88387332004714</v>
      </c>
      <c r="K1012" s="2">
        <f t="shared" si="429"/>
        <v>100.12533968646703</v>
      </c>
      <c r="L1012" s="5">
        <f t="shared" si="408"/>
        <v>23.824394279201229</v>
      </c>
      <c r="M1012" s="3">
        <f t="shared" si="409"/>
        <v>14.572424623281877</v>
      </c>
      <c r="N1012" s="2">
        <v>0</v>
      </c>
      <c r="O1012" s="2">
        <f t="shared" si="410"/>
        <v>146.88387332004714</v>
      </c>
      <c r="P1012" s="2">
        <f t="shared" si="411"/>
        <v>100.12533968646703</v>
      </c>
      <c r="Q1012" s="5">
        <f t="shared" si="412"/>
        <v>1.2379331226652996</v>
      </c>
      <c r="R1012" s="5">
        <f t="shared" si="413"/>
        <v>0.15318738767764067</v>
      </c>
      <c r="S1012" s="4">
        <f t="shared" si="430"/>
        <v>9.9210514360074345E-2</v>
      </c>
      <c r="T1012" s="5">
        <f t="shared" si="414"/>
        <v>9.1040489595144172E-2</v>
      </c>
      <c r="U1012" s="4">
        <f t="shared" si="415"/>
        <v>0</v>
      </c>
      <c r="V1012" s="4">
        <f t="shared" si="416"/>
        <v>0</v>
      </c>
      <c r="W1012" s="5">
        <f t="shared" si="417"/>
        <v>0</v>
      </c>
      <c r="X1012" s="5">
        <f t="shared" si="418"/>
        <v>-11.293158630190945</v>
      </c>
      <c r="Y1012" s="5">
        <f t="shared" si="419"/>
        <v>15.005882474353095</v>
      </c>
      <c r="Z1012" s="5">
        <f>1</f>
        <v>1</v>
      </c>
      <c r="AA1012" s="5">
        <f>IF(M1012=0,0,const*($T1012/omega)*O1012*(wy*I1012-wz*(H1012-V1012))/Z1012)</f>
        <v>0</v>
      </c>
      <c r="AB1012" s="5">
        <f>IF(M1012=0,0,const*($T1012/omega)*O1012*(wz*(G1012-U1012)-wx*I1012)/Z1012)</f>
        <v>8.9181159623084447</v>
      </c>
      <c r="AC1012" s="5">
        <f>IF(M1012=0,0,const*($T1012/omega)*O1012*(wx*(H1012-V1012)-wy*(G1012-U1012))/Z1012)</f>
        <v>6.7116144896456023</v>
      </c>
      <c r="AD1012" s="5">
        <f t="shared" si="432"/>
        <v>0</v>
      </c>
      <c r="AE1012" s="5">
        <f t="shared" si="432"/>
        <v>-2.3750426678825001</v>
      </c>
      <c r="AF1012" s="5">
        <f t="shared" si="420"/>
        <v>-10.456503036001301</v>
      </c>
      <c r="AG1012">
        <f t="shared" si="431"/>
        <v>0</v>
      </c>
    </row>
    <row r="1013" spans="1:33" x14ac:dyDescent="0.2">
      <c r="A1013">
        <f t="shared" si="421"/>
        <v>9.8099999999998353</v>
      </c>
      <c r="B1013" s="5">
        <f t="shared" si="422"/>
        <v>0</v>
      </c>
      <c r="C1013" s="5">
        <f t="shared" si="423"/>
        <v>1250.3344493499578</v>
      </c>
      <c r="D1013" s="5">
        <f t="shared" si="424"/>
        <v>-412.28351778990617</v>
      </c>
      <c r="E1013" s="2">
        <f t="shared" si="406"/>
        <v>416.77814978331929</v>
      </c>
      <c r="F1013" s="2">
        <f t="shared" si="425"/>
        <v>0</v>
      </c>
      <c r="G1013" s="3">
        <f t="shared" si="426"/>
        <v>0</v>
      </c>
      <c r="H1013" s="3">
        <f t="shared" si="427"/>
        <v>88.300398960915985</v>
      </c>
      <c r="I1013" s="3">
        <f t="shared" si="428"/>
        <v>-117.46604455604378</v>
      </c>
      <c r="J1013" s="2">
        <f t="shared" si="407"/>
        <v>146.95316287953585</v>
      </c>
      <c r="K1013" s="2">
        <f t="shared" si="429"/>
        <v>100.17257183335776</v>
      </c>
      <c r="L1013" s="5">
        <f t="shared" si="408"/>
        <v>23.813160891961754</v>
      </c>
      <c r="M1013" s="3">
        <f t="shared" si="409"/>
        <v>14.563480209443389</v>
      </c>
      <c r="N1013" s="2">
        <v>0</v>
      </c>
      <c r="O1013" s="2">
        <f t="shared" si="410"/>
        <v>146.95316287953585</v>
      </c>
      <c r="P1013" s="2">
        <f t="shared" si="411"/>
        <v>100.17257183335776</v>
      </c>
      <c r="Q1013" s="5">
        <f t="shared" si="412"/>
        <v>1.2385170931094824</v>
      </c>
      <c r="R1013" s="5">
        <f t="shared" si="413"/>
        <v>0.1531649199775344</v>
      </c>
      <c r="S1013" s="4">
        <f t="shared" si="430"/>
        <v>9.9102870085087807E-2</v>
      </c>
      <c r="T1013" s="5">
        <f t="shared" si="414"/>
        <v>9.1000964835781864E-2</v>
      </c>
      <c r="U1013" s="4">
        <f t="shared" si="415"/>
        <v>0</v>
      </c>
      <c r="V1013" s="4">
        <f t="shared" si="416"/>
        <v>0</v>
      </c>
      <c r="W1013" s="5">
        <f t="shared" si="417"/>
        <v>0</v>
      </c>
      <c r="X1013" s="5">
        <f t="shared" si="418"/>
        <v>-11.293791101647475</v>
      </c>
      <c r="Y1013" s="5">
        <f t="shared" si="419"/>
        <v>15.024133348932846</v>
      </c>
      <c r="Z1013" s="5">
        <f>1</f>
        <v>1</v>
      </c>
      <c r="AA1013" s="5">
        <f>IF(M1013=0,0,const*($T1013/omega)*O1013*(wy*I1013-wz*(H1013-V1013))/Z1013)</f>
        <v>0</v>
      </c>
      <c r="AB1013" s="5">
        <f>IF(M1013=0,0,const*($T1013/omega)*O1013*(wz*(G1013-U1013)-wx*I1013)/Z1013)</f>
        <v>8.9263953572062871</v>
      </c>
      <c r="AC1013" s="5">
        <f>IF(M1013=0,0,const*($T1013/omega)*O1013*(wx*(H1013-V1013)-wy*(G1013-U1013))/Z1013)</f>
        <v>6.710060548162291</v>
      </c>
      <c r="AD1013" s="5">
        <f t="shared" si="432"/>
        <v>0</v>
      </c>
      <c r="AE1013" s="5">
        <f t="shared" si="432"/>
        <v>-2.3673957444411879</v>
      </c>
      <c r="AF1013" s="5">
        <f t="shared" si="420"/>
        <v>-10.439806102904861</v>
      </c>
      <c r="AG1013">
        <f t="shared" si="431"/>
        <v>0</v>
      </c>
    </row>
    <row r="1014" spans="1:33" x14ac:dyDescent="0.2">
      <c r="A1014">
        <f t="shared" si="421"/>
        <v>9.8199999999998351</v>
      </c>
      <c r="B1014" s="5">
        <f t="shared" si="422"/>
        <v>0</v>
      </c>
      <c r="C1014" s="5">
        <f t="shared" si="423"/>
        <v>1251.2173349697796</v>
      </c>
      <c r="D1014" s="5">
        <f t="shared" si="424"/>
        <v>-413.45870022577174</v>
      </c>
      <c r="E1014" s="2">
        <f t="shared" si="406"/>
        <v>417.07244498992651</v>
      </c>
      <c r="F1014" s="2">
        <f t="shared" si="425"/>
        <v>0</v>
      </c>
      <c r="G1014" s="3">
        <f t="shared" si="426"/>
        <v>0</v>
      </c>
      <c r="H1014" s="3">
        <f t="shared" si="427"/>
        <v>88.276725003471569</v>
      </c>
      <c r="I1014" s="3">
        <f t="shared" si="428"/>
        <v>-117.57044261707283</v>
      </c>
      <c r="J1014" s="2">
        <f t="shared" si="407"/>
        <v>147.02241038193108</v>
      </c>
      <c r="K1014" s="2">
        <f t="shared" si="429"/>
        <v>100.21977531147313</v>
      </c>
      <c r="L1014" s="5">
        <f t="shared" si="408"/>
        <v>23.801944901748968</v>
      </c>
      <c r="M1014" s="3">
        <f t="shared" si="409"/>
        <v>14.554537239637819</v>
      </c>
      <c r="N1014" s="2">
        <v>0</v>
      </c>
      <c r="O1014" s="2">
        <f t="shared" si="410"/>
        <v>147.02241038193108</v>
      </c>
      <c r="P1014" s="2">
        <f t="shared" si="411"/>
        <v>100.21977531147313</v>
      </c>
      <c r="Q1014" s="5">
        <f t="shared" si="412"/>
        <v>1.2391007090976727</v>
      </c>
      <c r="R1014" s="5">
        <f t="shared" si="413"/>
        <v>0.1531424814155572</v>
      </c>
      <c r="S1014" s="4">
        <f t="shared" si="430"/>
        <v>9.8995365412853809E-2</v>
      </c>
      <c r="T1014" s="5">
        <f t="shared" si="414"/>
        <v>9.0961465618620577E-2</v>
      </c>
      <c r="U1014" s="4">
        <f t="shared" si="415"/>
        <v>0</v>
      </c>
      <c r="V1014" s="4">
        <f t="shared" si="416"/>
        <v>0</v>
      </c>
      <c r="W1014" s="5">
        <f t="shared" si="417"/>
        <v>0</v>
      </c>
      <c r="X1014" s="5">
        <f t="shared" si="418"/>
        <v>-11.294428739245566</v>
      </c>
      <c r="Y1014" s="5">
        <f t="shared" si="419"/>
        <v>15.042368029940718</v>
      </c>
      <c r="Z1014" s="5">
        <f>1</f>
        <v>1</v>
      </c>
      <c r="AA1014" s="5">
        <f>IF(M1014=0,0,const*($T1014/omega)*O1014*(wy*I1014-wz*(H1014-V1014))/Z1014)</f>
        <v>0</v>
      </c>
      <c r="AB1014" s="5">
        <f>IF(M1014=0,0,const*($T1014/omega)*O1014*(wz*(G1014-U1014)-wx*I1014)/Z1014)</f>
        <v>8.9346589511321035</v>
      </c>
      <c r="AC1014" s="5">
        <f>IF(M1014=0,0,const*($T1014/omega)*O1014*(wx*(H1014-V1014)-wy*(G1014-U1014))/Z1014)</f>
        <v>6.7085095001110515</v>
      </c>
      <c r="AD1014" s="5">
        <f t="shared" si="432"/>
        <v>0</v>
      </c>
      <c r="AE1014" s="5">
        <f t="shared" si="432"/>
        <v>-2.3597697881134625</v>
      </c>
      <c r="AF1014" s="5">
        <f t="shared" si="420"/>
        <v>-10.423122469948229</v>
      </c>
      <c r="AG1014">
        <f t="shared" si="431"/>
        <v>0</v>
      </c>
    </row>
    <row r="1015" spans="1:33" x14ac:dyDescent="0.2">
      <c r="A1015">
        <f t="shared" si="421"/>
        <v>9.8299999999998349</v>
      </c>
      <c r="B1015" s="5">
        <f t="shared" si="422"/>
        <v>0</v>
      </c>
      <c r="C1015" s="5">
        <f t="shared" si="423"/>
        <v>1252.0999842313249</v>
      </c>
      <c r="D1015" s="5">
        <f t="shared" si="424"/>
        <v>-414.63492580806599</v>
      </c>
      <c r="E1015" s="2">
        <f t="shared" si="406"/>
        <v>417.36666141044162</v>
      </c>
      <c r="F1015" s="2">
        <f t="shared" si="425"/>
        <v>0</v>
      </c>
      <c r="G1015" s="3">
        <f t="shared" si="426"/>
        <v>0</v>
      </c>
      <c r="H1015" s="3">
        <f t="shared" si="427"/>
        <v>88.253127305590439</v>
      </c>
      <c r="I1015" s="3">
        <f t="shared" si="428"/>
        <v>-117.6746738417723</v>
      </c>
      <c r="J1015" s="2">
        <f t="shared" si="407"/>
        <v>147.09161547479258</v>
      </c>
      <c r="K1015" s="2">
        <f t="shared" si="429"/>
        <v>100.26694988056754</v>
      </c>
      <c r="L1015" s="5">
        <f t="shared" si="408"/>
        <v>23.790746331375715</v>
      </c>
      <c r="M1015" s="3">
        <f t="shared" si="409"/>
        <v>14.54559573759375</v>
      </c>
      <c r="N1015" s="2">
        <v>0</v>
      </c>
      <c r="O1015" s="2">
        <f t="shared" si="410"/>
        <v>147.09161547479258</v>
      </c>
      <c r="P1015" s="2">
        <f t="shared" si="411"/>
        <v>100.26694988056754</v>
      </c>
      <c r="Q1015" s="5">
        <f t="shared" si="412"/>
        <v>1.2396839676595144</v>
      </c>
      <c r="R1015" s="5">
        <f t="shared" si="413"/>
        <v>0.15312007201443456</v>
      </c>
      <c r="S1015" s="4">
        <f t="shared" si="430"/>
        <v>9.8888000452251892E-2</v>
      </c>
      <c r="T1015" s="5">
        <f t="shared" si="414"/>
        <v>9.0921992039242533E-2</v>
      </c>
      <c r="U1015" s="4">
        <f t="shared" si="415"/>
        <v>0</v>
      </c>
      <c r="V1015" s="4">
        <f t="shared" si="416"/>
        <v>0</v>
      </c>
      <c r="W1015" s="5">
        <f t="shared" si="417"/>
        <v>0</v>
      </c>
      <c r="X1015" s="5">
        <f t="shared" si="418"/>
        <v>-11.295071506871528</v>
      </c>
      <c r="Y1015" s="5">
        <f t="shared" si="419"/>
        <v>15.060586476309576</v>
      </c>
      <c r="Z1015" s="5">
        <f>1</f>
        <v>1</v>
      </c>
      <c r="AA1015" s="5">
        <f>IF(M1015=0,0,const*($T1015/omega)*O1015*(wy*I1015-wz*(H1015-V1015))/Z1015)</f>
        <v>0</v>
      </c>
      <c r="AB1015" s="5">
        <f>IF(M1015=0,0,const*($T1015/omega)*O1015*(wz*(G1015-U1015)-wx*I1015)/Z1015)</f>
        <v>8.9429067377675739</v>
      </c>
      <c r="AC1015" s="5">
        <f>IF(M1015=0,0,const*($T1015/omega)*O1015*(wx*(H1015-V1015)-wy*(G1015-U1015))/Z1015)</f>
        <v>6.706961328581639</v>
      </c>
      <c r="AD1015" s="5">
        <f t="shared" si="432"/>
        <v>0</v>
      </c>
      <c r="AE1015" s="5">
        <f t="shared" si="432"/>
        <v>-2.352164769103954</v>
      </c>
      <c r="AF1015" s="5">
        <f t="shared" si="420"/>
        <v>-10.406452195108784</v>
      </c>
      <c r="AG1015">
        <f t="shared" si="431"/>
        <v>0</v>
      </c>
    </row>
    <row r="1016" spans="1:33" x14ac:dyDescent="0.2">
      <c r="A1016">
        <f t="shared" si="421"/>
        <v>9.8399999999998347</v>
      </c>
      <c r="B1016" s="5">
        <f t="shared" si="422"/>
        <v>0</v>
      </c>
      <c r="C1016" s="5">
        <f t="shared" si="423"/>
        <v>1252.9823978961424</v>
      </c>
      <c r="D1016" s="5">
        <f t="shared" si="424"/>
        <v>-415.81219286909345</v>
      </c>
      <c r="E1016" s="2">
        <f t="shared" si="406"/>
        <v>417.66079929871415</v>
      </c>
      <c r="F1016" s="2">
        <f t="shared" si="425"/>
        <v>0</v>
      </c>
      <c r="G1016" s="3">
        <f t="shared" si="426"/>
        <v>0</v>
      </c>
      <c r="H1016" s="3">
        <f t="shared" si="427"/>
        <v>88.229605657899398</v>
      </c>
      <c r="I1016" s="3">
        <f t="shared" si="428"/>
        <v>-117.77873836372339</v>
      </c>
      <c r="J1016" s="2">
        <f t="shared" si="407"/>
        <v>147.16077780814712</v>
      </c>
      <c r="K1016" s="2">
        <f t="shared" si="429"/>
        <v>100.31409530207711</v>
      </c>
      <c r="L1016" s="5">
        <f t="shared" si="408"/>
        <v>23.779565203136034</v>
      </c>
      <c r="M1016" s="3">
        <f t="shared" si="409"/>
        <v>14.536655726945479</v>
      </c>
      <c r="N1016" s="2">
        <v>0</v>
      </c>
      <c r="O1016" s="2">
        <f t="shared" si="410"/>
        <v>147.16077780814712</v>
      </c>
      <c r="P1016" s="2">
        <f t="shared" si="411"/>
        <v>100.31409530207711</v>
      </c>
      <c r="Q1016" s="5">
        <f t="shared" si="412"/>
        <v>1.2402668658454428</v>
      </c>
      <c r="R1016" s="5">
        <f t="shared" si="413"/>
        <v>0.15309769179620555</v>
      </c>
      <c r="S1016" s="4">
        <f t="shared" si="430"/>
        <v>9.8780775308872429E-2</v>
      </c>
      <c r="T1016" s="5">
        <f t="shared" si="414"/>
        <v>9.0882544192215586E-2</v>
      </c>
      <c r="U1016" s="4">
        <f t="shared" si="415"/>
        <v>0</v>
      </c>
      <c r="V1016" s="4">
        <f t="shared" si="416"/>
        <v>0</v>
      </c>
      <c r="W1016" s="5">
        <f t="shared" si="417"/>
        <v>0</v>
      </c>
      <c r="X1016" s="5">
        <f t="shared" si="418"/>
        <v>-11.295719368577615</v>
      </c>
      <c r="Y1016" s="5">
        <f t="shared" si="419"/>
        <v>15.078788647205434</v>
      </c>
      <c r="Z1016" s="5">
        <f>1</f>
        <v>1</v>
      </c>
      <c r="AA1016" s="5">
        <f>IF(M1016=0,0,const*($T1016/omega)*O1016*(wy*I1016-wz*(H1016-V1016))/Z1016)</f>
        <v>0</v>
      </c>
      <c r="AB1016" s="5">
        <f>IF(M1016=0,0,const*($T1016/omega)*O1016*(wz*(G1016-U1016)-wx*I1016)/Z1016)</f>
        <v>8.9511387109540426</v>
      </c>
      <c r="AC1016" s="5">
        <f>IF(M1016=0,0,const*($T1016/omega)*O1016*(wx*(H1016-V1016)-wy*(G1016-U1016))/Z1016)</f>
        <v>6.7054160167492745</v>
      </c>
      <c r="AD1016" s="5">
        <f t="shared" si="432"/>
        <v>0</v>
      </c>
      <c r="AE1016" s="5">
        <f t="shared" si="432"/>
        <v>-2.3445806576235722</v>
      </c>
      <c r="AF1016" s="5">
        <f t="shared" si="420"/>
        <v>-10.389795336045292</v>
      </c>
      <c r="AG1016">
        <f t="shared" si="431"/>
        <v>0</v>
      </c>
    </row>
    <row r="1017" spans="1:33" x14ac:dyDescent="0.2">
      <c r="A1017">
        <f t="shared" si="421"/>
        <v>9.8499999999998344</v>
      </c>
      <c r="B1017" s="5">
        <f t="shared" si="422"/>
        <v>0</v>
      </c>
      <c r="C1017" s="5">
        <f t="shared" si="423"/>
        <v>1253.8645767236885</v>
      </c>
      <c r="D1017" s="5">
        <f t="shared" si="424"/>
        <v>-416.99049974249749</v>
      </c>
      <c r="E1017" s="2">
        <f t="shared" si="406"/>
        <v>417.95485890789615</v>
      </c>
      <c r="F1017" s="2">
        <f t="shared" si="425"/>
        <v>0</v>
      </c>
      <c r="G1017" s="3">
        <f t="shared" si="426"/>
        <v>0</v>
      </c>
      <c r="H1017" s="3">
        <f t="shared" si="427"/>
        <v>88.206159851323164</v>
      </c>
      <c r="I1017" s="3">
        <f t="shared" si="428"/>
        <v>-117.88263631708385</v>
      </c>
      <c r="J1017" s="2">
        <f t="shared" si="407"/>
        <v>147.22989703447811</v>
      </c>
      <c r="K1017" s="2">
        <f t="shared" si="429"/>
        <v>100.36121133911254</v>
      </c>
      <c r="L1017" s="5">
        <f t="shared" si="408"/>
        <v>23.768401538809467</v>
      </c>
      <c r="M1017" s="3">
        <f t="shared" si="409"/>
        <v>14.527717231233073</v>
      </c>
      <c r="N1017" s="2">
        <v>0</v>
      </c>
      <c r="O1017" s="2">
        <f t="shared" si="410"/>
        <v>147.22989703447811</v>
      </c>
      <c r="P1017" s="2">
        <f t="shared" si="411"/>
        <v>100.36121133911254</v>
      </c>
      <c r="Q1017" s="5">
        <f t="shared" si="412"/>
        <v>1.240849400726598</v>
      </c>
      <c r="R1017" s="5">
        <f t="shared" si="413"/>
        <v>0.1530753407822284</v>
      </c>
      <c r="S1017" s="4">
        <f t="shared" si="430"/>
        <v>9.8673690085044272E-2</v>
      </c>
      <c r="T1017" s="5">
        <f t="shared" si="414"/>
        <v>9.0843122171099716E-2</v>
      </c>
      <c r="U1017" s="4">
        <f t="shared" si="415"/>
        <v>0</v>
      </c>
      <c r="V1017" s="4">
        <f t="shared" si="416"/>
        <v>0</v>
      </c>
      <c r="W1017" s="5">
        <f t="shared" si="417"/>
        <v>0</v>
      </c>
      <c r="X1017" s="5">
        <f t="shared" si="418"/>
        <v>-11.296372288581063</v>
      </c>
      <c r="Y1017" s="5">
        <f t="shared" si="419"/>
        <v>15.096974502027477</v>
      </c>
      <c r="Z1017" s="5">
        <f>1</f>
        <v>1</v>
      </c>
      <c r="AA1017" s="5">
        <f>IF(M1017=0,0,const*($T1017/omega)*O1017*(wy*I1017-wz*(H1017-V1017))/Z1017)</f>
        <v>0</v>
      </c>
      <c r="AB1017" s="5">
        <f>IF(M1017=0,0,const*($T1017/omega)*O1017*(wz*(G1017-U1017)-wx*I1017)/Z1017)</f>
        <v>8.9593548646921022</v>
      </c>
      <c r="AC1017" s="5">
        <f>IF(M1017=0,0,const*($T1017/omega)*O1017*(wx*(H1017-V1017)-wy*(G1017-U1017))/Z1017)</f>
        <v>6.7038735478741023</v>
      </c>
      <c r="AD1017" s="5">
        <f t="shared" si="432"/>
        <v>0</v>
      </c>
      <c r="AE1017" s="5">
        <f t="shared" si="432"/>
        <v>-2.3370174238889607</v>
      </c>
      <c r="AF1017" s="5">
        <f t="shared" si="420"/>
        <v>-10.373151950098421</v>
      </c>
      <c r="AG1017">
        <f t="shared" si="431"/>
        <v>0</v>
      </c>
    </row>
    <row r="1018" spans="1:33" x14ac:dyDescent="0.2">
      <c r="A1018">
        <f t="shared" si="421"/>
        <v>9.8599999999998342</v>
      </c>
      <c r="B1018" s="5">
        <f t="shared" si="422"/>
        <v>0</v>
      </c>
      <c r="C1018" s="5">
        <f t="shared" si="423"/>
        <v>1254.7465214713307</v>
      </c>
      <c r="D1018" s="5">
        <f t="shared" si="424"/>
        <v>-418.16984476326587</v>
      </c>
      <c r="E1018" s="2">
        <f t="shared" si="406"/>
        <v>418.24884049044357</v>
      </c>
      <c r="F1018" s="2">
        <f t="shared" si="425"/>
        <v>0</v>
      </c>
      <c r="G1018" s="3">
        <f t="shared" si="426"/>
        <v>0</v>
      </c>
      <c r="H1018" s="3">
        <f t="shared" si="427"/>
        <v>88.182789677084273</v>
      </c>
      <c r="I1018" s="3">
        <f t="shared" si="428"/>
        <v>-117.98636783658483</v>
      </c>
      <c r="J1018" s="2">
        <f t="shared" si="407"/>
        <v>147.29897280871575</v>
      </c>
      <c r="K1018" s="2">
        <f t="shared" si="429"/>
        <v>100.40829775645244</v>
      </c>
      <c r="L1018" s="5">
        <f t="shared" si="408"/>
        <v>23.757255359665258</v>
      </c>
      <c r="M1018" s="3">
        <f t="shared" si="409"/>
        <v>14.518780273902401</v>
      </c>
      <c r="N1018" s="2">
        <v>0</v>
      </c>
      <c r="O1018" s="2">
        <f t="shared" si="410"/>
        <v>147.29897280871575</v>
      </c>
      <c r="P1018" s="2">
        <f t="shared" si="411"/>
        <v>100.40829775645244</v>
      </c>
      <c r="Q1018" s="5">
        <f t="shared" si="412"/>
        <v>1.2414315693947415</v>
      </c>
      <c r="R1018" s="5">
        <f t="shared" si="413"/>
        <v>0.15305301899318627</v>
      </c>
      <c r="S1018" s="4">
        <f t="shared" si="430"/>
        <v>9.8566744879861903E-2</v>
      </c>
      <c r="T1018" s="5">
        <f t="shared" si="414"/>
        <v>9.0803726068453161E-2</v>
      </c>
      <c r="U1018" s="4">
        <f t="shared" si="415"/>
        <v>0</v>
      </c>
      <c r="V1018" s="4">
        <f t="shared" si="416"/>
        <v>0</v>
      </c>
      <c r="W1018" s="5">
        <f t="shared" si="417"/>
        <v>0</v>
      </c>
      <c r="X1018" s="5">
        <f t="shared" si="418"/>
        <v>-11.297030231263179</v>
      </c>
      <c r="Y1018" s="5">
        <f t="shared" si="419"/>
        <v>15.115144000408176</v>
      </c>
      <c r="Z1018" s="5">
        <f>1</f>
        <v>1</v>
      </c>
      <c r="AA1018" s="5">
        <f>IF(M1018=0,0,const*($T1018/omega)*O1018*(wy*I1018-wz*(H1018-V1018))/Z1018)</f>
        <v>0</v>
      </c>
      <c r="AB1018" s="5">
        <f>IF(M1018=0,0,const*($T1018/omega)*O1018*(wz*(G1018-U1018)-wx*I1018)/Z1018)</f>
        <v>8.9675551931412052</v>
      </c>
      <c r="AC1018" s="5">
        <f>IF(M1018=0,0,const*($T1018/omega)*O1018*(wx*(H1018-V1018)-wy*(G1018-U1018))/Z1018)</f>
        <v>6.7023339053006419</v>
      </c>
      <c r="AD1018" s="5">
        <f t="shared" si="432"/>
        <v>0</v>
      </c>
      <c r="AE1018" s="5">
        <f t="shared" si="432"/>
        <v>-2.3294750381219735</v>
      </c>
      <c r="AF1018" s="5">
        <f t="shared" si="420"/>
        <v>-10.356522094291183</v>
      </c>
      <c r="AG1018">
        <f t="shared" si="431"/>
        <v>0</v>
      </c>
    </row>
    <row r="1019" spans="1:33" x14ac:dyDescent="0.2">
      <c r="A1019">
        <f t="shared" si="421"/>
        <v>9.869999999999834</v>
      </c>
      <c r="B1019" s="5">
        <f t="shared" si="422"/>
        <v>0</v>
      </c>
      <c r="C1019" s="5">
        <f t="shared" si="423"/>
        <v>1255.6282328943496</v>
      </c>
      <c r="D1019" s="5">
        <f t="shared" si="424"/>
        <v>-419.35022626773645</v>
      </c>
      <c r="E1019" s="2">
        <f t="shared" si="406"/>
        <v>418.54274429811653</v>
      </c>
      <c r="F1019" s="2">
        <f t="shared" si="425"/>
        <v>0</v>
      </c>
      <c r="G1019" s="3">
        <f t="shared" si="426"/>
        <v>0</v>
      </c>
      <c r="H1019" s="3">
        <f t="shared" si="427"/>
        <v>88.159494926703047</v>
      </c>
      <c r="I1019" s="3">
        <f t="shared" si="428"/>
        <v>-118.08993305752774</v>
      </c>
      <c r="J1019" s="2">
        <f t="shared" si="407"/>
        <v>147.36800478822656</v>
      </c>
      <c r="K1019" s="2">
        <f t="shared" si="429"/>
        <v>100.45535432053616</v>
      </c>
      <c r="L1019" s="5">
        <f t="shared" si="408"/>
        <v>23.746126686466635</v>
      </c>
      <c r="M1019" s="3">
        <f t="shared" si="409"/>
        <v>14.509844878305223</v>
      </c>
      <c r="N1019" s="2">
        <v>0</v>
      </c>
      <c r="O1019" s="2">
        <f t="shared" si="410"/>
        <v>147.36800478822656</v>
      </c>
      <c r="P1019" s="2">
        <f t="shared" si="411"/>
        <v>100.45535432053616</v>
      </c>
      <c r="Q1019" s="5">
        <f t="shared" si="412"/>
        <v>1.2420133689621686</v>
      </c>
      <c r="R1019" s="5">
        <f t="shared" si="413"/>
        <v>0.15303072644909299</v>
      </c>
      <c r="S1019" s="4">
        <f t="shared" si="430"/>
        <v>9.8459939789212886E-2</v>
      </c>
      <c r="T1019" s="5">
        <f t="shared" si="414"/>
        <v>9.0764355975838804E-2</v>
      </c>
      <c r="U1019" s="4">
        <f t="shared" si="415"/>
        <v>0</v>
      </c>
      <c r="V1019" s="4">
        <f t="shared" si="416"/>
        <v>0</v>
      </c>
      <c r="W1019" s="5">
        <f t="shared" si="417"/>
        <v>0</v>
      </c>
      <c r="X1019" s="5">
        <f t="shared" si="418"/>
        <v>-11.297693161168409</v>
      </c>
      <c r="Y1019" s="5">
        <f t="shared" si="419"/>
        <v>15.133297102213335</v>
      </c>
      <c r="Z1019" s="5">
        <f>1</f>
        <v>1</v>
      </c>
      <c r="AA1019" s="5">
        <f>IF(M1019=0,0,const*($T1019/omega)*O1019*(wy*I1019-wz*(H1019-V1019))/Z1019)</f>
        <v>0</v>
      </c>
      <c r="AB1019" s="5">
        <f>IF(M1019=0,0,const*($T1019/omega)*O1019*(wz*(G1019-U1019)-wx*I1019)/Z1019)</f>
        <v>8.9757396906192497</v>
      </c>
      <c r="AC1019" s="5">
        <f>IF(M1019=0,0,const*($T1019/omega)*O1019*(wx*(H1019-V1019)-wy*(G1019-U1019))/Z1019)</f>
        <v>6.7007970724572532</v>
      </c>
      <c r="AD1019" s="5">
        <f t="shared" si="432"/>
        <v>0</v>
      </c>
      <c r="AE1019" s="5">
        <f t="shared" si="432"/>
        <v>-2.3219534705491593</v>
      </c>
      <c r="AF1019" s="5">
        <f t="shared" si="420"/>
        <v>-10.33990582532941</v>
      </c>
      <c r="AG1019">
        <f t="shared" si="431"/>
        <v>0</v>
      </c>
    </row>
    <row r="1020" spans="1:33" x14ac:dyDescent="0.2">
      <c r="A1020">
        <f t="shared" si="421"/>
        <v>9.8799999999998338</v>
      </c>
      <c r="B1020" s="5">
        <f t="shared" si="422"/>
        <v>0</v>
      </c>
      <c r="C1020" s="5">
        <f t="shared" si="423"/>
        <v>1256.5097117459432</v>
      </c>
      <c r="D1020" s="5">
        <f t="shared" si="424"/>
        <v>-420.53164259360301</v>
      </c>
      <c r="E1020" s="2">
        <f t="shared" si="406"/>
        <v>418.83657058198105</v>
      </c>
      <c r="F1020" s="2">
        <f t="shared" si="425"/>
        <v>0</v>
      </c>
      <c r="G1020" s="3">
        <f t="shared" si="426"/>
        <v>0</v>
      </c>
      <c r="H1020" s="3">
        <f t="shared" si="427"/>
        <v>88.136275391997557</v>
      </c>
      <c r="I1020" s="3">
        <f t="shared" si="428"/>
        <v>-118.19333211578103</v>
      </c>
      <c r="J1020" s="2">
        <f t="shared" si="407"/>
        <v>147.43699263280348</v>
      </c>
      <c r="K1020" s="2">
        <f t="shared" si="429"/>
        <v>100.50238079945704</v>
      </c>
      <c r="L1020" s="5">
        <f t="shared" si="408"/>
        <v>23.735015539474983</v>
      </c>
      <c r="M1020" s="3">
        <f t="shared" si="409"/>
        <v>14.500911067699228</v>
      </c>
      <c r="N1020" s="2">
        <v>0</v>
      </c>
      <c r="O1020" s="2">
        <f t="shared" si="410"/>
        <v>147.43699263280348</v>
      </c>
      <c r="P1020" s="2">
        <f t="shared" si="411"/>
        <v>100.50238079945704</v>
      </c>
      <c r="Q1020" s="5">
        <f t="shared" si="412"/>
        <v>1.2425947965616231</v>
      </c>
      <c r="R1020" s="5">
        <f t="shared" si="413"/>
        <v>0.15300846316929864</v>
      </c>
      <c r="S1020" s="4">
        <f t="shared" si="430"/>
        <v>9.8353274905804727E-2</v>
      </c>
      <c r="T1020" s="5">
        <f t="shared" si="414"/>
        <v>9.0725011983830317E-2</v>
      </c>
      <c r="U1020" s="4">
        <f t="shared" si="415"/>
        <v>0</v>
      </c>
      <c r="V1020" s="4">
        <f t="shared" si="416"/>
        <v>0</v>
      </c>
      <c r="W1020" s="5">
        <f t="shared" si="417"/>
        <v>0</v>
      </c>
      <c r="X1020" s="5">
        <f t="shared" si="418"/>
        <v>-11.298361043003418</v>
      </c>
      <c r="Y1020" s="5">
        <f t="shared" si="419"/>
        <v>15.151433767542141</v>
      </c>
      <c r="Z1020" s="5">
        <f>1</f>
        <v>1</v>
      </c>
      <c r="AA1020" s="5">
        <f>IF(M1020=0,0,const*($T1020/omega)*O1020*(wy*I1020-wz*(H1020-V1020))/Z1020)</f>
        <v>0</v>
      </c>
      <c r="AB1020" s="5">
        <f>IF(M1020=0,0,const*($T1020/omega)*O1020*(wz*(G1020-U1020)-wx*I1020)/Z1020)</f>
        <v>8.9839083516021514</v>
      </c>
      <c r="AC1020" s="5">
        <f>IF(M1020=0,0,const*($T1020/omega)*O1020*(wx*(H1020-V1020)-wy*(G1020-U1020))/Z1020)</f>
        <v>6.6992630328555789</v>
      </c>
      <c r="AD1020" s="5">
        <f t="shared" si="432"/>
        <v>0</v>
      </c>
      <c r="AE1020" s="5">
        <f t="shared" si="432"/>
        <v>-2.3144526914012662</v>
      </c>
      <c r="AF1020" s="5">
        <f t="shared" si="420"/>
        <v>-10.323303199602279</v>
      </c>
      <c r="AG1020">
        <f t="shared" si="431"/>
        <v>0</v>
      </c>
    </row>
    <row r="1021" spans="1:33" x14ac:dyDescent="0.2">
      <c r="A1021">
        <f t="shared" si="421"/>
        <v>9.8899999999998336</v>
      </c>
      <c r="B1021" s="5">
        <f t="shared" si="422"/>
        <v>0</v>
      </c>
      <c r="C1021" s="5">
        <f t="shared" si="423"/>
        <v>1257.3909587772287</v>
      </c>
      <c r="D1021" s="5">
        <f t="shared" si="424"/>
        <v>-421.71409207992082</v>
      </c>
      <c r="E1021" s="2">
        <f t="shared" si="406"/>
        <v>419.13031959240953</v>
      </c>
      <c r="F1021" s="2">
        <f t="shared" si="425"/>
        <v>0</v>
      </c>
      <c r="G1021" s="3">
        <f t="shared" si="426"/>
        <v>0</v>
      </c>
      <c r="H1021" s="3">
        <f t="shared" si="427"/>
        <v>88.113130865083548</v>
      </c>
      <c r="I1021" s="3">
        <f t="shared" si="428"/>
        <v>-118.29656514777706</v>
      </c>
      <c r="J1021" s="2">
        <f t="shared" si="407"/>
        <v>147.50593600465575</v>
      </c>
      <c r="K1021" s="2">
        <f t="shared" si="429"/>
        <v>100.54937696295552</v>
      </c>
      <c r="L1021" s="5">
        <f t="shared" si="408"/>
        <v>23.723921938454033</v>
      </c>
      <c r="M1021" s="3">
        <f t="shared" si="409"/>
        <v>14.49197886524809</v>
      </c>
      <c r="N1021" s="2">
        <v>0</v>
      </c>
      <c r="O1021" s="2">
        <f t="shared" si="410"/>
        <v>147.50593600465575</v>
      </c>
      <c r="P1021" s="2">
        <f t="shared" si="411"/>
        <v>100.54937696295552</v>
      </c>
      <c r="Q1021" s="5">
        <f t="shared" si="412"/>
        <v>1.2431758493462144</v>
      </c>
      <c r="R1021" s="5">
        <f t="shared" si="413"/>
        <v>0.15298622917249513</v>
      </c>
      <c r="S1021" s="4">
        <f t="shared" si="430"/>
        <v>9.824675031919175E-2</v>
      </c>
      <c r="T1021" s="5">
        <f t="shared" si="414"/>
        <v>9.0685694182018356E-2</v>
      </c>
      <c r="U1021" s="4">
        <f t="shared" si="415"/>
        <v>0</v>
      </c>
      <c r="V1021" s="4">
        <f t="shared" si="416"/>
        <v>0</v>
      </c>
      <c r="W1021" s="5">
        <f t="shared" si="417"/>
        <v>0</v>
      </c>
      <c r="X1021" s="5">
        <f t="shared" si="418"/>
        <v>-11.299033841636174</v>
      </c>
      <c r="Y1021" s="5">
        <f t="shared" si="419"/>
        <v>15.169553956727217</v>
      </c>
      <c r="Z1021" s="5">
        <f>1</f>
        <v>1</v>
      </c>
      <c r="AA1021" s="5">
        <f>IF(M1021=0,0,const*($T1021/omega)*O1021*(wy*I1021-wz*(H1021-V1021))/Z1021)</f>
        <v>0</v>
      </c>
      <c r="AB1021" s="5">
        <f>IF(M1021=0,0,const*($T1021/omega)*O1021*(wz*(G1021-U1021)-wx*I1021)/Z1021)</f>
        <v>8.9920611707234386</v>
      </c>
      <c r="AC1021" s="5">
        <f>IF(M1021=0,0,const*($T1021/omega)*O1021*(wx*(H1021-V1021)-wy*(G1021-U1021))/Z1021)</f>
        <v>6.6977317700900239</v>
      </c>
      <c r="AD1021" s="5">
        <f t="shared" si="432"/>
        <v>0</v>
      </c>
      <c r="AE1021" s="5">
        <f t="shared" si="432"/>
        <v>-2.3069726709127352</v>
      </c>
      <c r="AF1021" s="5">
        <f t="shared" si="420"/>
        <v>-10.306714273182759</v>
      </c>
      <c r="AG1021">
        <f t="shared" si="431"/>
        <v>0</v>
      </c>
    </row>
    <row r="1022" spans="1:33" x14ac:dyDescent="0.2">
      <c r="A1022">
        <f t="shared" si="421"/>
        <v>9.8999999999998334</v>
      </c>
      <c r="B1022" s="5">
        <f t="shared" si="422"/>
        <v>0</v>
      </c>
      <c r="C1022" s="5">
        <f t="shared" si="423"/>
        <v>1258.271974737246</v>
      </c>
      <c r="D1022" s="5">
        <f t="shared" si="424"/>
        <v>-422.89757306711226</v>
      </c>
      <c r="E1022" s="2">
        <f t="shared" si="406"/>
        <v>419.42399157908199</v>
      </c>
      <c r="F1022" s="2">
        <f t="shared" si="425"/>
        <v>0</v>
      </c>
      <c r="G1022" s="3">
        <f t="shared" si="426"/>
        <v>0</v>
      </c>
      <c r="H1022" s="3">
        <f t="shared" si="427"/>
        <v>88.090061138374423</v>
      </c>
      <c r="I1022" s="3">
        <f t="shared" si="428"/>
        <v>-118.39963229050889</v>
      </c>
      <c r="J1022" s="2">
        <f t="shared" si="407"/>
        <v>147.57483456839876</v>
      </c>
      <c r="K1022" s="2">
        <f t="shared" si="429"/>
        <v>100.59634258241223</v>
      </c>
      <c r="L1022" s="5">
        <f t="shared" si="408"/>
        <v>23.712845902674008</v>
      </c>
      <c r="M1022" s="3">
        <f t="shared" si="409"/>
        <v>14.48304829402155</v>
      </c>
      <c r="N1022" s="2">
        <v>0</v>
      </c>
      <c r="O1022" s="2">
        <f t="shared" si="410"/>
        <v>147.57483456839876</v>
      </c>
      <c r="P1022" s="2">
        <f t="shared" si="411"/>
        <v>100.59634258241223</v>
      </c>
      <c r="Q1022" s="5">
        <f t="shared" si="412"/>
        <v>1.2437565244893303</v>
      </c>
      <c r="R1022" s="5">
        <f t="shared" si="413"/>
        <v>0.15296402447672186</v>
      </c>
      <c r="S1022" s="4">
        <f t="shared" si="430"/>
        <v>9.8140366115801889E-2</v>
      </c>
      <c r="T1022" s="5">
        <f t="shared" si="414"/>
        <v>9.0646402659016939E-2</v>
      </c>
      <c r="U1022" s="4">
        <f t="shared" si="415"/>
        <v>0</v>
      </c>
      <c r="V1022" s="4">
        <f t="shared" si="416"/>
        <v>0</v>
      </c>
      <c r="W1022" s="5">
        <f t="shared" si="417"/>
        <v>0</v>
      </c>
      <c r="X1022" s="5">
        <f t="shared" si="418"/>
        <v>-11.299711522095039</v>
      </c>
      <c r="Y1022" s="5">
        <f t="shared" si="419"/>
        <v>15.187657630334661</v>
      </c>
      <c r="Z1022" s="5">
        <f>1</f>
        <v>1</v>
      </c>
      <c r="AA1022" s="5">
        <f>IF(M1022=0,0,const*($T1022/omega)*O1022*(wy*I1022-wz*(H1022-V1022))/Z1022)</f>
        <v>0</v>
      </c>
      <c r="AB1022" s="5">
        <f>IF(M1022=0,0,const*($T1022/omega)*O1022*(wz*(G1022-U1022)-wx*I1022)/Z1022)</f>
        <v>9.0001981427738542</v>
      </c>
      <c r="AC1022" s="5">
        <f>IF(M1022=0,0,const*($T1022/omega)*O1022*(wx*(H1022-V1022)-wy*(G1022-U1022))/Z1022)</f>
        <v>6.6962032678372365</v>
      </c>
      <c r="AD1022" s="5">
        <f t="shared" si="432"/>
        <v>0</v>
      </c>
      <c r="AE1022" s="5">
        <f t="shared" si="432"/>
        <v>-2.2995133793211853</v>
      </c>
      <c r="AF1022" s="5">
        <f t="shared" si="420"/>
        <v>-10.290139101828103</v>
      </c>
      <c r="AG1022">
        <f t="shared" si="431"/>
        <v>0</v>
      </c>
    </row>
    <row r="1023" spans="1:33" x14ac:dyDescent="0.2">
      <c r="A1023">
        <f t="shared" si="421"/>
        <v>9.9099999999998332</v>
      </c>
      <c r="B1023" s="5">
        <f t="shared" si="422"/>
        <v>0</v>
      </c>
      <c r="C1023" s="5">
        <f t="shared" si="423"/>
        <v>1259.1527603729608</v>
      </c>
      <c r="D1023" s="5">
        <f t="shared" si="424"/>
        <v>-424.08208389697245</v>
      </c>
      <c r="E1023" s="2">
        <f t="shared" si="406"/>
        <v>419.7175867909869</v>
      </c>
      <c r="F1023" s="2">
        <f t="shared" si="425"/>
        <v>0</v>
      </c>
      <c r="G1023" s="3">
        <f t="shared" si="426"/>
        <v>0</v>
      </c>
      <c r="H1023" s="3">
        <f t="shared" si="427"/>
        <v>88.067066004581207</v>
      </c>
      <c r="I1023" s="3">
        <f t="shared" si="428"/>
        <v>-118.50253368152717</v>
      </c>
      <c r="J1023" s="2">
        <f t="shared" si="407"/>
        <v>147.64368799104398</v>
      </c>
      <c r="K1023" s="2">
        <f t="shared" si="429"/>
        <v>100.64327743084115</v>
      </c>
      <c r="L1023" s="5">
        <f t="shared" si="408"/>
        <v>23.701787450915766</v>
      </c>
      <c r="M1023" s="3">
        <f t="shared" si="409"/>
        <v>14.47411937699548</v>
      </c>
      <c r="N1023" s="2">
        <v>0</v>
      </c>
      <c r="O1023" s="2">
        <f t="shared" si="410"/>
        <v>147.64368799104398</v>
      </c>
      <c r="P1023" s="2">
        <f t="shared" si="411"/>
        <v>100.64327743084115</v>
      </c>
      <c r="Q1023" s="5">
        <f t="shared" si="412"/>
        <v>1.2443368191845532</v>
      </c>
      <c r="R1023" s="5">
        <f t="shared" si="413"/>
        <v>0.15294184909937125</v>
      </c>
      <c r="S1023" s="4">
        <f t="shared" si="430"/>
        <v>9.8034122378963306E-2</v>
      </c>
      <c r="T1023" s="5">
        <f t="shared" si="414"/>
        <v>9.0607137502469334E-2</v>
      </c>
      <c r="U1023" s="4">
        <f t="shared" si="415"/>
        <v>0</v>
      </c>
      <c r="V1023" s="4">
        <f t="shared" si="416"/>
        <v>0</v>
      </c>
      <c r="W1023" s="5">
        <f t="shared" si="417"/>
        <v>0</v>
      </c>
      <c r="X1023" s="5">
        <f t="shared" si="418"/>
        <v>-11.300394049567872</v>
      </c>
      <c r="Y1023" s="5">
        <f t="shared" si="419"/>
        <v>15.205744749164067</v>
      </c>
      <c r="Z1023" s="5">
        <f>1</f>
        <v>1</v>
      </c>
      <c r="AA1023" s="5">
        <f>IF(M1023=0,0,const*($T1023/omega)*O1023*(wy*I1023-wz*(H1023-V1023))/Z1023)</f>
        <v>0</v>
      </c>
      <c r="AB1023" s="5">
        <f>IF(M1023=0,0,const*($T1023/omega)*O1023*(wz*(G1023-U1023)-wx*I1023)/Z1023)</f>
        <v>9.0083192627008959</v>
      </c>
      <c r="AC1023" s="5">
        <f>IF(M1023=0,0,const*($T1023/omega)*O1023*(wx*(H1023-V1023)-wy*(G1023-U1023))/Z1023)</f>
        <v>6.6946775098555538</v>
      </c>
      <c r="AD1023" s="5">
        <f t="shared" si="432"/>
        <v>0</v>
      </c>
      <c r="AE1023" s="5">
        <f t="shared" si="432"/>
        <v>-2.2920747868669764</v>
      </c>
      <c r="AF1023" s="5">
        <f t="shared" si="420"/>
        <v>-10.273577740980379</v>
      </c>
      <c r="AG1023">
        <f t="shared" si="431"/>
        <v>0</v>
      </c>
    </row>
    <row r="1024" spans="1:33" x14ac:dyDescent="0.2">
      <c r="A1024">
        <f t="shared" si="421"/>
        <v>9.919999999999833</v>
      </c>
      <c r="B1024" s="5">
        <f t="shared" si="422"/>
        <v>0</v>
      </c>
      <c r="C1024" s="5">
        <f t="shared" si="423"/>
        <v>1260.0333164292672</v>
      </c>
      <c r="D1024" s="5">
        <f t="shared" si="424"/>
        <v>-425.26762291267477</v>
      </c>
      <c r="E1024" s="2">
        <f t="shared" si="406"/>
        <v>420.01110547642241</v>
      </c>
      <c r="F1024" s="2">
        <f t="shared" si="425"/>
        <v>0</v>
      </c>
      <c r="G1024" s="3">
        <f t="shared" si="426"/>
        <v>0</v>
      </c>
      <c r="H1024" s="3">
        <f t="shared" si="427"/>
        <v>88.04414525671254</v>
      </c>
      <c r="I1024" s="3">
        <f t="shared" si="428"/>
        <v>-118.60526945893697</v>
      </c>
      <c r="J1024" s="2">
        <f t="shared" si="407"/>
        <v>147.71249594198909</v>
      </c>
      <c r="K1024" s="2">
        <f t="shared" si="429"/>
        <v>100.6901812828828</v>
      </c>
      <c r="L1024" s="5">
        <f t="shared" si="408"/>
        <v>23.690746601474874</v>
      </c>
      <c r="M1024" s="3">
        <f t="shared" si="409"/>
        <v>14.465192137051931</v>
      </c>
      <c r="N1024" s="2">
        <v>0</v>
      </c>
      <c r="O1024" s="2">
        <f t="shared" si="410"/>
        <v>147.71249594198909</v>
      </c>
      <c r="P1024" s="2">
        <f t="shared" si="411"/>
        <v>100.6901812828828</v>
      </c>
      <c r="Q1024" s="5">
        <f t="shared" si="412"/>
        <v>1.2449167306455755</v>
      </c>
      <c r="R1024" s="5">
        <f t="shared" si="413"/>
        <v>0.15291970305719416</v>
      </c>
      <c r="S1024" s="4">
        <f t="shared" si="430"/>
        <v>9.7928019188930529E-2</v>
      </c>
      <c r="T1024" s="5">
        <f t="shared" si="414"/>
        <v>9.0567898799054386E-2</v>
      </c>
      <c r="U1024" s="4">
        <f t="shared" si="415"/>
        <v>0</v>
      </c>
      <c r="V1024" s="4">
        <f t="shared" si="416"/>
        <v>0</v>
      </c>
      <c r="W1024" s="5">
        <f t="shared" si="417"/>
        <v>0</v>
      </c>
      <c r="X1024" s="5">
        <f t="shared" si="418"/>
        <v>-11.301081389401135</v>
      </c>
      <c r="Y1024" s="5">
        <f t="shared" si="419"/>
        <v>15.223815274248562</v>
      </c>
      <c r="Z1024" s="5">
        <f>1</f>
        <v>1</v>
      </c>
      <c r="AA1024" s="5">
        <f>IF(M1024=0,0,const*($T1024/omega)*O1024*(wy*I1024-wz*(H1024-V1024))/Z1024)</f>
        <v>0</v>
      </c>
      <c r="AB1024" s="5">
        <f>IF(M1024=0,0,const*($T1024/omega)*O1024*(wz*(G1024-U1024)-wx*I1024)/Z1024)</f>
        <v>9.0164245256084197</v>
      </c>
      <c r="AC1024" s="5">
        <f>IF(M1024=0,0,const*($T1024/omega)*O1024*(wx*(H1024-V1024)-wy*(G1024-U1024))/Z1024)</f>
        <v>6.6931544799845026</v>
      </c>
      <c r="AD1024" s="5">
        <f t="shared" si="432"/>
        <v>0</v>
      </c>
      <c r="AE1024" s="5">
        <f t="shared" si="432"/>
        <v>-2.2846568637927156</v>
      </c>
      <c r="AF1024" s="5">
        <f t="shared" si="420"/>
        <v>-10.257030245766934</v>
      </c>
      <c r="AG1024">
        <f t="shared" si="431"/>
        <v>0</v>
      </c>
    </row>
    <row r="1025" spans="1:33" x14ac:dyDescent="0.2">
      <c r="A1025">
        <f t="shared" si="421"/>
        <v>9.9299999999998327</v>
      </c>
      <c r="B1025" s="5">
        <f t="shared" si="422"/>
        <v>0</v>
      </c>
      <c r="C1025" s="5">
        <f t="shared" si="423"/>
        <v>1260.9136436489912</v>
      </c>
      <c r="D1025" s="5">
        <f t="shared" si="424"/>
        <v>-426.4541884587764</v>
      </c>
      <c r="E1025" s="2">
        <f t="shared" si="406"/>
        <v>420.30454788299704</v>
      </c>
      <c r="F1025" s="2">
        <f t="shared" si="425"/>
        <v>0</v>
      </c>
      <c r="G1025" s="3">
        <f t="shared" si="426"/>
        <v>0</v>
      </c>
      <c r="H1025" s="3">
        <f t="shared" si="427"/>
        <v>88.021298688074609</v>
      </c>
      <c r="I1025" s="3">
        <f t="shared" si="428"/>
        <v>-118.70783976139464</v>
      </c>
      <c r="J1025" s="2">
        <f t="shared" si="407"/>
        <v>147.78125809300784</v>
      </c>
      <c r="K1025" s="2">
        <f t="shared" si="429"/>
        <v>100.73705391479743</v>
      </c>
      <c r="L1025" s="5">
        <f t="shared" si="408"/>
        <v>23.679723372165697</v>
      </c>
      <c r="M1025" s="3">
        <f t="shared" si="409"/>
        <v>14.456266596979219</v>
      </c>
      <c r="N1025" s="2">
        <v>0</v>
      </c>
      <c r="O1025" s="2">
        <f t="shared" si="410"/>
        <v>147.78125809300784</v>
      </c>
      <c r="P1025" s="2">
        <f t="shared" si="411"/>
        <v>100.73705391479743</v>
      </c>
      <c r="Q1025" s="5">
        <f t="shared" si="412"/>
        <v>1.2454962561061165</v>
      </c>
      <c r="R1025" s="5">
        <f t="shared" si="413"/>
        <v>0.1528975863663054</v>
      </c>
      <c r="S1025" s="4">
        <f t="shared" si="430"/>
        <v>9.782205662291088E-2</v>
      </c>
      <c r="T1025" s="5">
        <f t="shared" si="414"/>
        <v>9.0528686634492442E-2</v>
      </c>
      <c r="U1025" s="4">
        <f t="shared" si="415"/>
        <v>0</v>
      </c>
      <c r="V1025" s="4">
        <f t="shared" si="416"/>
        <v>0</v>
      </c>
      <c r="W1025" s="5">
        <f t="shared" si="417"/>
        <v>0</v>
      </c>
      <c r="X1025" s="5">
        <f t="shared" si="418"/>
        <v>-11.301773507098989</v>
      </c>
      <c r="Y1025" s="5">
        <f t="shared" si="419"/>
        <v>15.241869166854807</v>
      </c>
      <c r="Z1025" s="5">
        <f>1</f>
        <v>1</v>
      </c>
      <c r="AA1025" s="5">
        <f>IF(M1025=0,0,const*($T1025/omega)*O1025*(wy*I1025-wz*(H1025-V1025))/Z1025)</f>
        <v>0</v>
      </c>
      <c r="AB1025" s="5">
        <f>IF(M1025=0,0,const*($T1025/omega)*O1025*(wz*(G1025-U1025)-wx*I1025)/Z1025)</f>
        <v>9.0245139267561942</v>
      </c>
      <c r="AC1025" s="5">
        <f>IF(M1025=0,0,const*($T1025/omega)*O1025*(wx*(H1025-V1025)-wy*(G1025-U1025))/Z1025)</f>
        <v>6.6916341621442683</v>
      </c>
      <c r="AD1025" s="5">
        <f t="shared" si="432"/>
        <v>0</v>
      </c>
      <c r="AE1025" s="5">
        <f t="shared" si="432"/>
        <v>-2.2772595803427951</v>
      </c>
      <c r="AF1025" s="5">
        <f t="shared" si="420"/>
        <v>-10.240496671000926</v>
      </c>
      <c r="AG1025">
        <f t="shared" si="431"/>
        <v>0</v>
      </c>
    </row>
    <row r="1026" spans="1:33" x14ac:dyDescent="0.2">
      <c r="A1026">
        <f t="shared" si="421"/>
        <v>9.9399999999998325</v>
      </c>
      <c r="B1026" s="5">
        <f t="shared" si="422"/>
        <v>0</v>
      </c>
      <c r="C1026" s="5">
        <f t="shared" si="423"/>
        <v>1261.7937427728928</v>
      </c>
      <c r="D1026" s="5">
        <f t="shared" si="424"/>
        <v>-427.6417788812239</v>
      </c>
      <c r="E1026" s="2">
        <f t="shared" si="406"/>
        <v>420.59791425763092</v>
      </c>
      <c r="F1026" s="2">
        <f t="shared" si="425"/>
        <v>0</v>
      </c>
      <c r="G1026" s="3">
        <f t="shared" si="426"/>
        <v>0</v>
      </c>
      <c r="H1026" s="3">
        <f t="shared" si="427"/>
        <v>87.998526092271177</v>
      </c>
      <c r="I1026" s="3">
        <f t="shared" si="428"/>
        <v>-118.81024472810465</v>
      </c>
      <c r="J1026" s="2">
        <f t="shared" si="407"/>
        <v>147.84997411824003</v>
      </c>
      <c r="K1026" s="2">
        <f t="shared" si="429"/>
        <v>100.7838951044581</v>
      </c>
      <c r="L1026" s="5">
        <f t="shared" si="408"/>
        <v>23.668717780325473</v>
      </c>
      <c r="M1026" s="3">
        <f t="shared" si="409"/>
        <v>14.447342779472001</v>
      </c>
      <c r="N1026" s="2">
        <v>0</v>
      </c>
      <c r="O1026" s="2">
        <f t="shared" si="410"/>
        <v>147.84997411824003</v>
      </c>
      <c r="P1026" s="2">
        <f t="shared" si="411"/>
        <v>100.7838951044581</v>
      </c>
      <c r="Q1026" s="5">
        <f t="shared" si="412"/>
        <v>1.2460753928198349</v>
      </c>
      <c r="R1026" s="5">
        <f t="shared" si="413"/>
        <v>0.15287549904218925</v>
      </c>
      <c r="S1026" s="4">
        <f t="shared" si="430"/>
        <v>9.7716234755090531E-2</v>
      </c>
      <c r="T1026" s="5">
        <f t="shared" si="414"/>
        <v>9.0489501093551639E-2</v>
      </c>
      <c r="U1026" s="4">
        <f t="shared" si="415"/>
        <v>0</v>
      </c>
      <c r="V1026" s="4">
        <f t="shared" si="416"/>
        <v>0</v>
      </c>
      <c r="W1026" s="5">
        <f t="shared" si="417"/>
        <v>0</v>
      </c>
      <c r="X1026" s="5">
        <f t="shared" si="418"/>
        <v>-11.302470368322423</v>
      </c>
      <c r="Y1026" s="5">
        <f t="shared" si="419"/>
        <v>15.259906388483016</v>
      </c>
      <c r="Z1026" s="5">
        <f>1</f>
        <v>1</v>
      </c>
      <c r="AA1026" s="5">
        <f>IF(M1026=0,0,const*($T1026/omega)*O1026*(wy*I1026-wz*(H1026-V1026))/Z1026)</f>
        <v>0</v>
      </c>
      <c r="AB1026" s="5">
        <f>IF(M1026=0,0,const*($T1026/omega)*O1026*(wz*(G1026-U1026)-wx*I1026)/Z1026)</f>
        <v>9.0325874615594959</v>
      </c>
      <c r="AC1026" s="5">
        <f>IF(M1026=0,0,const*($T1026/omega)*O1026*(wx*(H1026-V1026)-wy*(G1026-U1026))/Z1026)</f>
        <v>6.6901165403351905</v>
      </c>
      <c r="AD1026" s="5">
        <f t="shared" si="432"/>
        <v>0</v>
      </c>
      <c r="AE1026" s="5">
        <f t="shared" si="432"/>
        <v>-2.2698829067629269</v>
      </c>
      <c r="AF1026" s="5">
        <f t="shared" si="420"/>
        <v>-10.223977071181793</v>
      </c>
      <c r="AG1026">
        <f t="shared" si="431"/>
        <v>0</v>
      </c>
    </row>
    <row r="1027" spans="1:33" x14ac:dyDescent="0.2">
      <c r="A1027">
        <f t="shared" si="421"/>
        <v>9.9499999999998323</v>
      </c>
      <c r="B1027" s="5">
        <f t="shared" si="422"/>
        <v>0</v>
      </c>
      <c r="C1027" s="5">
        <f t="shared" si="423"/>
        <v>1262.6736145396701</v>
      </c>
      <c r="D1027" s="5">
        <f t="shared" si="424"/>
        <v>-428.83039252735853</v>
      </c>
      <c r="E1027" s="2">
        <f t="shared" si="406"/>
        <v>420.89120484655672</v>
      </c>
      <c r="F1027" s="2">
        <f t="shared" si="425"/>
        <v>0</v>
      </c>
      <c r="G1027" s="3">
        <f t="shared" si="426"/>
        <v>0</v>
      </c>
      <c r="H1027" s="3">
        <f t="shared" si="427"/>
        <v>87.975827263203541</v>
      </c>
      <c r="I1027" s="3">
        <f t="shared" si="428"/>
        <v>-118.91248449881647</v>
      </c>
      <c r="J1027" s="2">
        <f t="shared" si="407"/>
        <v>147.91864369418175</v>
      </c>
      <c r="K1027" s="2">
        <f t="shared" si="429"/>
        <v>100.83070463134406</v>
      </c>
      <c r="L1027" s="5">
        <f t="shared" si="408"/>
        <v>23.657729842818288</v>
      </c>
      <c r="M1027" s="3">
        <f t="shared" si="409"/>
        <v>14.43842070713133</v>
      </c>
      <c r="N1027" s="2">
        <v>0</v>
      </c>
      <c r="O1027" s="2">
        <f t="shared" si="410"/>
        <v>147.91864369418175</v>
      </c>
      <c r="P1027" s="2">
        <f t="shared" si="411"/>
        <v>100.83070463134406</v>
      </c>
      <c r="Q1027" s="5">
        <f t="shared" si="412"/>
        <v>1.2466541380602496</v>
      </c>
      <c r="R1027" s="5">
        <f t="shared" si="413"/>
        <v>0.15285344109970478</v>
      </c>
      <c r="S1027" s="4">
        <f t="shared" si="430"/>
        <v>9.7610553656660201E-2</v>
      </c>
      <c r="T1027" s="5">
        <f t="shared" si="414"/>
        <v>9.0450342260053718E-2</v>
      </c>
      <c r="U1027" s="4">
        <f t="shared" si="415"/>
        <v>0</v>
      </c>
      <c r="V1027" s="4">
        <f t="shared" si="416"/>
        <v>0</v>
      </c>
      <c r="W1027" s="5">
        <f t="shared" si="417"/>
        <v>0</v>
      </c>
      <c r="X1027" s="5">
        <f t="shared" si="418"/>
        <v>-11.303171938888388</v>
      </c>
      <c r="Y1027" s="5">
        <f t="shared" si="419"/>
        <v>15.277926900866964</v>
      </c>
      <c r="Z1027" s="5">
        <f>1</f>
        <v>1</v>
      </c>
      <c r="AA1027" s="5">
        <f>IF(M1027=0,0,const*($T1027/omega)*O1027*(wy*I1027-wz*(H1027-V1027))/Z1027)</f>
        <v>0</v>
      </c>
      <c r="AB1027" s="5">
        <f>IF(M1027=0,0,const*($T1027/omega)*O1027*(wz*(G1027-U1027)-wx*I1027)/Z1027)</f>
        <v>9.0406451255886555</v>
      </c>
      <c r="AC1027" s="5">
        <f>IF(M1027=0,0,const*($T1027/omega)*O1027*(wx*(H1027-V1027)-wy*(G1027-U1027))/Z1027)</f>
        <v>6.6886015986372467</v>
      </c>
      <c r="AD1027" s="5">
        <f t="shared" si="432"/>
        <v>0</v>
      </c>
      <c r="AE1027" s="5">
        <f t="shared" si="432"/>
        <v>-2.2625268132997327</v>
      </c>
      <c r="AF1027" s="5">
        <f t="shared" si="420"/>
        <v>-10.207471500495789</v>
      </c>
      <c r="AG1027">
        <f t="shared" si="431"/>
        <v>0</v>
      </c>
    </row>
    <row r="1028" spans="1:33" x14ac:dyDescent="0.2">
      <c r="A1028">
        <f t="shared" si="421"/>
        <v>9.9599999999998321</v>
      </c>
      <c r="B1028" s="5">
        <f t="shared" si="422"/>
        <v>0</v>
      </c>
      <c r="C1028" s="5">
        <f t="shared" si="423"/>
        <v>1263.5532596859614</v>
      </c>
      <c r="D1028" s="5">
        <f t="shared" si="424"/>
        <v>-430.02002774592171</v>
      </c>
      <c r="E1028" s="2">
        <f t="shared" si="406"/>
        <v>421.18441989532045</v>
      </c>
      <c r="F1028" s="2">
        <f t="shared" si="425"/>
        <v>0</v>
      </c>
      <c r="G1028" s="3">
        <f t="shared" si="426"/>
        <v>0</v>
      </c>
      <c r="H1028" s="3">
        <f t="shared" si="427"/>
        <v>87.953201995070543</v>
      </c>
      <c r="I1028" s="3">
        <f t="shared" si="428"/>
        <v>-119.01455921382143</v>
      </c>
      <c r="J1028" s="2">
        <f t="shared" si="407"/>
        <v>147.9872664996752</v>
      </c>
      <c r="K1028" s="2">
        <f t="shared" si="429"/>
        <v>100.87748227653387</v>
      </c>
      <c r="L1028" s="5">
        <f t="shared" si="408"/>
        <v>23.646759576039127</v>
      </c>
      <c r="M1028" s="3">
        <f t="shared" si="409"/>
        <v>14.429500402464756</v>
      </c>
      <c r="N1028" s="2">
        <v>0</v>
      </c>
      <c r="O1028" s="2">
        <f t="shared" si="410"/>
        <v>147.9872664996752</v>
      </c>
      <c r="P1028" s="2">
        <f t="shared" si="411"/>
        <v>100.87748227653387</v>
      </c>
      <c r="Q1028" s="5">
        <f t="shared" si="412"/>
        <v>1.2472324891206512</v>
      </c>
      <c r="R1028" s="5">
        <f t="shared" si="413"/>
        <v>0.15283141255309127</v>
      </c>
      <c r="S1028" s="4">
        <f t="shared" si="430"/>
        <v>9.7505013395841222E-2</v>
      </c>
      <c r="T1028" s="5">
        <f t="shared" si="414"/>
        <v>9.0411210216880172E-2</v>
      </c>
      <c r="U1028" s="4">
        <f t="shared" si="415"/>
        <v>0</v>
      </c>
      <c r="V1028" s="4">
        <f t="shared" si="416"/>
        <v>0</v>
      </c>
      <c r="W1028" s="5">
        <f t="shared" si="417"/>
        <v>0</v>
      </c>
      <c r="X1028" s="5">
        <f t="shared" si="418"/>
        <v>-11.303878184768898</v>
      </c>
      <c r="Y1028" s="5">
        <f t="shared" si="419"/>
        <v>15.295930665973968</v>
      </c>
      <c r="Z1028" s="5">
        <f>1</f>
        <v>1</v>
      </c>
      <c r="AA1028" s="5">
        <f>IF(M1028=0,0,const*($T1028/omega)*O1028*(wy*I1028-wz*(H1028-V1028))/Z1028)</f>
        <v>0</v>
      </c>
      <c r="AB1028" s="5">
        <f>IF(M1028=0,0,const*($T1028/omega)*O1028*(wz*(G1028-U1028)-wx*I1028)/Z1028)</f>
        <v>9.0486869145686271</v>
      </c>
      <c r="AC1028" s="5">
        <f>IF(M1028=0,0,const*($T1028/omega)*O1028*(wx*(H1028-V1028)-wy*(G1028-U1028))/Z1028)</f>
        <v>6.6870893212095428</v>
      </c>
      <c r="AD1028" s="5">
        <f t="shared" si="432"/>
        <v>0</v>
      </c>
      <c r="AE1028" s="5">
        <f t="shared" si="432"/>
        <v>-2.255191270200271</v>
      </c>
      <c r="AF1028" s="5">
        <f t="shared" si="420"/>
        <v>-10.190980012816489</v>
      </c>
      <c r="AG1028">
        <f t="shared" si="431"/>
        <v>0</v>
      </c>
    </row>
    <row r="1029" spans="1:33" x14ac:dyDescent="0.2">
      <c r="A1029">
        <f t="shared" si="421"/>
        <v>9.9699999999998319</v>
      </c>
      <c r="B1029" s="5">
        <f t="shared" si="422"/>
        <v>0</v>
      </c>
      <c r="C1029" s="5">
        <f t="shared" si="423"/>
        <v>1264.4326789463485</v>
      </c>
      <c r="D1029" s="5">
        <f t="shared" si="424"/>
        <v>-431.21068288706056</v>
      </c>
      <c r="E1029" s="2">
        <f t="shared" si="406"/>
        <v>421.4775596487828</v>
      </c>
      <c r="F1029" s="2">
        <f t="shared" si="425"/>
        <v>0</v>
      </c>
      <c r="G1029" s="3">
        <f t="shared" si="426"/>
        <v>0</v>
      </c>
      <c r="H1029" s="3">
        <f t="shared" si="427"/>
        <v>87.930650082368544</v>
      </c>
      <c r="I1029" s="3">
        <f t="shared" si="428"/>
        <v>-119.1164690139496</v>
      </c>
      <c r="J1029" s="2">
        <f t="shared" si="407"/>
        <v>148.05584221589891</v>
      </c>
      <c r="K1029" s="2">
        <f t="shared" si="429"/>
        <v>100.92422782269864</v>
      </c>
      <c r="L1029" s="5">
        <f t="shared" si="408"/>
        <v>23.635806995917822</v>
      </c>
      <c r="M1029" s="3">
        <f t="shared" si="409"/>
        <v>14.420581887886389</v>
      </c>
      <c r="N1029" s="2">
        <v>0</v>
      </c>
      <c r="O1029" s="2">
        <f t="shared" si="410"/>
        <v>148.05584221589891</v>
      </c>
      <c r="P1029" s="2">
        <f t="shared" si="411"/>
        <v>100.92422782269864</v>
      </c>
      <c r="Q1029" s="5">
        <f t="shared" si="412"/>
        <v>1.2478104433140218</v>
      </c>
      <c r="R1029" s="5">
        <f t="shared" si="413"/>
        <v>0.15280941341597348</v>
      </c>
      <c r="S1029" s="4">
        <f t="shared" si="430"/>
        <v>9.7399614037910906E-2</v>
      </c>
      <c r="T1029" s="5">
        <f t="shared" si="414"/>
        <v>9.0372105045978243E-2</v>
      </c>
      <c r="U1029" s="4">
        <f t="shared" si="415"/>
        <v>0</v>
      </c>
      <c r="V1029" s="4">
        <f t="shared" si="416"/>
        <v>0</v>
      </c>
      <c r="W1029" s="5">
        <f t="shared" si="417"/>
        <v>0</v>
      </c>
      <c r="X1029" s="5">
        <f t="shared" si="418"/>
        <v>-11.304589072090174</v>
      </c>
      <c r="Y1029" s="5">
        <f t="shared" si="419"/>
        <v>15.313917646004862</v>
      </c>
      <c r="Z1029" s="5">
        <f>1</f>
        <v>1</v>
      </c>
      <c r="AA1029" s="5">
        <f>IF(M1029=0,0,const*($T1029/omega)*O1029*(wy*I1029-wz*(H1029-V1029))/Z1029)</f>
        <v>0</v>
      </c>
      <c r="AB1029" s="5">
        <f>IF(M1029=0,0,const*($T1029/omega)*O1029*(wz*(G1029-U1029)-wx*I1029)/Z1029)</f>
        <v>9.0567128243785522</v>
      </c>
      <c r="AC1029" s="5">
        <f>IF(M1029=0,0,const*($T1029/omega)*O1029*(wx*(H1029-V1029)-wy*(G1029-U1029))/Z1029)</f>
        <v>6.6855796922898136</v>
      </c>
      <c r="AD1029" s="5">
        <f t="shared" si="432"/>
        <v>0</v>
      </c>
      <c r="AE1029" s="5">
        <f t="shared" si="432"/>
        <v>-2.2478762477116216</v>
      </c>
      <c r="AF1029" s="5">
        <f t="shared" si="420"/>
        <v>-10.174502661705326</v>
      </c>
      <c r="AG1029">
        <f t="shared" si="431"/>
        <v>0</v>
      </c>
    </row>
    <row r="1030" spans="1:33" x14ac:dyDescent="0.2">
      <c r="A1030">
        <f t="shared" si="421"/>
        <v>9.9799999999998317</v>
      </c>
      <c r="B1030" s="5">
        <f t="shared" si="422"/>
        <v>0</v>
      </c>
      <c r="C1030" s="5">
        <f t="shared" si="423"/>
        <v>1265.3118730533599</v>
      </c>
      <c r="D1030" s="5">
        <f t="shared" si="424"/>
        <v>-432.40235630233315</v>
      </c>
      <c r="E1030" s="2">
        <f t="shared" si="406"/>
        <v>421.77062435111998</v>
      </c>
      <c r="F1030" s="2">
        <f t="shared" si="425"/>
        <v>0</v>
      </c>
      <c r="G1030" s="3">
        <f t="shared" si="426"/>
        <v>0</v>
      </c>
      <c r="H1030" s="3">
        <f t="shared" si="427"/>
        <v>87.908171319891423</v>
      </c>
      <c r="I1030" s="3">
        <f t="shared" si="428"/>
        <v>-119.21821404056665</v>
      </c>
      <c r="J1030" s="2">
        <f t="shared" si="407"/>
        <v>148.12437052635784</v>
      </c>
      <c r="K1030" s="2">
        <f t="shared" si="429"/>
        <v>100.97094105409532</v>
      </c>
      <c r="L1030" s="5">
        <f t="shared" si="408"/>
        <v>23.624872117923015</v>
      </c>
      <c r="M1030" s="3">
        <f t="shared" si="409"/>
        <v>14.411665185716974</v>
      </c>
      <c r="N1030" s="2">
        <v>0</v>
      </c>
      <c r="O1030" s="2">
        <f t="shared" si="410"/>
        <v>148.12437052635784</v>
      </c>
      <c r="P1030" s="2">
        <f t="shared" si="411"/>
        <v>100.97094105409532</v>
      </c>
      <c r="Q1030" s="5">
        <f t="shared" si="412"/>
        <v>1.24838799797295</v>
      </c>
      <c r="R1030" s="5">
        <f t="shared" si="413"/>
        <v>0.15278744370136704</v>
      </c>
      <c r="S1030" s="4">
        <f t="shared" si="430"/>
        <v>9.7294355645227912E-2</v>
      </c>
      <c r="T1030" s="5">
        <f t="shared" si="414"/>
        <v>9.0333026828366719E-2</v>
      </c>
      <c r="U1030" s="4">
        <f t="shared" si="415"/>
        <v>0</v>
      </c>
      <c r="V1030" s="4">
        <f t="shared" si="416"/>
        <v>0</v>
      </c>
      <c r="W1030" s="5">
        <f t="shared" si="417"/>
        <v>0</v>
      </c>
      <c r="X1030" s="5">
        <f t="shared" si="418"/>
        <v>-11.305304567131795</v>
      </c>
      <c r="Y1030" s="5">
        <f t="shared" si="419"/>
        <v>15.331887803394007</v>
      </c>
      <c r="Z1030" s="5">
        <f>1</f>
        <v>1</v>
      </c>
      <c r="AA1030" s="5">
        <f>IF(M1030=0,0,const*($T1030/omega)*O1030*(wy*I1030-wz*(H1030-V1030))/Z1030)</f>
        <v>0</v>
      </c>
      <c r="AB1030" s="5">
        <f>IF(M1030=0,0,const*($T1030/omega)*O1030*(wz*(G1030-U1030)-wx*I1030)/Z1030)</f>
        <v>9.0647228510513234</v>
      </c>
      <c r="AC1030" s="5">
        <f>IF(M1030=0,0,const*($T1030/omega)*O1030*(wx*(H1030-V1030)-wy*(G1030-U1030))/Z1030)</f>
        <v>6.6840726961939216</v>
      </c>
      <c r="AD1030" s="5">
        <f t="shared" si="432"/>
        <v>0</v>
      </c>
      <c r="AE1030" s="5">
        <f t="shared" si="432"/>
        <v>-2.240581716080472</v>
      </c>
      <c r="AF1030" s="5">
        <f t="shared" si="420"/>
        <v>-10.15803950041207</v>
      </c>
      <c r="AG1030">
        <f t="shared" si="431"/>
        <v>0</v>
      </c>
    </row>
    <row r="1031" spans="1:33" x14ac:dyDescent="0.2">
      <c r="A1031">
        <f t="shared" si="421"/>
        <v>9.9899999999998315</v>
      </c>
      <c r="B1031" s="5">
        <f t="shared" si="422"/>
        <v>0</v>
      </c>
      <c r="C1031" s="5">
        <f t="shared" si="423"/>
        <v>1266.1908427374731</v>
      </c>
      <c r="D1031" s="5">
        <f t="shared" si="424"/>
        <v>-433.59504634471386</v>
      </c>
      <c r="E1031" s="2">
        <f t="shared" si="406"/>
        <v>422.06361424582434</v>
      </c>
      <c r="F1031" s="2">
        <f t="shared" si="425"/>
        <v>0</v>
      </c>
      <c r="G1031" s="3">
        <f t="shared" si="426"/>
        <v>0</v>
      </c>
      <c r="H1031" s="3">
        <f t="shared" si="427"/>
        <v>87.885765502730621</v>
      </c>
      <c r="I1031" s="3">
        <f t="shared" si="428"/>
        <v>-119.31979443557077</v>
      </c>
      <c r="J1031" s="2">
        <f t="shared" si="407"/>
        <v>148.19285111687347</v>
      </c>
      <c r="K1031" s="2">
        <f t="shared" si="429"/>
        <v>101.01762175655996</v>
      </c>
      <c r="L1031" s="5">
        <f t="shared" si="408"/>
        <v>23.613954957066074</v>
      </c>
      <c r="M1031" s="3">
        <f t="shared" si="409"/>
        <v>14.402750318183992</v>
      </c>
      <c r="N1031" s="2">
        <v>0</v>
      </c>
      <c r="O1031" s="2">
        <f t="shared" si="410"/>
        <v>148.19285111687347</v>
      </c>
      <c r="P1031" s="2">
        <f t="shared" si="411"/>
        <v>101.01762175655996</v>
      </c>
      <c r="Q1031" s="5">
        <f t="shared" si="412"/>
        <v>1.2489651504495483</v>
      </c>
      <c r="R1031" s="5">
        <f t="shared" si="413"/>
        <v>0.15276550342168371</v>
      </c>
      <c r="S1031" s="4">
        <f t="shared" si="430"/>
        <v>9.7189238277257714E-2</v>
      </c>
      <c r="T1031" s="5">
        <f t="shared" si="414"/>
        <v>9.0293975644142058E-2</v>
      </c>
      <c r="U1031" s="4">
        <f t="shared" si="415"/>
        <v>0</v>
      </c>
      <c r="V1031" s="4">
        <f t="shared" si="416"/>
        <v>0</v>
      </c>
      <c r="W1031" s="5">
        <f t="shared" si="417"/>
        <v>0</v>
      </c>
      <c r="X1031" s="5">
        <f t="shared" si="418"/>
        <v>-11.306024636325839</v>
      </c>
      <c r="Y1031" s="5">
        <f t="shared" si="419"/>
        <v>15.349841100809245</v>
      </c>
      <c r="Z1031" s="5">
        <f>1</f>
        <v>1</v>
      </c>
      <c r="AA1031" s="5">
        <f>IF(M1031=0,0,const*($T1031/omega)*O1031*(wy*I1031-wz*(H1031-V1031))/Z1031)</f>
        <v>0</v>
      </c>
      <c r="AB1031" s="5">
        <f>IF(M1031=0,0,const*($T1031/omega)*O1031*(wz*(G1031-U1031)-wx*I1031)/Z1031)</f>
        <v>9.0727169907731309</v>
      </c>
      <c r="AC1031" s="5">
        <f>IF(M1031=0,0,const*($T1031/omega)*O1031*(wx*(H1031-V1031)-wy*(G1031-U1031))/Z1031)</f>
        <v>6.6825683173153632</v>
      </c>
      <c r="AD1031" s="5">
        <f t="shared" si="432"/>
        <v>0</v>
      </c>
      <c r="AE1031" s="5">
        <f t="shared" si="432"/>
        <v>-2.2333076455527081</v>
      </c>
      <c r="AF1031" s="5">
        <f t="shared" si="420"/>
        <v>-10.141590581875391</v>
      </c>
      <c r="AG1031">
        <f t="shared" si="431"/>
        <v>0</v>
      </c>
    </row>
    <row r="1032" spans="1:33" x14ac:dyDescent="0.2">
      <c r="A1032">
        <f t="shared" si="421"/>
        <v>9.9999999999998312</v>
      </c>
      <c r="B1032" s="5">
        <f t="shared" si="422"/>
        <v>0</v>
      </c>
      <c r="C1032" s="5">
        <f t="shared" si="423"/>
        <v>1267.0695887271181</v>
      </c>
      <c r="D1032" s="5">
        <f t="shared" si="424"/>
        <v>-434.78875136859864</v>
      </c>
      <c r="E1032" s="2">
        <f t="shared" si="406"/>
        <v>422.35652957570602</v>
      </c>
      <c r="F1032" s="2">
        <f t="shared" si="425"/>
        <v>0</v>
      </c>
      <c r="G1032" s="3">
        <f t="shared" si="426"/>
        <v>0</v>
      </c>
      <c r="H1032" s="3">
        <f t="shared" si="427"/>
        <v>87.863432426275097</v>
      </c>
      <c r="I1032" s="3">
        <f t="shared" si="428"/>
        <v>-119.42121034138952</v>
      </c>
      <c r="J1032" s="2">
        <f t="shared" si="407"/>
        <v>148.26128367557394</v>
      </c>
      <c r="K1032" s="2">
        <f t="shared" si="429"/>
        <v>101.06426971750098</v>
      </c>
      <c r="L1032" s="5">
        <f t="shared" si="408"/>
        <v>23.603055527905013</v>
      </c>
      <c r="M1032" s="3">
        <f t="shared" si="409"/>
        <v>14.393837307421734</v>
      </c>
      <c r="N1032" s="2">
        <v>0</v>
      </c>
      <c r="O1032" s="2">
        <f t="shared" si="410"/>
        <v>148.26128367557394</v>
      </c>
      <c r="P1032" s="2">
        <f t="shared" si="411"/>
        <v>101.06426971750098</v>
      </c>
      <c r="Q1032" s="5">
        <f t="shared" si="412"/>
        <v>1.2495418981153688</v>
      </c>
      <c r="R1032" s="5">
        <f t="shared" si="413"/>
        <v>0.15274359258873652</v>
      </c>
      <c r="S1032" s="4">
        <f t="shared" si="430"/>
        <v>9.7084261990597623E-2</v>
      </c>
      <c r="T1032" s="5">
        <f t="shared" si="414"/>
        <v>9.0254951572484199E-2</v>
      </c>
      <c r="U1032" s="4">
        <f t="shared" si="415"/>
        <v>0</v>
      </c>
      <c r="V1032" s="4">
        <f t="shared" si="416"/>
        <v>0</v>
      </c>
      <c r="W1032" s="5">
        <f t="shared" si="417"/>
        <v>0</v>
      </c>
      <c r="X1032" s="5">
        <f t="shared" si="418"/>
        <v>-11.306749246256008</v>
      </c>
      <c r="Y1032" s="5">
        <f t="shared" si="419"/>
        <v>15.367777501151847</v>
      </c>
      <c r="Z1032" s="5">
        <f>1</f>
        <v>1</v>
      </c>
      <c r="AA1032" s="5">
        <f>IF(M1032=0,0,const*($T1032/omega)*O1032*(wy*I1032-wz*(H1032-V1032))/Z1032)</f>
        <v>0</v>
      </c>
      <c r="AB1032" s="5">
        <f>IF(M1032=0,0,const*($T1032/omega)*O1032*(wz*(G1032-U1032)-wx*I1032)/Z1032)</f>
        <v>9.0806952398830294</v>
      </c>
      <c r="AC1032" s="5">
        <f>IF(M1032=0,0,const*($T1032/omega)*O1032*(wx*(H1032-V1032)-wy*(G1032-U1032))/Z1032)</f>
        <v>6.6810665401247764</v>
      </c>
      <c r="AD1032" s="5">
        <f t="shared" si="432"/>
        <v>0</v>
      </c>
      <c r="AE1032" s="5">
        <f t="shared" si="432"/>
        <v>-2.2260540063729781</v>
      </c>
      <c r="AF1032" s="5">
        <f t="shared" si="420"/>
        <v>-10.125155958723376</v>
      </c>
      <c r="AG1032">
        <f t="shared" si="431"/>
        <v>0</v>
      </c>
    </row>
    <row r="1033" spans="1:33" x14ac:dyDescent="0.2">
      <c r="A1033">
        <f t="shared" si="421"/>
        <v>10.009999999999831</v>
      </c>
      <c r="B1033" s="5">
        <f t="shared" si="422"/>
        <v>0</v>
      </c>
      <c r="C1033" s="5">
        <f t="shared" si="423"/>
        <v>1267.9481117486805</v>
      </c>
      <c r="D1033" s="5">
        <f t="shared" si="424"/>
        <v>-435.98346972981051</v>
      </c>
      <c r="E1033" s="2">
        <f t="shared" si="406"/>
        <v>422.64937058289348</v>
      </c>
      <c r="F1033" s="2">
        <f t="shared" si="425"/>
        <v>0</v>
      </c>
      <c r="G1033" s="3">
        <f t="shared" si="426"/>
        <v>0</v>
      </c>
      <c r="H1033" s="3">
        <f t="shared" si="427"/>
        <v>87.84117188621137</v>
      </c>
      <c r="I1033" s="3">
        <f t="shared" si="428"/>
        <v>-119.52246190097677</v>
      </c>
      <c r="J1033" s="2">
        <f t="shared" si="407"/>
        <v>148.32966789288437</v>
      </c>
      <c r="K1033" s="2">
        <f t="shared" si="429"/>
        <v>101.11088472589255</v>
      </c>
      <c r="L1033" s="5">
        <f t="shared" si="408"/>
        <v>23.592173844548345</v>
      </c>
      <c r="M1033" s="3">
        <f t="shared" si="409"/>
        <v>14.384926175471382</v>
      </c>
      <c r="N1033" s="2">
        <v>0</v>
      </c>
      <c r="O1033" s="2">
        <f t="shared" si="410"/>
        <v>148.32966789288437</v>
      </c>
      <c r="P1033" s="2">
        <f t="shared" si="411"/>
        <v>101.11088472589255</v>
      </c>
      <c r="Q1033" s="5">
        <f t="shared" si="412"/>
        <v>1.2501182383613239</v>
      </c>
      <c r="R1033" s="5">
        <f t="shared" si="413"/>
        <v>0.15272171121374514</v>
      </c>
      <c r="S1033" s="4">
        <f t="shared" si="430"/>
        <v>9.6979426839001584E-2</v>
      </c>
      <c r="T1033" s="5">
        <f t="shared" si="414"/>
        <v>9.0215954691662353E-2</v>
      </c>
      <c r="U1033" s="4">
        <f t="shared" si="415"/>
        <v>0</v>
      </c>
      <c r="V1033" s="4">
        <f t="shared" si="416"/>
        <v>0</v>
      </c>
      <c r="W1033" s="5">
        <f t="shared" si="417"/>
        <v>0</v>
      </c>
      <c r="X1033" s="5">
        <f t="shared" si="418"/>
        <v>-11.307478363656841</v>
      </c>
      <c r="Y1033" s="5">
        <f t="shared" si="419"/>
        <v>15.385696967556527</v>
      </c>
      <c r="Z1033" s="5">
        <f>1</f>
        <v>1</v>
      </c>
      <c r="AA1033" s="5">
        <f>IF(M1033=0,0,const*($T1033/omega)*O1033*(wy*I1033-wz*(H1033-V1033))/Z1033)</f>
        <v>0</v>
      </c>
      <c r="AB1033" s="5">
        <f>IF(M1033=0,0,const*($T1033/omega)*O1033*(wz*(G1033-U1033)-wx*I1033)/Z1033)</f>
        <v>9.0886575948724797</v>
      </c>
      <c r="AC1033" s="5">
        <f>IF(M1033=0,0,const*($T1033/omega)*O1033*(wx*(H1033-V1033)-wy*(G1033-U1033))/Z1033)</f>
        <v>6.6795673491694494</v>
      </c>
      <c r="AD1033" s="5">
        <f t="shared" si="432"/>
        <v>0</v>
      </c>
      <c r="AE1033" s="5">
        <f t="shared" si="432"/>
        <v>-2.2188207687843615</v>
      </c>
      <c r="AF1033" s="5">
        <f t="shared" si="420"/>
        <v>-10.108735683274023</v>
      </c>
      <c r="AG1033">
        <f t="shared" si="431"/>
        <v>0</v>
      </c>
    </row>
    <row r="1034" spans="1:33" x14ac:dyDescent="0.2">
      <c r="A1034">
        <f t="shared" si="421"/>
        <v>10.019999999999831</v>
      </c>
      <c r="B1034" s="5">
        <f t="shared" si="422"/>
        <v>0</v>
      </c>
      <c r="C1034" s="5">
        <f t="shared" si="423"/>
        <v>1268.8264125265041</v>
      </c>
      <c r="D1034" s="5">
        <f t="shared" si="424"/>
        <v>-437.17919978560445</v>
      </c>
      <c r="E1034" s="2">
        <f t="shared" si="406"/>
        <v>422.94213750883472</v>
      </c>
      <c r="F1034" s="2">
        <f t="shared" si="425"/>
        <v>0</v>
      </c>
      <c r="G1034" s="3">
        <f t="shared" si="426"/>
        <v>0</v>
      </c>
      <c r="H1034" s="3">
        <f t="shared" si="427"/>
        <v>87.818983678523523</v>
      </c>
      <c r="I1034" s="3">
        <f t="shared" si="428"/>
        <v>-119.6235492578095</v>
      </c>
      <c r="J1034" s="2">
        <f t="shared" si="407"/>
        <v>148.39800346151682</v>
      </c>
      <c r="K1034" s="2">
        <f t="shared" si="429"/>
        <v>101.15746657226777</v>
      </c>
      <c r="L1034" s="5">
        <f t="shared" si="408"/>
        <v>23.581309920658956</v>
      </c>
      <c r="M1034" s="3">
        <f t="shared" si="409"/>
        <v>14.376016944281112</v>
      </c>
      <c r="N1034" s="2">
        <v>0</v>
      </c>
      <c r="O1034" s="2">
        <f t="shared" si="410"/>
        <v>148.39800346151682</v>
      </c>
      <c r="P1034" s="2">
        <f t="shared" si="411"/>
        <v>101.15746657226777</v>
      </c>
      <c r="Q1034" s="5">
        <f t="shared" si="412"/>
        <v>1.2506941685975994</v>
      </c>
      <c r="R1034" s="5">
        <f t="shared" si="413"/>
        <v>0.15269985930734092</v>
      </c>
      <c r="S1034" s="4">
        <f t="shared" si="430"/>
        <v>9.687473287340527E-2</v>
      </c>
      <c r="T1034" s="5">
        <f t="shared" si="414"/>
        <v>9.0176985079041039E-2</v>
      </c>
      <c r="U1034" s="4">
        <f t="shared" si="415"/>
        <v>0</v>
      </c>
      <c r="V1034" s="4">
        <f t="shared" si="416"/>
        <v>0</v>
      </c>
      <c r="W1034" s="5">
        <f t="shared" si="417"/>
        <v>0</v>
      </c>
      <c r="X1034" s="5">
        <f t="shared" si="418"/>
        <v>-11.308211955412814</v>
      </c>
      <c r="Y1034" s="5">
        <f t="shared" si="419"/>
        <v>15.403599463391309</v>
      </c>
      <c r="Z1034" s="5">
        <f>1</f>
        <v>1</v>
      </c>
      <c r="AA1034" s="5">
        <f>IF(M1034=0,0,const*($T1034/omega)*O1034*(wy*I1034-wz*(H1034-V1034))/Z1034)</f>
        <v>0</v>
      </c>
      <c r="AB1034" s="5">
        <f>IF(M1034=0,0,const*($T1034/omega)*O1034*(wz*(G1034-U1034)-wx*I1034)/Z1034)</f>
        <v>9.0966040523849063</v>
      </c>
      <c r="AC1034" s="5">
        <f>IF(M1034=0,0,const*($T1034/omega)*O1034*(wx*(H1034-V1034)-wy*(G1034-U1034))/Z1034)</f>
        <v>6.6780707290728429</v>
      </c>
      <c r="AD1034" s="5">
        <f t="shared" si="432"/>
        <v>0</v>
      </c>
      <c r="AE1034" s="5">
        <f t="shared" si="432"/>
        <v>-2.2116079030279074</v>
      </c>
      <c r="AF1034" s="5">
        <f t="shared" si="420"/>
        <v>-10.092329807535847</v>
      </c>
      <c r="AG1034">
        <f t="shared" si="431"/>
        <v>0</v>
      </c>
    </row>
    <row r="1035" spans="1:33" x14ac:dyDescent="0.2">
      <c r="A1035">
        <f t="shared" si="421"/>
        <v>10.029999999999831</v>
      </c>
      <c r="B1035" s="5">
        <f t="shared" si="422"/>
        <v>0</v>
      </c>
      <c r="C1035" s="5">
        <f t="shared" si="423"/>
        <v>1269.7044917828941</v>
      </c>
      <c r="D1035" s="5">
        <f t="shared" si="424"/>
        <v>-438.37593989467291</v>
      </c>
      <c r="E1035" s="2">
        <f t="shared" si="406"/>
        <v>423.23483059429805</v>
      </c>
      <c r="F1035" s="2">
        <f t="shared" si="425"/>
        <v>0</v>
      </c>
      <c r="G1035" s="3">
        <f t="shared" si="426"/>
        <v>0</v>
      </c>
      <c r="H1035" s="3">
        <f t="shared" si="427"/>
        <v>87.79686759949324</v>
      </c>
      <c r="I1035" s="3">
        <f t="shared" si="428"/>
        <v>-119.72447255588486</v>
      </c>
      <c r="J1035" s="2">
        <f t="shared" si="407"/>
        <v>148.46629007646069</v>
      </c>
      <c r="K1035" s="2">
        <f t="shared" si="429"/>
        <v>101.20401504871212</v>
      </c>
      <c r="L1035" s="5">
        <f t="shared" si="408"/>
        <v>23.570463769457938</v>
      </c>
      <c r="M1035" s="3">
        <f t="shared" si="409"/>
        <v>14.367109635706171</v>
      </c>
      <c r="N1035" s="2">
        <v>0</v>
      </c>
      <c r="O1035" s="2">
        <f t="shared" si="410"/>
        <v>148.46629007646069</v>
      </c>
      <c r="P1035" s="2">
        <f t="shared" si="411"/>
        <v>101.20401504871212</v>
      </c>
      <c r="Q1035" s="5">
        <f t="shared" si="412"/>
        <v>1.2512696862535748</v>
      </c>
      <c r="R1035" s="5">
        <f t="shared" si="413"/>
        <v>0.15267803687957213</v>
      </c>
      <c r="S1035" s="4">
        <f t="shared" si="430"/>
        <v>9.6770180141950449E-2</v>
      </c>
      <c r="T1035" s="5">
        <f t="shared" si="414"/>
        <v>9.0138042811085728E-2</v>
      </c>
      <c r="U1035" s="4">
        <f t="shared" si="415"/>
        <v>0</v>
      </c>
      <c r="V1035" s="4">
        <f t="shared" si="416"/>
        <v>0</v>
      </c>
      <c r="W1035" s="5">
        <f t="shared" si="417"/>
        <v>0</v>
      </c>
      <c r="X1035" s="5">
        <f t="shared" si="418"/>
        <v>-11.308949988557558</v>
      </c>
      <c r="Y1035" s="5">
        <f t="shared" si="419"/>
        <v>15.421484952257554</v>
      </c>
      <c r="Z1035" s="5">
        <f>1</f>
        <v>1</v>
      </c>
      <c r="AA1035" s="5">
        <f>IF(M1035=0,0,const*($T1035/omega)*O1035*(wy*I1035-wz*(H1035-V1035))/Z1035)</f>
        <v>0</v>
      </c>
      <c r="AB1035" s="5">
        <f>IF(M1035=0,0,const*($T1035/omega)*O1035*(wz*(G1035-U1035)-wx*I1035)/Z1035)</f>
        <v>9.1045346092152446</v>
      </c>
      <c r="AC1035" s="5">
        <f>IF(M1035=0,0,const*($T1035/omega)*O1035*(wx*(H1035-V1035)-wy*(G1035-U1035))/Z1035)</f>
        <v>6.676576664534104</v>
      </c>
      <c r="AD1035" s="5">
        <f t="shared" si="432"/>
        <v>0</v>
      </c>
      <c r="AE1035" s="5">
        <f t="shared" si="432"/>
        <v>-2.2044153793423131</v>
      </c>
      <c r="AF1035" s="5">
        <f t="shared" si="420"/>
        <v>-10.075938383208342</v>
      </c>
      <c r="AG1035">
        <f t="shared" si="431"/>
        <v>0</v>
      </c>
    </row>
    <row r="1036" spans="1:33" x14ac:dyDescent="0.2">
      <c r="A1036">
        <f t="shared" si="421"/>
        <v>10.03999999999983</v>
      </c>
      <c r="B1036" s="5">
        <f t="shared" si="422"/>
        <v>0</v>
      </c>
      <c r="C1036" s="5">
        <f t="shared" si="423"/>
        <v>1270.5823502381202</v>
      </c>
      <c r="D1036" s="5">
        <f t="shared" si="424"/>
        <v>-439.57368841715089</v>
      </c>
      <c r="E1036" s="2">
        <f t="shared" si="406"/>
        <v>423.52745007937341</v>
      </c>
      <c r="F1036" s="2">
        <f t="shared" si="425"/>
        <v>0</v>
      </c>
      <c r="G1036" s="3">
        <f t="shared" si="426"/>
        <v>0</v>
      </c>
      <c r="H1036" s="3">
        <f t="shared" si="427"/>
        <v>87.774823445699823</v>
      </c>
      <c r="I1036" s="3">
        <f t="shared" si="428"/>
        <v>-119.82523193971694</v>
      </c>
      <c r="J1036" s="2">
        <f t="shared" si="407"/>
        <v>148.53452743497297</v>
      </c>
      <c r="K1036" s="2">
        <f t="shared" si="429"/>
        <v>101.25052994885682</v>
      </c>
      <c r="L1036" s="5">
        <f t="shared" si="408"/>
        <v>23.55963540372835</v>
      </c>
      <c r="M1036" s="3">
        <f t="shared" si="409"/>
        <v>14.358204271508974</v>
      </c>
      <c r="N1036" s="2">
        <v>0</v>
      </c>
      <c r="O1036" s="2">
        <f t="shared" si="410"/>
        <v>148.53452743497297</v>
      </c>
      <c r="P1036" s="2">
        <f t="shared" si="411"/>
        <v>101.25052994885682</v>
      </c>
      <c r="Q1036" s="5">
        <f t="shared" si="412"/>
        <v>1.2518447887777397</v>
      </c>
      <c r="R1036" s="5">
        <f t="shared" si="413"/>
        <v>0.15265624393990893</v>
      </c>
      <c r="S1036" s="4">
        <f t="shared" si="430"/>
        <v>9.6665768690009549E-2</v>
      </c>
      <c r="T1036" s="5">
        <f t="shared" si="414"/>
        <v>9.009912796336865E-2</v>
      </c>
      <c r="U1036" s="4">
        <f t="shared" si="415"/>
        <v>0</v>
      </c>
      <c r="V1036" s="4">
        <f t="shared" si="416"/>
        <v>0</v>
      </c>
      <c r="W1036" s="5">
        <f t="shared" si="417"/>
        <v>0</v>
      </c>
      <c r="X1036" s="5">
        <f t="shared" si="418"/>
        <v>-11.309692430273005</v>
      </c>
      <c r="Y1036" s="5">
        <f t="shared" si="419"/>
        <v>15.439353397989841</v>
      </c>
      <c r="Z1036" s="5">
        <f>1</f>
        <v>1</v>
      </c>
      <c r="AA1036" s="5">
        <f>IF(M1036=0,0,const*($T1036/omega)*O1036*(wy*I1036-wz*(H1036-V1036))/Z1036)</f>
        <v>0</v>
      </c>
      <c r="AB1036" s="5">
        <f>IF(M1036=0,0,const*($T1036/omega)*O1036*(wz*(G1036-U1036)-wx*I1036)/Z1036)</f>
        <v>9.1124492623094682</v>
      </c>
      <c r="AC1036" s="5">
        <f>IF(M1036=0,0,const*($T1036/omega)*O1036*(wx*(H1036-V1036)-wy*(G1036-U1036))/Z1036)</f>
        <v>6.675085140327587</v>
      </c>
      <c r="AD1036" s="5">
        <f t="shared" si="432"/>
        <v>0</v>
      </c>
      <c r="AE1036" s="5">
        <f t="shared" si="432"/>
        <v>-2.1972431679635367</v>
      </c>
      <c r="AF1036" s="5">
        <f t="shared" si="420"/>
        <v>-10.05956146168257</v>
      </c>
      <c r="AG1036">
        <f t="shared" si="431"/>
        <v>0</v>
      </c>
    </row>
    <row r="1037" spans="1:33" x14ac:dyDescent="0.2">
      <c r="A1037">
        <f t="shared" si="421"/>
        <v>10.04999999999983</v>
      </c>
      <c r="B1037" s="5">
        <f t="shared" si="422"/>
        <v>0</v>
      </c>
      <c r="C1037" s="5">
        <f t="shared" si="423"/>
        <v>1271.4599886104188</v>
      </c>
      <c r="D1037" s="5">
        <f t="shared" si="424"/>
        <v>-440.77244371462115</v>
      </c>
      <c r="E1037" s="2">
        <f t="shared" si="406"/>
        <v>423.81999620347295</v>
      </c>
      <c r="F1037" s="2">
        <f t="shared" si="425"/>
        <v>0</v>
      </c>
      <c r="G1037" s="3">
        <f t="shared" si="426"/>
        <v>0</v>
      </c>
      <c r="H1037" s="3">
        <f t="shared" si="427"/>
        <v>87.752851014020194</v>
      </c>
      <c r="I1037" s="3">
        <f t="shared" si="428"/>
        <v>-119.92582755433376</v>
      </c>
      <c r="J1037" s="2">
        <f t="shared" si="407"/>
        <v>148.60271523656834</v>
      </c>
      <c r="K1037" s="2">
        <f t="shared" si="429"/>
        <v>101.29701106787208</v>
      </c>
      <c r="L1037" s="5">
        <f t="shared" si="408"/>
        <v>23.548824835819062</v>
      </c>
      <c r="M1037" s="3">
        <f t="shared" si="409"/>
        <v>14.349300873359205</v>
      </c>
      <c r="N1037" s="2">
        <v>0</v>
      </c>
      <c r="O1037" s="2">
        <f t="shared" si="410"/>
        <v>148.60271523656834</v>
      </c>
      <c r="P1037" s="2">
        <f t="shared" si="411"/>
        <v>101.29701106787208</v>
      </c>
      <c r="Q1037" s="5">
        <f t="shared" si="412"/>
        <v>1.2524194736376137</v>
      </c>
      <c r="R1037" s="5">
        <f t="shared" si="413"/>
        <v>0.15263448049724865</v>
      </c>
      <c r="S1037" s="4">
        <f t="shared" si="430"/>
        <v>9.6561498560210096E-2</v>
      </c>
      <c r="T1037" s="5">
        <f t="shared" si="414"/>
        <v>9.0060240610574688E-2</v>
      </c>
      <c r="U1037" s="4">
        <f t="shared" si="415"/>
        <v>0</v>
      </c>
      <c r="V1037" s="4">
        <f t="shared" si="416"/>
        <v>0</v>
      </c>
      <c r="W1037" s="5">
        <f t="shared" si="417"/>
        <v>0</v>
      </c>
      <c r="X1037" s="5">
        <f t="shared" si="418"/>
        <v>-11.310439247888578</v>
      </c>
      <c r="Y1037" s="5">
        <f t="shared" si="419"/>
        <v>15.45720476465592</v>
      </c>
      <c r="Z1037" s="5">
        <f>1</f>
        <v>1</v>
      </c>
      <c r="AA1037" s="5">
        <f>IF(M1037=0,0,const*($T1037/omega)*O1037*(wy*I1037-wz*(H1037-V1037))/Z1037)</f>
        <v>0</v>
      </c>
      <c r="AB1037" s="5">
        <f>IF(M1037=0,0,const*($T1037/omega)*O1037*(wz*(G1037-U1037)-wx*I1037)/Z1037)</f>
        <v>9.1203480087641609</v>
      </c>
      <c r="AC1037" s="5">
        <f>IF(M1037=0,0,const*($T1037/omega)*O1037*(wx*(H1037-V1037)-wy*(G1037-U1037))/Z1037)</f>
        <v>6.6735961413023848</v>
      </c>
      <c r="AD1037" s="5">
        <f t="shared" si="432"/>
        <v>0</v>
      </c>
      <c r="AE1037" s="5">
        <f t="shared" si="432"/>
        <v>-2.1900912391244169</v>
      </c>
      <c r="AF1037" s="5">
        <f t="shared" si="420"/>
        <v>-10.043199094041697</v>
      </c>
      <c r="AG1037">
        <f t="shared" si="431"/>
        <v>0</v>
      </c>
    </row>
    <row r="1038" spans="1:33" x14ac:dyDescent="0.2">
      <c r="A1038">
        <f t="shared" si="421"/>
        <v>10.05999999999983</v>
      </c>
      <c r="B1038" s="5">
        <f t="shared" si="422"/>
        <v>0</v>
      </c>
      <c r="C1038" s="5">
        <f t="shared" si="423"/>
        <v>1272.3374076159969</v>
      </c>
      <c r="D1038" s="5">
        <f t="shared" si="424"/>
        <v>-441.97220415011918</v>
      </c>
      <c r="E1038" s="2">
        <f t="shared" si="406"/>
        <v>424.11246920533227</v>
      </c>
      <c r="F1038" s="2">
        <f t="shared" si="425"/>
        <v>0</v>
      </c>
      <c r="G1038" s="3">
        <f t="shared" si="426"/>
        <v>0</v>
      </c>
      <c r="H1038" s="3">
        <f t="shared" si="427"/>
        <v>87.730950101628949</v>
      </c>
      <c r="I1038" s="3">
        <f t="shared" si="428"/>
        <v>-120.02625954527419</v>
      </c>
      <c r="J1038" s="2">
        <f t="shared" si="407"/>
        <v>148.67085318300971</v>
      </c>
      <c r="K1038" s="2">
        <f t="shared" si="429"/>
        <v>101.3434582024606</v>
      </c>
      <c r="L1038" s="5">
        <f t="shared" si="408"/>
        <v>23.53803207764847</v>
      </c>
      <c r="M1038" s="3">
        <f t="shared" si="409"/>
        <v>14.340399462833906</v>
      </c>
      <c r="N1038" s="2">
        <v>0</v>
      </c>
      <c r="O1038" s="2">
        <f t="shared" si="410"/>
        <v>148.67085318300971</v>
      </c>
      <c r="P1038" s="2">
        <f t="shared" si="411"/>
        <v>101.3434582024606</v>
      </c>
      <c r="Q1038" s="5">
        <f t="shared" si="412"/>
        <v>1.2529937383196621</v>
      </c>
      <c r="R1038" s="5">
        <f t="shared" si="413"/>
        <v>0.15261274655992066</v>
      </c>
      <c r="S1038" s="4">
        <f t="shared" si="430"/>
        <v>9.6457369792458725E-2</v>
      </c>
      <c r="T1038" s="5">
        <f t="shared" si="414"/>
        <v>9.0021380826506917E-2</v>
      </c>
      <c r="U1038" s="4">
        <f t="shared" si="415"/>
        <v>0</v>
      </c>
      <c r="V1038" s="4">
        <f t="shared" si="416"/>
        <v>0</v>
      </c>
      <c r="W1038" s="5">
        <f t="shared" si="417"/>
        <v>0</v>
      </c>
      <c r="X1038" s="5">
        <f t="shared" si="418"/>
        <v>-11.311190408880371</v>
      </c>
      <c r="Y1038" s="5">
        <f t="shared" si="419"/>
        <v>15.475039016556638</v>
      </c>
      <c r="Z1038" s="5">
        <f>1</f>
        <v>1</v>
      </c>
      <c r="AA1038" s="5">
        <f>IF(M1038=0,0,const*($T1038/omega)*O1038*(wy*I1038-wz*(H1038-V1038))/Z1038)</f>
        <v>0</v>
      </c>
      <c r="AB1038" s="5">
        <f>IF(M1038=0,0,const*($T1038/omega)*O1038*(wz*(G1038-U1038)-wx*I1038)/Z1038)</f>
        <v>9.1282308458260317</v>
      </c>
      <c r="AC1038" s="5">
        <f>IF(M1038=0,0,const*($T1038/omega)*O1038*(wx*(H1038-V1038)-wy*(G1038-U1038))/Z1038)</f>
        <v>6.672109652381855</v>
      </c>
      <c r="AD1038" s="5">
        <f t="shared" si="432"/>
        <v>0</v>
      </c>
      <c r="AE1038" s="5">
        <f t="shared" si="432"/>
        <v>-2.1829595630543395</v>
      </c>
      <c r="AF1038" s="5">
        <f t="shared" si="420"/>
        <v>-10.026851331061508</v>
      </c>
      <c r="AG1038">
        <f t="shared" si="431"/>
        <v>0</v>
      </c>
    </row>
    <row r="1039" spans="1:33" x14ac:dyDescent="0.2">
      <c r="A1039">
        <f t="shared" si="421"/>
        <v>10.06999999999983</v>
      </c>
      <c r="B1039" s="5">
        <f t="shared" si="422"/>
        <v>0</v>
      </c>
      <c r="C1039" s="5">
        <f t="shared" si="423"/>
        <v>1273.2146079690349</v>
      </c>
      <c r="D1039" s="5">
        <f t="shared" si="424"/>
        <v>-443.17296808813848</v>
      </c>
      <c r="E1039" s="2">
        <f t="shared" si="406"/>
        <v>424.40486932301161</v>
      </c>
      <c r="F1039" s="2">
        <f t="shared" si="425"/>
        <v>0</v>
      </c>
      <c r="G1039" s="3">
        <f t="shared" si="426"/>
        <v>0</v>
      </c>
      <c r="H1039" s="3">
        <f t="shared" si="427"/>
        <v>87.709120505998399</v>
      </c>
      <c r="I1039" s="3">
        <f t="shared" si="428"/>
        <v>-120.1265280585848</v>
      </c>
      <c r="J1039" s="2">
        <f t="shared" si="407"/>
        <v>148.7389409782983</v>
      </c>
      <c r="K1039" s="2">
        <f t="shared" si="429"/>
        <v>101.38987115085092</v>
      </c>
      <c r="L1039" s="5">
        <f t="shared" si="408"/>
        <v>23.527257140708233</v>
      </c>
      <c r="M1039" s="3">
        <f t="shared" si="409"/>
        <v>14.331500061417572</v>
      </c>
      <c r="N1039" s="2">
        <v>0</v>
      </c>
      <c r="O1039" s="2">
        <f t="shared" si="410"/>
        <v>148.7389409782983</v>
      </c>
      <c r="P1039" s="2">
        <f t="shared" si="411"/>
        <v>101.38987115085092</v>
      </c>
      <c r="Q1039" s="5">
        <f t="shared" si="412"/>
        <v>1.2535675803292157</v>
      </c>
      <c r="R1039" s="5">
        <f t="shared" si="413"/>
        <v>0.15259104213569144</v>
      </c>
      <c r="S1039" s="4">
        <f t="shared" si="430"/>
        <v>9.6353382423965239E-2</v>
      </c>
      <c r="T1039" s="5">
        <f t="shared" si="414"/>
        <v>8.9982548684092473E-2</v>
      </c>
      <c r="U1039" s="4">
        <f t="shared" si="415"/>
        <v>0</v>
      </c>
      <c r="V1039" s="4">
        <f t="shared" si="416"/>
        <v>0</v>
      </c>
      <c r="W1039" s="5">
        <f t="shared" si="417"/>
        <v>0</v>
      </c>
      <c r="X1039" s="5">
        <f t="shared" si="418"/>
        <v>-11.311945880870345</v>
      </c>
      <c r="Y1039" s="5">
        <f t="shared" si="419"/>
        <v>15.492856118225834</v>
      </c>
      <c r="Z1039" s="5">
        <f>1</f>
        <v>1</v>
      </c>
      <c r="AA1039" s="5">
        <f>IF(M1039=0,0,const*($T1039/omega)*O1039*(wy*I1039-wz*(H1039-V1039))/Z1039)</f>
        <v>0</v>
      </c>
      <c r="AB1039" s="5">
        <f>IF(M1039=0,0,const*($T1039/omega)*O1039*(wz*(G1039-U1039)-wx*I1039)/Z1039)</f>
        <v>9.1360977708914639</v>
      </c>
      <c r="AC1039" s="5">
        <f>IF(M1039=0,0,const*($T1039/omega)*O1039*(wx*(H1039-V1039)-wy*(G1039-U1039))/Z1039)</f>
        <v>6.6706256585631563</v>
      </c>
      <c r="AD1039" s="5">
        <f t="shared" si="432"/>
        <v>0</v>
      </c>
      <c r="AE1039" s="5">
        <f t="shared" si="432"/>
        <v>-2.1758481099788813</v>
      </c>
      <c r="AF1039" s="5">
        <f t="shared" si="420"/>
        <v>-10.010518223211008</v>
      </c>
      <c r="AG1039">
        <f t="shared" si="431"/>
        <v>0</v>
      </c>
    </row>
    <row r="1040" spans="1:33" x14ac:dyDescent="0.2">
      <c r="A1040">
        <f t="shared" si="421"/>
        <v>10.07999999999983</v>
      </c>
      <c r="B1040" s="5">
        <f t="shared" si="422"/>
        <v>0</v>
      </c>
      <c r="C1040" s="5">
        <f t="shared" si="423"/>
        <v>1274.0915903816895</v>
      </c>
      <c r="D1040" s="5">
        <f t="shared" si="424"/>
        <v>-444.37473389463548</v>
      </c>
      <c r="E1040" s="2">
        <f t="shared" si="406"/>
        <v>424.69719679389647</v>
      </c>
      <c r="F1040" s="2">
        <f t="shared" si="425"/>
        <v>0</v>
      </c>
      <c r="G1040" s="3">
        <f t="shared" si="426"/>
        <v>0</v>
      </c>
      <c r="H1040" s="3">
        <f t="shared" si="427"/>
        <v>87.687362024898604</v>
      </c>
      <c r="I1040" s="3">
        <f t="shared" si="428"/>
        <v>-120.22663324081691</v>
      </c>
      <c r="J1040" s="2">
        <f t="shared" si="407"/>
        <v>148.80697832866417</v>
      </c>
      <c r="K1040" s="2">
        <f t="shared" si="429"/>
        <v>101.43624971279084</v>
      </c>
      <c r="L1040" s="5">
        <f t="shared" si="408"/>
        <v>23.516500036066979</v>
      </c>
      <c r="M1040" s="3">
        <f t="shared" si="409"/>
        <v>14.32260269050226</v>
      </c>
      <c r="N1040" s="2">
        <v>0</v>
      </c>
      <c r="O1040" s="2">
        <f t="shared" si="410"/>
        <v>148.80697832866417</v>
      </c>
      <c r="P1040" s="2">
        <f t="shared" si="411"/>
        <v>101.43624971279084</v>
      </c>
      <c r="Q1040" s="5">
        <f t="shared" si="412"/>
        <v>1.2541409971903899</v>
      </c>
      <c r="R1040" s="5">
        <f t="shared" si="413"/>
        <v>0.15256936723176964</v>
      </c>
      <c r="S1040" s="4">
        <f t="shared" si="430"/>
        <v>9.6249536489266554E-2</v>
      </c>
      <c r="T1040" s="5">
        <f t="shared" si="414"/>
        <v>8.9943744255388106E-2</v>
      </c>
      <c r="U1040" s="4">
        <f t="shared" si="415"/>
        <v>0</v>
      </c>
      <c r="V1040" s="4">
        <f t="shared" si="416"/>
        <v>0</v>
      </c>
      <c r="W1040" s="5">
        <f t="shared" si="417"/>
        <v>0</v>
      </c>
      <c r="X1040" s="5">
        <f t="shared" si="418"/>
        <v>-11.312705631625528</v>
      </c>
      <c r="Y1040" s="5">
        <f t="shared" si="419"/>
        <v>15.510656034430282</v>
      </c>
      <c r="Z1040" s="5">
        <f>1</f>
        <v>1</v>
      </c>
      <c r="AA1040" s="5">
        <f>IF(M1040=0,0,const*($T1040/omega)*O1040*(wy*I1040-wz*(H1040-V1040))/Z1040)</f>
        <v>0</v>
      </c>
      <c r="AB1040" s="5">
        <f>IF(M1040=0,0,const*($T1040/omega)*O1040*(wz*(G1040-U1040)-wx*I1040)/Z1040)</f>
        <v>9.1439487815060527</v>
      </c>
      <c r="AC1040" s="5">
        <f>IF(M1040=0,0,const*($T1040/omega)*O1040*(wx*(H1040-V1040)-wy*(G1040-U1040))/Z1040)</f>
        <v>6.6691441449167845</v>
      </c>
      <c r="AD1040" s="5">
        <f t="shared" si="432"/>
        <v>0</v>
      </c>
      <c r="AE1040" s="5">
        <f t="shared" si="432"/>
        <v>-2.1687568501194754</v>
      </c>
      <c r="AF1040" s="5">
        <f t="shared" si="420"/>
        <v>-9.9941998206529341</v>
      </c>
      <c r="AG1040">
        <f t="shared" si="431"/>
        <v>0</v>
      </c>
    </row>
    <row r="1041" spans="1:33" x14ac:dyDescent="0.2">
      <c r="A1041">
        <f t="shared" si="421"/>
        <v>10.089999999999829</v>
      </c>
      <c r="B1041" s="5">
        <f t="shared" si="422"/>
        <v>0</v>
      </c>
      <c r="C1041" s="5">
        <f t="shared" si="423"/>
        <v>1274.9683555640959</v>
      </c>
      <c r="D1041" s="5">
        <f t="shared" si="424"/>
        <v>-445.57749993703464</v>
      </c>
      <c r="E1041" s="2">
        <f t="shared" si="406"/>
        <v>424.98945185469864</v>
      </c>
      <c r="F1041" s="2">
        <f t="shared" si="425"/>
        <v>0</v>
      </c>
      <c r="G1041" s="3">
        <f t="shared" si="426"/>
        <v>0</v>
      </c>
      <c r="H1041" s="3">
        <f t="shared" si="427"/>
        <v>87.665674456397412</v>
      </c>
      <c r="I1041" s="3">
        <f t="shared" si="428"/>
        <v>-120.32657523902344</v>
      </c>
      <c r="J1041" s="2">
        <f t="shared" si="407"/>
        <v>148.87496494255646</v>
      </c>
      <c r="K1041" s="2">
        <f t="shared" si="429"/>
        <v>101.48259368954086</v>
      </c>
      <c r="L1041" s="5">
        <f t="shared" si="408"/>
        <v>23.505760774374004</v>
      </c>
      <c r="M1041" s="3">
        <f t="shared" si="409"/>
        <v>14.313707371387681</v>
      </c>
      <c r="N1041" s="2">
        <v>0</v>
      </c>
      <c r="O1041" s="2">
        <f t="shared" si="410"/>
        <v>148.87496494255646</v>
      </c>
      <c r="P1041" s="2">
        <f t="shared" si="411"/>
        <v>101.48259368954086</v>
      </c>
      <c r="Q1041" s="5">
        <f t="shared" si="412"/>
        <v>1.2547139864460024</v>
      </c>
      <c r="R1041" s="5">
        <f t="shared" si="413"/>
        <v>0.15254772185481083</v>
      </c>
      <c r="S1041" s="4">
        <f t="shared" si="430"/>
        <v>9.614583202025026E-2</v>
      </c>
      <c r="T1041" s="5">
        <f t="shared" si="414"/>
        <v>8.9904967611585881E-2</v>
      </c>
      <c r="U1041" s="4">
        <f t="shared" si="415"/>
        <v>0</v>
      </c>
      <c r="V1041" s="4">
        <f t="shared" si="416"/>
        <v>0</v>
      </c>
      <c r="W1041" s="5">
        <f t="shared" si="417"/>
        <v>0</v>
      </c>
      <c r="X1041" s="5">
        <f t="shared" si="418"/>
        <v>-11.313469629057202</v>
      </c>
      <c r="Y1041" s="5">
        <f t="shared" si="419"/>
        <v>15.528438730169563</v>
      </c>
      <c r="Z1041" s="5">
        <f>1</f>
        <v>1</v>
      </c>
      <c r="AA1041" s="5">
        <f>IF(M1041=0,0,const*($T1041/omega)*O1041*(wy*I1041-wz*(H1041-V1041))/Z1041)</f>
        <v>0</v>
      </c>
      <c r="AB1041" s="5">
        <f>IF(M1041=0,0,const*($T1041/omega)*O1041*(wz*(G1041-U1041)-wx*I1041)/Z1041)</f>
        <v>9.1517838753641296</v>
      </c>
      <c r="AC1041" s="5">
        <f>IF(M1041=0,0,const*($T1041/omega)*O1041*(wx*(H1041-V1041)-wy*(G1041-U1041))/Z1041)</f>
        <v>6.6676650965861093</v>
      </c>
      <c r="AD1041" s="5">
        <f t="shared" si="432"/>
        <v>0</v>
      </c>
      <c r="AE1041" s="5">
        <f t="shared" si="432"/>
        <v>-2.1616857536930727</v>
      </c>
      <c r="AF1041" s="5">
        <f t="shared" si="420"/>
        <v>-9.977896173244325</v>
      </c>
      <c r="AG1041">
        <f t="shared" si="431"/>
        <v>0</v>
      </c>
    </row>
    <row r="1042" spans="1:33" x14ac:dyDescent="0.2">
      <c r="A1042">
        <f t="shared" si="421"/>
        <v>10.099999999999829</v>
      </c>
      <c r="B1042" s="5">
        <f t="shared" si="422"/>
        <v>0</v>
      </c>
      <c r="C1042" s="5">
        <f t="shared" si="423"/>
        <v>1275.8449042243722</v>
      </c>
      <c r="D1042" s="5">
        <f t="shared" si="424"/>
        <v>-446.78126458423355</v>
      </c>
      <c r="E1042" s="2">
        <f t="shared" si="406"/>
        <v>425.28163474145737</v>
      </c>
      <c r="F1042" s="2">
        <f t="shared" si="425"/>
        <v>0</v>
      </c>
      <c r="G1042" s="3">
        <f t="shared" si="426"/>
        <v>0</v>
      </c>
      <c r="H1042" s="3">
        <f t="shared" si="427"/>
        <v>87.644057598860485</v>
      </c>
      <c r="I1042" s="3">
        <f t="shared" si="428"/>
        <v>-120.42635420075588</v>
      </c>
      <c r="J1042" s="2">
        <f t="shared" si="407"/>
        <v>148.94290053063384</v>
      </c>
      <c r="K1042" s="2">
        <f t="shared" si="429"/>
        <v>101.52890288386764</v>
      </c>
      <c r="L1042" s="5">
        <f t="shared" si="408"/>
        <v>23.49503936586293</v>
      </c>
      <c r="M1042" s="3">
        <f t="shared" si="409"/>
        <v>14.304814125281315</v>
      </c>
      <c r="N1042" s="2">
        <v>0</v>
      </c>
      <c r="O1042" s="2">
        <f t="shared" si="410"/>
        <v>148.94290053063384</v>
      </c>
      <c r="P1042" s="2">
        <f t="shared" si="411"/>
        <v>101.52890288386764</v>
      </c>
      <c r="Q1042" s="5">
        <f t="shared" si="412"/>
        <v>1.2552865456574924</v>
      </c>
      <c r="R1042" s="5">
        <f t="shared" si="413"/>
        <v>0.1525261060109227</v>
      </c>
      <c r="S1042" s="4">
        <f t="shared" si="430"/>
        <v>9.6042269046178352E-2</v>
      </c>
      <c r="T1042" s="5">
        <f t="shared" si="414"/>
        <v>8.9866218823018873E-2</v>
      </c>
      <c r="U1042" s="4">
        <f t="shared" si="415"/>
        <v>0</v>
      </c>
      <c r="V1042" s="4">
        <f t="shared" si="416"/>
        <v>0</v>
      </c>
      <c r="W1042" s="5">
        <f t="shared" si="417"/>
        <v>0</v>
      </c>
      <c r="X1042" s="5">
        <f t="shared" si="418"/>
        <v>-11.314237841220132</v>
      </c>
      <c r="Y1042" s="5">
        <f t="shared" si="419"/>
        <v>15.546204170675985</v>
      </c>
      <c r="Z1042" s="5">
        <f>1</f>
        <v>1</v>
      </c>
      <c r="AA1042" s="5">
        <f>IF(M1042=0,0,const*($T1042/omega)*O1042*(wy*I1042-wz*(H1042-V1042))/Z1042)</f>
        <v>0</v>
      </c>
      <c r="AB1042" s="5">
        <f>IF(M1042=0,0,const*($T1042/omega)*O1042*(wz*(G1042-U1042)-wx*I1042)/Z1042)</f>
        <v>9.1596030503083128</v>
      </c>
      <c r="AC1042" s="5">
        <f>IF(M1042=0,0,const*($T1042/omega)*O1042*(wx*(H1042-V1042)-wy*(G1042-U1042))/Z1042)</f>
        <v>6.66618849878693</v>
      </c>
      <c r="AD1042" s="5">
        <f t="shared" si="432"/>
        <v>0</v>
      </c>
      <c r="AE1042" s="5">
        <f t="shared" si="432"/>
        <v>-2.1546347909118193</v>
      </c>
      <c r="AF1042" s="5">
        <f t="shared" si="420"/>
        <v>-9.9616073305370847</v>
      </c>
      <c r="AG1042">
        <f t="shared" si="431"/>
        <v>0</v>
      </c>
    </row>
    <row r="1043" spans="1:33" x14ac:dyDescent="0.2">
      <c r="A1043">
        <f t="shared" si="421"/>
        <v>10.109999999999829</v>
      </c>
      <c r="B1043" s="5">
        <f t="shared" si="422"/>
        <v>0</v>
      </c>
      <c r="C1043" s="5">
        <f t="shared" si="423"/>
        <v>1276.7212370686213</v>
      </c>
      <c r="D1043" s="5">
        <f t="shared" si="424"/>
        <v>-447.98602620660762</v>
      </c>
      <c r="E1043" s="2">
        <f t="shared" si="406"/>
        <v>425.57374568954043</v>
      </c>
      <c r="F1043" s="2">
        <f t="shared" si="425"/>
        <v>0</v>
      </c>
      <c r="G1043" s="3">
        <f t="shared" si="426"/>
        <v>0</v>
      </c>
      <c r="H1043" s="3">
        <f t="shared" si="427"/>
        <v>87.622511250951362</v>
      </c>
      <c r="I1043" s="3">
        <f t="shared" si="428"/>
        <v>-120.52597027406125</v>
      </c>
      <c r="J1043" s="2">
        <f t="shared" si="407"/>
        <v>149.01078480575489</v>
      </c>
      <c r="K1043" s="2">
        <f t="shared" si="429"/>
        <v>101.57517710003741</v>
      </c>
      <c r="L1043" s="5">
        <f t="shared" si="408"/>
        <v>23.484335820355327</v>
      </c>
      <c r="M1043" s="3">
        <f t="shared" si="409"/>
        <v>14.295922973298508</v>
      </c>
      <c r="N1043" s="2">
        <v>0</v>
      </c>
      <c r="O1043" s="2">
        <f t="shared" si="410"/>
        <v>149.01078480575489</v>
      </c>
      <c r="P1043" s="2">
        <f t="shared" si="411"/>
        <v>101.57517710003741</v>
      </c>
      <c r="Q1043" s="5">
        <f t="shared" si="412"/>
        <v>1.2558586724048404</v>
      </c>
      <c r="R1043" s="5">
        <f t="shared" si="413"/>
        <v>0.15250451970566964</v>
      </c>
      <c r="S1043" s="4">
        <f t="shared" si="430"/>
        <v>9.5938847593710477E-2</v>
      </c>
      <c r="T1043" s="5">
        <f t="shared" si="414"/>
        <v>8.9827497959166586E-2</v>
      </c>
      <c r="U1043" s="4">
        <f t="shared" si="415"/>
        <v>0</v>
      </c>
      <c r="V1043" s="4">
        <f t="shared" si="416"/>
        <v>0</v>
      </c>
      <c r="W1043" s="5">
        <f t="shared" si="417"/>
        <v>0</v>
      </c>
      <c r="X1043" s="5">
        <f t="shared" si="418"/>
        <v>-11.315010236311748</v>
      </c>
      <c r="Y1043" s="5">
        <f t="shared" si="419"/>
        <v>15.563952321414453</v>
      </c>
      <c r="Z1043" s="5">
        <f>1</f>
        <v>1</v>
      </c>
      <c r="AA1043" s="5">
        <f>IF(M1043=0,0,const*($T1043/omega)*O1043*(wy*I1043-wz*(H1043-V1043))/Z1043)</f>
        <v>0</v>
      </c>
      <c r="AB1043" s="5">
        <f>IF(M1043=0,0,const*($T1043/omega)*O1043*(wz*(G1043-U1043)-wx*I1043)/Z1043)</f>
        <v>9.1674063043290026</v>
      </c>
      <c r="AC1043" s="5">
        <f>IF(M1043=0,0,const*($T1043/omega)*O1043*(wx*(H1043-V1043)-wy*(G1043-U1043))/Z1043)</f>
        <v>6.6647143368070019</v>
      </c>
      <c r="AD1043" s="5">
        <f t="shared" si="432"/>
        <v>0</v>
      </c>
      <c r="AE1043" s="5">
        <f t="shared" si="432"/>
        <v>-2.1476039319827454</v>
      </c>
      <c r="AF1043" s="5">
        <f t="shared" si="420"/>
        <v>-9.945333341778543</v>
      </c>
      <c r="AG1043">
        <f t="shared" si="431"/>
        <v>0</v>
      </c>
    </row>
    <row r="1044" spans="1:33" x14ac:dyDescent="0.2">
      <c r="A1044">
        <f t="shared" si="421"/>
        <v>10.119999999999829</v>
      </c>
      <c r="B1044" s="5">
        <f t="shared" si="422"/>
        <v>0</v>
      </c>
      <c r="C1044" s="5">
        <f t="shared" si="423"/>
        <v>1277.5973548009342</v>
      </c>
      <c r="D1044" s="5">
        <f t="shared" si="424"/>
        <v>-449.19178317601529</v>
      </c>
      <c r="E1044" s="2">
        <f t="shared" si="406"/>
        <v>425.86578493364476</v>
      </c>
      <c r="F1044" s="2">
        <f t="shared" si="425"/>
        <v>0</v>
      </c>
      <c r="G1044" s="3">
        <f t="shared" si="426"/>
        <v>0</v>
      </c>
      <c r="H1044" s="3">
        <f t="shared" si="427"/>
        <v>87.60103521163154</v>
      </c>
      <c r="I1044" s="3">
        <f t="shared" si="428"/>
        <v>-120.62542360747904</v>
      </c>
      <c r="J1044" s="2">
        <f t="shared" si="407"/>
        <v>149.07861748296861</v>
      </c>
      <c r="K1044" s="2">
        <f t="shared" si="429"/>
        <v>101.62141614380954</v>
      </c>
      <c r="L1044" s="5">
        <f t="shared" si="408"/>
        <v>23.473650147264333</v>
      </c>
      <c r="M1044" s="3">
        <f t="shared" si="409"/>
        <v>14.287033936462583</v>
      </c>
      <c r="N1044" s="2">
        <v>0</v>
      </c>
      <c r="O1044" s="2">
        <f t="shared" si="410"/>
        <v>149.07861748296861</v>
      </c>
      <c r="P1044" s="2">
        <f t="shared" si="411"/>
        <v>101.62141614380954</v>
      </c>
      <c r="Q1044" s="5">
        <f t="shared" si="412"/>
        <v>1.2564303642864874</v>
      </c>
      <c r="R1044" s="5">
        <f t="shared" si="413"/>
        <v>0.15248296294407782</v>
      </c>
      <c r="S1044" s="4">
        <f t="shared" si="430"/>
        <v>9.5835567686927303E-2</v>
      </c>
      <c r="T1044" s="5">
        <f t="shared" si="414"/>
        <v>8.9788805088660634E-2</v>
      </c>
      <c r="U1044" s="4">
        <f t="shared" si="415"/>
        <v>0</v>
      </c>
      <c r="V1044" s="4">
        <f t="shared" si="416"/>
        <v>0</v>
      </c>
      <c r="W1044" s="5">
        <f t="shared" si="417"/>
        <v>0</v>
      </c>
      <c r="X1044" s="5">
        <f t="shared" si="418"/>
        <v>-11.315786782671399</v>
      </c>
      <c r="Y1044" s="5">
        <f t="shared" si="419"/>
        <v>15.581683148082375</v>
      </c>
      <c r="Z1044" s="5">
        <f>1</f>
        <v>1</v>
      </c>
      <c r="AA1044" s="5">
        <f>IF(M1044=0,0,const*($T1044/omega)*O1044*(wy*I1044-wz*(H1044-V1044))/Z1044)</f>
        <v>0</v>
      </c>
      <c r="AB1044" s="5">
        <f>IF(M1044=0,0,const*($T1044/omega)*O1044*(wz*(G1044-U1044)-wx*I1044)/Z1044)</f>
        <v>9.1751936355639483</v>
      </c>
      <c r="AC1044" s="5">
        <f>IF(M1044=0,0,const*($T1044/omega)*O1044*(wx*(H1044-V1044)-wy*(G1044-U1044))/Z1044)</f>
        <v>6.6632425960056114</v>
      </c>
      <c r="AD1044" s="5">
        <f t="shared" si="432"/>
        <v>0</v>
      </c>
      <c r="AE1044" s="5">
        <f t="shared" si="432"/>
        <v>-2.1405931471074506</v>
      </c>
      <c r="AF1044" s="5">
        <f t="shared" si="420"/>
        <v>-9.9290742559120133</v>
      </c>
      <c r="AG1044">
        <f t="shared" si="431"/>
        <v>0</v>
      </c>
    </row>
    <row r="1045" spans="1:33" x14ac:dyDescent="0.2">
      <c r="A1045">
        <f t="shared" si="421"/>
        <v>10.129999999999828</v>
      </c>
      <c r="B1045" s="5">
        <f t="shared" si="422"/>
        <v>0</v>
      </c>
      <c r="C1045" s="5">
        <f t="shared" si="423"/>
        <v>1278.4732581233932</v>
      </c>
      <c r="D1045" s="5">
        <f t="shared" si="424"/>
        <v>-450.3985338658029</v>
      </c>
      <c r="E1045" s="2">
        <f t="shared" si="406"/>
        <v>426.15775270779773</v>
      </c>
      <c r="F1045" s="2">
        <f t="shared" si="425"/>
        <v>0</v>
      </c>
      <c r="G1045" s="3">
        <f t="shared" si="426"/>
        <v>0</v>
      </c>
      <c r="H1045" s="3">
        <f t="shared" si="427"/>
        <v>87.579629280160461</v>
      </c>
      <c r="I1045" s="3">
        <f t="shared" si="428"/>
        <v>-120.72471435003816</v>
      </c>
      <c r="J1045" s="2">
        <f t="shared" si="407"/>
        <v>149.14639827950472</v>
      </c>
      <c r="K1045" s="2">
        <f t="shared" si="429"/>
        <v>101.66761982242994</v>
      </c>
      <c r="L1045" s="5">
        <f t="shared" si="408"/>
        <v>23.462982355598253</v>
      </c>
      <c r="M1045" s="3">
        <f t="shared" si="409"/>
        <v>14.278147035704947</v>
      </c>
      <c r="N1045" s="2">
        <v>0</v>
      </c>
      <c r="O1045" s="2">
        <f t="shared" si="410"/>
        <v>149.14639827950472</v>
      </c>
      <c r="P1045" s="2">
        <f t="shared" si="411"/>
        <v>101.66761982242994</v>
      </c>
      <c r="Q1045" s="5">
        <f t="shared" si="412"/>
        <v>1.2570016189192534</v>
      </c>
      <c r="R1045" s="5">
        <f t="shared" si="413"/>
        <v>0.15246143573063992</v>
      </c>
      <c r="S1045" s="4">
        <f t="shared" si="430"/>
        <v>9.5732429347353598E-2</v>
      </c>
      <c r="T1045" s="5">
        <f t="shared" si="414"/>
        <v>8.9750140279290291E-2</v>
      </c>
      <c r="U1045" s="4">
        <f t="shared" si="415"/>
        <v>0</v>
      </c>
      <c r="V1045" s="4">
        <f t="shared" si="416"/>
        <v>0</v>
      </c>
      <c r="W1045" s="5">
        <f t="shared" si="417"/>
        <v>0</v>
      </c>
      <c r="X1045" s="5">
        <f t="shared" si="418"/>
        <v>-11.316567448779544</v>
      </c>
      <c r="Y1045" s="5">
        <f t="shared" si="419"/>
        <v>15.599396616609514</v>
      </c>
      <c r="Z1045" s="5">
        <f>1</f>
        <v>1</v>
      </c>
      <c r="AA1045" s="5">
        <f>IF(M1045=0,0,const*($T1045/omega)*O1045*(wy*I1045-wz*(H1045-V1045))/Z1045)</f>
        <v>0</v>
      </c>
      <c r="AB1045" s="5">
        <f>IF(M1045=0,0,const*($T1045/omega)*O1045*(wz*(G1045-U1045)-wx*I1045)/Z1045)</f>
        <v>9.1829650422977434</v>
      </c>
      <c r="AC1045" s="5">
        <f>IF(M1045=0,0,const*($T1045/omega)*O1045*(wx*(H1045-V1045)-wy*(G1045-U1045))/Z1045)</f>
        <v>6.6617732618131074</v>
      </c>
      <c r="AD1045" s="5">
        <f t="shared" si="432"/>
        <v>0</v>
      </c>
      <c r="AE1045" s="5">
        <f t="shared" si="432"/>
        <v>-2.1336024064818009</v>
      </c>
      <c r="AF1045" s="5">
        <f t="shared" si="420"/>
        <v>-9.9128301215773789</v>
      </c>
      <c r="AG1045">
        <f t="shared" si="431"/>
        <v>0</v>
      </c>
    </row>
    <row r="1046" spans="1:33" x14ac:dyDescent="0.2">
      <c r="A1046">
        <f t="shared" si="421"/>
        <v>10.139999999999828</v>
      </c>
      <c r="B1046" s="5">
        <f t="shared" si="422"/>
        <v>0</v>
      </c>
      <c r="C1046" s="5">
        <f t="shared" si="423"/>
        <v>1279.3489477360745</v>
      </c>
      <c r="D1046" s="5">
        <f t="shared" si="424"/>
        <v>-451.60627665080932</v>
      </c>
      <c r="E1046" s="2">
        <f t="shared" si="406"/>
        <v>426.44964924535816</v>
      </c>
      <c r="F1046" s="2">
        <f t="shared" si="425"/>
        <v>0</v>
      </c>
      <c r="G1046" s="3">
        <f t="shared" si="426"/>
        <v>0</v>
      </c>
      <c r="H1046" s="3">
        <f t="shared" si="427"/>
        <v>87.558293256095638</v>
      </c>
      <c r="I1046" s="3">
        <f t="shared" si="428"/>
        <v>-120.82384265125393</v>
      </c>
      <c r="J1046" s="2">
        <f t="shared" si="407"/>
        <v>149.21412691476436</v>
      </c>
      <c r="K1046" s="2">
        <f t="shared" si="429"/>
        <v>101.71378794462464</v>
      </c>
      <c r="L1046" s="5">
        <f t="shared" si="408"/>
        <v>23.452332453964114</v>
      </c>
      <c r="M1046" s="3">
        <f t="shared" si="409"/>
        <v>14.2692622918652</v>
      </c>
      <c r="N1046" s="2">
        <v>0</v>
      </c>
      <c r="O1046" s="2">
        <f t="shared" si="410"/>
        <v>149.21412691476436</v>
      </c>
      <c r="P1046" s="2">
        <f t="shared" si="411"/>
        <v>101.71378794462464</v>
      </c>
      <c r="Q1046" s="5">
        <f t="shared" si="412"/>
        <v>1.257572433938259</v>
      </c>
      <c r="R1046" s="5">
        <f t="shared" si="413"/>
        <v>0.15243993806931996</v>
      </c>
      <c r="S1046" s="4">
        <f t="shared" si="430"/>
        <v>9.5629432593981101E-2</v>
      </c>
      <c r="T1046" s="5">
        <f t="shared" si="414"/>
        <v>8.9711503598007947E-2</v>
      </c>
      <c r="U1046" s="4">
        <f t="shared" si="415"/>
        <v>0</v>
      </c>
      <c r="V1046" s="4">
        <f t="shared" si="416"/>
        <v>0</v>
      </c>
      <c r="W1046" s="5">
        <f t="shared" si="417"/>
        <v>0</v>
      </c>
      <c r="X1046" s="5">
        <f t="shared" si="418"/>
        <v>-11.317352203257013</v>
      </c>
      <c r="Y1046" s="5">
        <f t="shared" si="419"/>
        <v>15.617092693157893</v>
      </c>
      <c r="Z1046" s="5">
        <f>1</f>
        <v>1</v>
      </c>
      <c r="AA1046" s="5">
        <f>IF(M1046=0,0,const*($T1046/omega)*O1046*(wy*I1046-wz*(H1046-V1046))/Z1046)</f>
        <v>0</v>
      </c>
      <c r="AB1046" s="5">
        <f>IF(M1046=0,0,const*($T1046/omega)*O1046*(wz*(G1046-U1046)-wx*I1046)/Z1046)</f>
        <v>9.190720522961362</v>
      </c>
      <c r="AC1046" s="5">
        <f>IF(M1046=0,0,const*($T1046/omega)*O1046*(wx*(H1046-V1046)-wy*(G1046-U1046))/Z1046)</f>
        <v>6.6603063197304797</v>
      </c>
      <c r="AD1046" s="5">
        <f t="shared" si="432"/>
        <v>0</v>
      </c>
      <c r="AE1046" s="5">
        <f t="shared" si="432"/>
        <v>-2.1266316802956506</v>
      </c>
      <c r="AF1046" s="5">
        <f t="shared" si="420"/>
        <v>-9.8966009871116256</v>
      </c>
      <c r="AG1046">
        <f t="shared" si="431"/>
        <v>0</v>
      </c>
    </row>
    <row r="1047" spans="1:33" x14ac:dyDescent="0.2">
      <c r="A1047">
        <f t="shared" si="421"/>
        <v>10.149999999999828</v>
      </c>
      <c r="B1047" s="5">
        <f t="shared" si="422"/>
        <v>0</v>
      </c>
      <c r="C1047" s="5">
        <f t="shared" si="423"/>
        <v>1280.2244243370515</v>
      </c>
      <c r="D1047" s="5">
        <f t="shared" si="424"/>
        <v>-452.81500990737123</v>
      </c>
      <c r="E1047" s="2">
        <f t="shared" si="406"/>
        <v>426.74147477901715</v>
      </c>
      <c r="F1047" s="2">
        <f t="shared" si="425"/>
        <v>0</v>
      </c>
      <c r="G1047" s="3">
        <f t="shared" si="426"/>
        <v>0</v>
      </c>
      <c r="H1047" s="3">
        <f t="shared" si="427"/>
        <v>87.537026939292687</v>
      </c>
      <c r="I1047" s="3">
        <f t="shared" si="428"/>
        <v>-120.92280866112505</v>
      </c>
      <c r="J1047" s="2">
        <f t="shared" si="407"/>
        <v>149.28180311031051</v>
      </c>
      <c r="K1047" s="2">
        <f t="shared" si="429"/>
        <v>101.75992032059338</v>
      </c>
      <c r="L1047" s="5">
        <f t="shared" si="408"/>
        <v>23.441700450571211</v>
      </c>
      <c r="M1047" s="3">
        <f t="shared" si="409"/>
        <v>14.260379725691246</v>
      </c>
      <c r="N1047" s="2">
        <v>0</v>
      </c>
      <c r="O1047" s="2">
        <f t="shared" si="410"/>
        <v>149.28180311031051</v>
      </c>
      <c r="P1047" s="2">
        <f t="shared" si="411"/>
        <v>101.75992032059338</v>
      </c>
      <c r="Q1047" s="5">
        <f t="shared" si="412"/>
        <v>1.2581428069968452</v>
      </c>
      <c r="R1047" s="5">
        <f t="shared" si="413"/>
        <v>0.15241846996355796</v>
      </c>
      <c r="S1047" s="4">
        <f t="shared" si="430"/>
        <v>9.5526577443291336E-2</v>
      </c>
      <c r="T1047" s="5">
        <f t="shared" si="414"/>
        <v>8.967289511093457E-2</v>
      </c>
      <c r="U1047" s="4">
        <f t="shared" si="415"/>
        <v>0</v>
      </c>
      <c r="V1047" s="4">
        <f t="shared" si="416"/>
        <v>0</v>
      </c>
      <c r="W1047" s="5">
        <f t="shared" si="417"/>
        <v>0</v>
      </c>
      <c r="X1047" s="5">
        <f t="shared" si="418"/>
        <v>-11.318141014864208</v>
      </c>
      <c r="Y1047" s="5">
        <f t="shared" si="419"/>
        <v>15.63477134412163</v>
      </c>
      <c r="Z1047" s="5">
        <f>1</f>
        <v>1</v>
      </c>
      <c r="AA1047" s="5">
        <f>IF(M1047=0,0,const*($T1047/omega)*O1047*(wy*I1047-wz*(H1047-V1047))/Z1047)</f>
        <v>0</v>
      </c>
      <c r="AB1047" s="5">
        <f>IF(M1047=0,0,const*($T1047/omega)*O1047*(wz*(G1047-U1047)-wx*I1047)/Z1047)</f>
        <v>9.1984600761316848</v>
      </c>
      <c r="AC1047" s="5">
        <f>IF(M1047=0,0,const*($T1047/omega)*O1047*(wx*(H1047-V1047)-wy*(G1047-U1047))/Z1047)</f>
        <v>6.6588417553289085</v>
      </c>
      <c r="AD1047" s="5">
        <f t="shared" si="432"/>
        <v>0</v>
      </c>
      <c r="AE1047" s="5">
        <f t="shared" si="432"/>
        <v>-2.1196809387325235</v>
      </c>
      <c r="AF1047" s="5">
        <f t="shared" si="420"/>
        <v>-9.8803869005494604</v>
      </c>
      <c r="AG1047">
        <f t="shared" si="431"/>
        <v>0</v>
      </c>
    </row>
    <row r="1048" spans="1:33" x14ac:dyDescent="0.2">
      <c r="A1048">
        <f t="shared" si="421"/>
        <v>10.159999999999828</v>
      </c>
      <c r="B1048" s="5">
        <f t="shared" si="422"/>
        <v>0</v>
      </c>
      <c r="C1048" s="5">
        <f t="shared" si="423"/>
        <v>1281.0996886223975</v>
      </c>
      <c r="D1048" s="5">
        <f t="shared" si="424"/>
        <v>-454.02473201332748</v>
      </c>
      <c r="E1048" s="2">
        <f t="shared" si="406"/>
        <v>427.03322954079914</v>
      </c>
      <c r="F1048" s="2">
        <f t="shared" si="425"/>
        <v>0</v>
      </c>
      <c r="G1048" s="3">
        <f t="shared" si="426"/>
        <v>0</v>
      </c>
      <c r="H1048" s="3">
        <f t="shared" si="427"/>
        <v>87.515830129905368</v>
      </c>
      <c r="I1048" s="3">
        <f t="shared" si="428"/>
        <v>-121.02161253013054</v>
      </c>
      <c r="J1048" s="2">
        <f t="shared" si="407"/>
        <v>149.34942658985838</v>
      </c>
      <c r="K1048" s="2">
        <f t="shared" si="429"/>
        <v>101.80601676200298</v>
      </c>
      <c r="L1048" s="5">
        <f t="shared" si="408"/>
        <v>23.431086353234637</v>
      </c>
      <c r="M1048" s="3">
        <f t="shared" si="409"/>
        <v>14.251499357839425</v>
      </c>
      <c r="N1048" s="2">
        <v>0</v>
      </c>
      <c r="O1048" s="2">
        <f t="shared" si="410"/>
        <v>149.34942658985838</v>
      </c>
      <c r="P1048" s="2">
        <f t="shared" si="411"/>
        <v>101.80601676200298</v>
      </c>
      <c r="Q1048" s="5">
        <f t="shared" si="412"/>
        <v>1.2587127357664916</v>
      </c>
      <c r="R1048" s="5">
        <f t="shared" si="413"/>
        <v>0.15239703141627484</v>
      </c>
      <c r="S1048" s="4">
        <f t="shared" si="430"/>
        <v>9.5423863909278497E-2</v>
      </c>
      <c r="T1048" s="5">
        <f t="shared" si="414"/>
        <v>8.963431488336529E-2</v>
      </c>
      <c r="U1048" s="4">
        <f t="shared" si="415"/>
        <v>0</v>
      </c>
      <c r="V1048" s="4">
        <f t="shared" si="416"/>
        <v>0</v>
      </c>
      <c r="W1048" s="5">
        <f t="shared" si="417"/>
        <v>0</v>
      </c>
      <c r="X1048" s="5">
        <f t="shared" si="418"/>
        <v>-11.318933852500365</v>
      </c>
      <c r="Y1048" s="5">
        <f t="shared" si="419"/>
        <v>15.652432536126799</v>
      </c>
      <c r="Z1048" s="5">
        <f>1</f>
        <v>1</v>
      </c>
      <c r="AA1048" s="5">
        <f>IF(M1048=0,0,const*($T1048/omega)*O1048*(wy*I1048-wz*(H1048-V1048))/Z1048)</f>
        <v>0</v>
      </c>
      <c r="AB1048" s="5">
        <f>IF(M1048=0,0,const*($T1048/omega)*O1048*(wz*(G1048-U1048)-wx*I1048)/Z1048)</f>
        <v>9.2061837005310103</v>
      </c>
      <c r="AC1048" s="5">
        <f>IF(M1048=0,0,const*($T1048/omega)*O1048*(wx*(H1048-V1048)-wy*(G1048-U1048))/Z1048)</f>
        <v>6.6573795542493297</v>
      </c>
      <c r="AD1048" s="5">
        <f t="shared" si="432"/>
        <v>0</v>
      </c>
      <c r="AE1048" s="5">
        <f t="shared" si="432"/>
        <v>-2.1127501519693546</v>
      </c>
      <c r="AF1048" s="5">
        <f t="shared" si="420"/>
        <v>-9.8641879096238725</v>
      </c>
      <c r="AG1048">
        <f t="shared" si="431"/>
        <v>0</v>
      </c>
    </row>
    <row r="1049" spans="1:33" x14ac:dyDescent="0.2">
      <c r="A1049">
        <f t="shared" si="421"/>
        <v>10.169999999999828</v>
      </c>
      <c r="B1049" s="5">
        <f t="shared" si="422"/>
        <v>0</v>
      </c>
      <c r="C1049" s="5">
        <f t="shared" si="423"/>
        <v>1281.9747412861889</v>
      </c>
      <c r="D1049" s="5">
        <f t="shared" si="424"/>
        <v>-455.23544134802427</v>
      </c>
      <c r="E1049" s="2">
        <f t="shared" si="406"/>
        <v>427.32491376206298</v>
      </c>
      <c r="F1049" s="2">
        <f t="shared" si="425"/>
        <v>0</v>
      </c>
      <c r="G1049" s="3">
        <f t="shared" si="426"/>
        <v>0</v>
      </c>
      <c r="H1049" s="3">
        <f t="shared" si="427"/>
        <v>87.494702628385667</v>
      </c>
      <c r="I1049" s="3">
        <f t="shared" si="428"/>
        <v>-121.12025440922677</v>
      </c>
      <c r="J1049" s="2">
        <f t="shared" si="407"/>
        <v>149.41699707926625</v>
      </c>
      <c r="K1049" s="2">
        <f t="shared" si="429"/>
        <v>101.85207708198108</v>
      </c>
      <c r="L1049" s="5">
        <f t="shared" si="408"/>
        <v>23.420490169378748</v>
      </c>
      <c r="M1049" s="3">
        <f t="shared" si="409"/>
        <v>14.24262120887459</v>
      </c>
      <c r="N1049" s="2">
        <v>0</v>
      </c>
      <c r="O1049" s="2">
        <f t="shared" si="410"/>
        <v>149.41699707926625</v>
      </c>
      <c r="P1049" s="2">
        <f t="shared" si="411"/>
        <v>101.85207708198108</v>
      </c>
      <c r="Q1049" s="5">
        <f t="shared" si="412"/>
        <v>1.2592822179367393</v>
      </c>
      <c r="R1049" s="5">
        <f t="shared" si="413"/>
        <v>0.1523756224298769</v>
      </c>
      <c r="S1049" s="4">
        <f t="shared" si="430"/>
        <v>9.5321292003471531E-2</v>
      </c>
      <c r="T1049" s="5">
        <f t="shared" si="414"/>
        <v>8.959576297977459E-2</v>
      </c>
      <c r="U1049" s="4">
        <f t="shared" si="415"/>
        <v>0</v>
      </c>
      <c r="V1049" s="4">
        <f t="shared" si="416"/>
        <v>0</v>
      </c>
      <c r="W1049" s="5">
        <f t="shared" si="417"/>
        <v>0</v>
      </c>
      <c r="X1049" s="5">
        <f t="shared" si="418"/>
        <v>-11.319730685202785</v>
      </c>
      <c r="Y1049" s="5">
        <f t="shared" si="419"/>
        <v>15.670076236031308</v>
      </c>
      <c r="Z1049" s="5">
        <f>1</f>
        <v>1</v>
      </c>
      <c r="AA1049" s="5">
        <f>IF(M1049=0,0,const*($T1049/omega)*O1049*(wy*I1049-wz*(H1049-V1049))/Z1049)</f>
        <v>0</v>
      </c>
      <c r="AB1049" s="5">
        <f>IF(M1049=0,0,const*($T1049/omega)*O1049*(wz*(G1049-U1049)-wx*I1049)/Z1049)</f>
        <v>9.2138913950265628</v>
      </c>
      <c r="AC1049" s="5">
        <f>IF(M1049=0,0,const*($T1049/omega)*O1049*(wx*(H1049-V1049)-wy*(G1049-U1049))/Z1049)</f>
        <v>6.6559197022019969</v>
      </c>
      <c r="AD1049" s="5">
        <f t="shared" si="432"/>
        <v>0</v>
      </c>
      <c r="AE1049" s="5">
        <f t="shared" si="432"/>
        <v>-2.1058392901762222</v>
      </c>
      <c r="AF1049" s="5">
        <f t="shared" si="420"/>
        <v>-9.8480040617666944</v>
      </c>
      <c r="AG1049">
        <f t="shared" si="431"/>
        <v>0</v>
      </c>
    </row>
    <row r="1050" spans="1:33" x14ac:dyDescent="0.2">
      <c r="A1050">
        <f t="shared" si="421"/>
        <v>10.179999999999827</v>
      </c>
      <c r="B1050" s="5">
        <f t="shared" si="422"/>
        <v>0</v>
      </c>
      <c r="C1050" s="5">
        <f t="shared" si="423"/>
        <v>1282.8495830205084</v>
      </c>
      <c r="D1050" s="5">
        <f t="shared" si="424"/>
        <v>-456.44713629231961</v>
      </c>
      <c r="E1050" s="2">
        <f t="shared" si="406"/>
        <v>427.61652767350279</v>
      </c>
      <c r="F1050" s="2">
        <f t="shared" si="425"/>
        <v>0</v>
      </c>
      <c r="G1050" s="3">
        <f t="shared" si="426"/>
        <v>0</v>
      </c>
      <c r="H1050" s="3">
        <f t="shared" si="427"/>
        <v>87.473644235483903</v>
      </c>
      <c r="I1050" s="3">
        <f t="shared" si="428"/>
        <v>-121.21873444984445</v>
      </c>
      <c r="J1050" s="2">
        <f t="shared" si="407"/>
        <v>149.4845143065258</v>
      </c>
      <c r="K1050" s="2">
        <f t="shared" si="429"/>
        <v>101.89810109510961</v>
      </c>
      <c r="L1050" s="5">
        <f t="shared" si="408"/>
        <v>23.409911906040694</v>
      </c>
      <c r="M1050" s="3">
        <f t="shared" si="409"/>
        <v>14.233745299270275</v>
      </c>
      <c r="N1050" s="2">
        <v>0</v>
      </c>
      <c r="O1050" s="2">
        <f t="shared" si="410"/>
        <v>149.4845143065258</v>
      </c>
      <c r="P1050" s="2">
        <f t="shared" si="411"/>
        <v>101.89810109510961</v>
      </c>
      <c r="Q1050" s="5">
        <f t="shared" si="412"/>
        <v>1.2598512512151105</v>
      </c>
      <c r="R1050" s="5">
        <f t="shared" si="413"/>
        <v>0.15235424300626077</v>
      </c>
      <c r="S1050" s="4">
        <f t="shared" si="430"/>
        <v>9.5218861734956958E-2</v>
      </c>
      <c r="T1050" s="5">
        <f t="shared" si="414"/>
        <v>8.9557239463822019E-2</v>
      </c>
      <c r="U1050" s="4">
        <f t="shared" si="415"/>
        <v>0</v>
      </c>
      <c r="V1050" s="4">
        <f t="shared" si="416"/>
        <v>0</v>
      </c>
      <c r="W1050" s="5">
        <f t="shared" si="417"/>
        <v>0</v>
      </c>
      <c r="X1050" s="5">
        <f t="shared" si="418"/>
        <v>-11.320531482146098</v>
      </c>
      <c r="Y1050" s="5">
        <f t="shared" si="419"/>
        <v>15.687702410924718</v>
      </c>
      <c r="Z1050" s="5">
        <f>1</f>
        <v>1</v>
      </c>
      <c r="AA1050" s="5">
        <f>IF(M1050=0,0,const*($T1050/omega)*O1050*(wy*I1050-wz*(H1050-V1050))/Z1050)</f>
        <v>0</v>
      </c>
      <c r="AB1050" s="5">
        <f>IF(M1050=0,0,const*($T1050/omega)*O1050*(wz*(G1050-U1050)-wx*I1050)/Z1050)</f>
        <v>9.2215831586300414</v>
      </c>
      <c r="AC1050" s="5">
        <f>IF(M1050=0,0,const*($T1050/omega)*O1050*(wx*(H1050-V1050)-wy*(G1050-U1050))/Z1050)</f>
        <v>6.6544621849660741</v>
      </c>
      <c r="AD1050" s="5">
        <f t="shared" si="432"/>
        <v>0</v>
      </c>
      <c r="AE1050" s="5">
        <f t="shared" si="432"/>
        <v>-2.0989483235160566</v>
      </c>
      <c r="AF1050" s="5">
        <f t="shared" si="420"/>
        <v>-9.8318354041092064</v>
      </c>
      <c r="AG1050">
        <f t="shared" si="431"/>
        <v>0</v>
      </c>
    </row>
    <row r="1051" spans="1:33" x14ac:dyDescent="0.2">
      <c r="A1051">
        <f t="shared" si="421"/>
        <v>10.189999999999827</v>
      </c>
      <c r="B1051" s="5">
        <f t="shared" si="422"/>
        <v>0</v>
      </c>
      <c r="C1051" s="5">
        <f t="shared" si="423"/>
        <v>1283.7242145154469</v>
      </c>
      <c r="D1051" s="5">
        <f t="shared" si="424"/>
        <v>-457.65981522858823</v>
      </c>
      <c r="E1051" s="2">
        <f t="shared" si="406"/>
        <v>427.90807150514894</v>
      </c>
      <c r="F1051" s="2">
        <f t="shared" si="425"/>
        <v>0</v>
      </c>
      <c r="G1051" s="3">
        <f t="shared" si="426"/>
        <v>0</v>
      </c>
      <c r="H1051" s="3">
        <f t="shared" si="427"/>
        <v>87.452654752248748</v>
      </c>
      <c r="I1051" s="3">
        <f t="shared" si="428"/>
        <v>-121.31705280388555</v>
      </c>
      <c r="J1051" s="2">
        <f t="shared" si="407"/>
        <v>149.55197800175284</v>
      </c>
      <c r="K1051" s="2">
        <f t="shared" si="429"/>
        <v>101.94408861741843</v>
      </c>
      <c r="L1051" s="5">
        <f t="shared" si="408"/>
        <v>23.399351569873811</v>
      </c>
      <c r="M1051" s="3">
        <f t="shared" si="409"/>
        <v>14.224871649408774</v>
      </c>
      <c r="N1051" s="2">
        <v>0</v>
      </c>
      <c r="O1051" s="2">
        <f t="shared" si="410"/>
        <v>149.55197800175284</v>
      </c>
      <c r="P1051" s="2">
        <f t="shared" si="411"/>
        <v>101.94408861741843</v>
      </c>
      <c r="Q1051" s="5">
        <f t="shared" si="412"/>
        <v>1.2604198333270282</v>
      </c>
      <c r="R1051" s="5">
        <f t="shared" si="413"/>
        <v>0.15233289314681769</v>
      </c>
      <c r="S1051" s="4">
        <f t="shared" si="430"/>
        <v>9.5116573110400782E-2</v>
      </c>
      <c r="T1051" s="5">
        <f t="shared" si="414"/>
        <v>8.9518744398357233E-2</v>
      </c>
      <c r="U1051" s="4">
        <f t="shared" si="415"/>
        <v>0</v>
      </c>
      <c r="V1051" s="4">
        <f t="shared" si="416"/>
        <v>0</v>
      </c>
      <c r="W1051" s="5">
        <f t="shared" si="417"/>
        <v>0</v>
      </c>
      <c r="X1051" s="5">
        <f t="shared" si="418"/>
        <v>-11.321336212641501</v>
      </c>
      <c r="Y1051" s="5">
        <f t="shared" si="419"/>
        <v>15.705311028128088</v>
      </c>
      <c r="Z1051" s="5">
        <f>1</f>
        <v>1</v>
      </c>
      <c r="AA1051" s="5">
        <f>IF(M1051=0,0,const*($T1051/omega)*O1051*(wy*I1051-wz*(H1051-V1051))/Z1051)</f>
        <v>0</v>
      </c>
      <c r="AB1051" s="5">
        <f>IF(M1051=0,0,const*($T1051/omega)*O1051*(wz*(G1051-U1051)-wx*I1051)/Z1051)</f>
        <v>9.2292589904970868</v>
      </c>
      <c r="AC1051" s="5">
        <f>IF(M1051=0,0,const*($T1051/omega)*O1051*(wx*(H1051-V1051)-wy*(G1051-U1051))/Z1051)</f>
        <v>6.6530069883891798</v>
      </c>
      <c r="AD1051" s="5">
        <f t="shared" si="432"/>
        <v>0</v>
      </c>
      <c r="AE1051" s="5">
        <f t="shared" si="432"/>
        <v>-2.0920772221444146</v>
      </c>
      <c r="AF1051" s="5">
        <f t="shared" si="420"/>
        <v>-9.8156819834827331</v>
      </c>
      <c r="AG1051">
        <f t="shared" si="431"/>
        <v>0</v>
      </c>
    </row>
    <row r="1052" spans="1:33" x14ac:dyDescent="0.2">
      <c r="A1052">
        <f t="shared" si="421"/>
        <v>10.199999999999827</v>
      </c>
      <c r="B1052" s="5">
        <f t="shared" si="422"/>
        <v>0</v>
      </c>
      <c r="C1052" s="5">
        <f t="shared" si="423"/>
        <v>1284.5986364591083</v>
      </c>
      <c r="D1052" s="5">
        <f t="shared" si="424"/>
        <v>-458.87347654072624</v>
      </c>
      <c r="E1052" s="2">
        <f t="shared" si="406"/>
        <v>428.19954548636946</v>
      </c>
      <c r="F1052" s="2">
        <f t="shared" si="425"/>
        <v>0</v>
      </c>
      <c r="G1052" s="3">
        <f t="shared" si="426"/>
        <v>0</v>
      </c>
      <c r="H1052" s="3">
        <f t="shared" si="427"/>
        <v>87.431733980027303</v>
      </c>
      <c r="I1052" s="3">
        <f t="shared" si="428"/>
        <v>-121.41520962372037</v>
      </c>
      <c r="J1052" s="2">
        <f t="shared" si="407"/>
        <v>149.61938789717803</v>
      </c>
      <c r="K1052" s="2">
        <f t="shared" si="429"/>
        <v>101.99003946637902</v>
      </c>
      <c r="L1052" s="5">
        <f t="shared" si="408"/>
        <v>23.388809167151067</v>
      </c>
      <c r="M1052" s="3">
        <f t="shared" si="409"/>
        <v>14.216000279581268</v>
      </c>
      <c r="N1052" s="2">
        <v>0</v>
      </c>
      <c r="O1052" s="2">
        <f t="shared" si="410"/>
        <v>149.61938789717803</v>
      </c>
      <c r="P1052" s="2">
        <f t="shared" si="411"/>
        <v>101.99003946637902</v>
      </c>
      <c r="Q1052" s="5">
        <f t="shared" si="412"/>
        <v>1.2609879620157398</v>
      </c>
      <c r="R1052" s="5">
        <f t="shared" si="413"/>
        <v>0.15231157285243846</v>
      </c>
      <c r="S1052" s="4">
        <f t="shared" si="430"/>
        <v>9.5014426134070532E-2</v>
      </c>
      <c r="T1052" s="5">
        <f t="shared" si="414"/>
        <v>8.9480277845425615E-2</v>
      </c>
      <c r="U1052" s="4">
        <f t="shared" si="415"/>
        <v>0</v>
      </c>
      <c r="V1052" s="4">
        <f t="shared" si="416"/>
        <v>0</v>
      </c>
      <c r="W1052" s="5">
        <f t="shared" si="417"/>
        <v>0</v>
      </c>
      <c r="X1052" s="5">
        <f t="shared" si="418"/>
        <v>-11.322144846136036</v>
      </c>
      <c r="Y1052" s="5">
        <f t="shared" si="419"/>
        <v>15.722902055193837</v>
      </c>
      <c r="Z1052" s="5">
        <f>1</f>
        <v>1</v>
      </c>
      <c r="AA1052" s="5">
        <f>IF(M1052=0,0,const*($T1052/omega)*O1052*(wy*I1052-wz*(H1052-V1052))/Z1052)</f>
        <v>0</v>
      </c>
      <c r="AB1052" s="5">
        <f>IF(M1052=0,0,const*($T1052/omega)*O1052*(wz*(G1052-U1052)-wx*I1052)/Z1052)</f>
        <v>9.2369188899268462</v>
      </c>
      <c r="AC1052" s="5">
        <f>IF(M1052=0,0,const*($T1052/omega)*O1052*(wx*(H1052-V1052)-wy*(G1052-U1052))/Z1052)</f>
        <v>6.6515540983869927</v>
      </c>
      <c r="AD1052" s="5">
        <f t="shared" si="432"/>
        <v>0</v>
      </c>
      <c r="AE1052" s="5">
        <f t="shared" si="432"/>
        <v>-2.0852259562091895</v>
      </c>
      <c r="AF1052" s="5">
        <f t="shared" si="420"/>
        <v>-9.7995438464191693</v>
      </c>
      <c r="AG1052">
        <f t="shared" si="431"/>
        <v>0</v>
      </c>
    </row>
    <row r="1053" spans="1:33" x14ac:dyDescent="0.2">
      <c r="A1053">
        <f t="shared" si="421"/>
        <v>10.209999999999827</v>
      </c>
      <c r="B1053" s="5">
        <f t="shared" si="422"/>
        <v>0</v>
      </c>
      <c r="C1053" s="5">
        <f t="shared" si="423"/>
        <v>1285.4728495376107</v>
      </c>
      <c r="D1053" s="5">
        <f t="shared" si="424"/>
        <v>-460.0881186141558</v>
      </c>
      <c r="E1053" s="2">
        <f t="shared" si="406"/>
        <v>428.49094984587026</v>
      </c>
      <c r="F1053" s="2">
        <f t="shared" si="425"/>
        <v>0</v>
      </c>
      <c r="G1053" s="3">
        <f t="shared" si="426"/>
        <v>0</v>
      </c>
      <c r="H1053" s="3">
        <f t="shared" si="427"/>
        <v>87.410881720465213</v>
      </c>
      <c r="I1053" s="3">
        <f t="shared" si="428"/>
        <v>-121.51320506218457</v>
      </c>
      <c r="J1053" s="2">
        <f t="shared" si="407"/>
        <v>149.6867437271373</v>
      </c>
      <c r="K1053" s="2">
        <f t="shared" si="429"/>
        <v>102.03595346089794</v>
      </c>
      <c r="L1053" s="5">
        <f t="shared" si="408"/>
        <v>23.3782847037685</v>
      </c>
      <c r="M1053" s="3">
        <f t="shared" si="409"/>
        <v>14.207131209987972</v>
      </c>
      <c r="N1053" s="2">
        <v>0</v>
      </c>
      <c r="O1053" s="2">
        <f t="shared" si="410"/>
        <v>149.6867437271373</v>
      </c>
      <c r="P1053" s="2">
        <f t="shared" si="411"/>
        <v>102.03595346089794</v>
      </c>
      <c r="Q1053" s="5">
        <f t="shared" si="412"/>
        <v>1.2615556350422366</v>
      </c>
      <c r="R1053" s="5">
        <f t="shared" si="413"/>
        <v>0.15229028212351781</v>
      </c>
      <c r="S1053" s="4">
        <f t="shared" si="430"/>
        <v>9.4912420807857459E-2</v>
      </c>
      <c r="T1053" s="5">
        <f t="shared" si="414"/>
        <v>8.9441839866273437E-2</v>
      </c>
      <c r="U1053" s="4">
        <f t="shared" si="415"/>
        <v>0</v>
      </c>
      <c r="V1053" s="4">
        <f t="shared" si="416"/>
        <v>0</v>
      </c>
      <c r="W1053" s="5">
        <f t="shared" si="417"/>
        <v>0</v>
      </c>
      <c r="X1053" s="5">
        <f t="shared" si="418"/>
        <v>-11.322957352211835</v>
      </c>
      <c r="Y1053" s="5">
        <f t="shared" si="419"/>
        <v>15.740475459905525</v>
      </c>
      <c r="Z1053" s="5">
        <f>1</f>
        <v>1</v>
      </c>
      <c r="AA1053" s="5">
        <f>IF(M1053=0,0,const*($T1053/omega)*O1053*(wy*I1053-wz*(H1053-V1053))/Z1053)</f>
        <v>0</v>
      </c>
      <c r="AB1053" s="5">
        <f>IF(M1053=0,0,const*($T1053/omega)*O1053*(wz*(G1053-U1053)-wx*I1053)/Z1053)</f>
        <v>9.244562856361437</v>
      </c>
      <c r="AC1053" s="5">
        <f>IF(M1053=0,0,const*($T1053/omega)*O1053*(wx*(H1053-V1053)-wy*(G1053-U1053))/Z1053)</f>
        <v>6.6501035009428149</v>
      </c>
      <c r="AD1053" s="5">
        <f t="shared" si="432"/>
        <v>0</v>
      </c>
      <c r="AE1053" s="5">
        <f t="shared" si="432"/>
        <v>-2.0783944958503984</v>
      </c>
      <c r="AF1053" s="5">
        <f t="shared" si="420"/>
        <v>-9.7834210391516585</v>
      </c>
      <c r="AG1053">
        <f t="shared" si="431"/>
        <v>0</v>
      </c>
    </row>
    <row r="1054" spans="1:33" x14ac:dyDescent="0.2">
      <c r="A1054">
        <f t="shared" si="421"/>
        <v>10.219999999999827</v>
      </c>
      <c r="B1054" s="5">
        <f t="shared" si="422"/>
        <v>0</v>
      </c>
      <c r="C1054" s="5">
        <f t="shared" si="423"/>
        <v>1286.3468544350906</v>
      </c>
      <c r="D1054" s="5">
        <f t="shared" si="424"/>
        <v>-461.30373983582962</v>
      </c>
      <c r="E1054" s="2">
        <f t="shared" si="406"/>
        <v>428.78228481169685</v>
      </c>
      <c r="F1054" s="2">
        <f t="shared" si="425"/>
        <v>0</v>
      </c>
      <c r="G1054" s="3">
        <f t="shared" si="426"/>
        <v>0</v>
      </c>
      <c r="H1054" s="3">
        <f t="shared" si="427"/>
        <v>87.390097775506703</v>
      </c>
      <c r="I1054" s="3">
        <f t="shared" si="428"/>
        <v>-121.61103927257608</v>
      </c>
      <c r="J1054" s="2">
        <f t="shared" si="407"/>
        <v>149.75404522806275</v>
      </c>
      <c r="K1054" s="2">
        <f t="shared" si="429"/>
        <v>102.08183042131066</v>
      </c>
      <c r="L1054" s="5">
        <f t="shared" si="408"/>
        <v>23.367778185248547</v>
      </c>
      <c r="M1054" s="3">
        <f t="shared" si="409"/>
        <v>14.198264460738226</v>
      </c>
      <c r="N1054" s="2">
        <v>0</v>
      </c>
      <c r="O1054" s="2">
        <f t="shared" si="410"/>
        <v>149.75404522806275</v>
      </c>
      <c r="P1054" s="2">
        <f t="shared" si="411"/>
        <v>102.08183042131066</v>
      </c>
      <c r="Q1054" s="5">
        <f t="shared" si="412"/>
        <v>1.262122850185176</v>
      </c>
      <c r="R1054" s="5">
        <f t="shared" si="413"/>
        <v>0.15226902095995898</v>
      </c>
      <c r="S1054" s="4">
        <f t="shared" si="430"/>
        <v>9.481055713129799E-2</v>
      </c>
      <c r="T1054" s="5">
        <f t="shared" si="414"/>
        <v>8.9403430521353147E-2</v>
      </c>
      <c r="U1054" s="4">
        <f t="shared" si="415"/>
        <v>0</v>
      </c>
      <c r="V1054" s="4">
        <f t="shared" si="416"/>
        <v>0</v>
      </c>
      <c r="W1054" s="5">
        <f t="shared" si="417"/>
        <v>0</v>
      </c>
      <c r="X1054" s="5">
        <f t="shared" si="418"/>
        <v>-11.323773700585409</v>
      </c>
      <c r="Y1054" s="5">
        <f t="shared" si="419"/>
        <v>15.758031210277723</v>
      </c>
      <c r="Z1054" s="5">
        <f>1</f>
        <v>1</v>
      </c>
      <c r="AA1054" s="5">
        <f>IF(M1054=0,0,const*($T1054/omega)*O1054*(wy*I1054-wz*(H1054-V1054))/Z1054)</f>
        <v>0</v>
      </c>
      <c r="AB1054" s="5">
        <f>IF(M1054=0,0,const*($T1054/omega)*O1054*(wz*(G1054-U1054)-wx*I1054)/Z1054)</f>
        <v>9.2521908893854778</v>
      </c>
      <c r="AC1054" s="5">
        <f>IF(M1054=0,0,const*($T1054/omega)*O1054*(wx*(H1054-V1054)-wy*(G1054-U1054))/Z1054)</f>
        <v>6.6486551821071505</v>
      </c>
      <c r="AD1054" s="5">
        <f t="shared" si="432"/>
        <v>0</v>
      </c>
      <c r="AE1054" s="5">
        <f t="shared" si="432"/>
        <v>-2.0715828111999315</v>
      </c>
      <c r="AF1054" s="5">
        <f t="shared" si="420"/>
        <v>-9.7673136076151259</v>
      </c>
      <c r="AG1054">
        <f t="shared" si="431"/>
        <v>0</v>
      </c>
    </row>
    <row r="1055" spans="1:33" x14ac:dyDescent="0.2">
      <c r="A1055">
        <f t="shared" si="421"/>
        <v>10.229999999999826</v>
      </c>
      <c r="B1055" s="5">
        <f t="shared" si="422"/>
        <v>0</v>
      </c>
      <c r="C1055" s="5">
        <f t="shared" si="423"/>
        <v>1287.220651833705</v>
      </c>
      <c r="D1055" s="5">
        <f t="shared" si="424"/>
        <v>-462.52033859423574</v>
      </c>
      <c r="E1055" s="2">
        <f t="shared" si="406"/>
        <v>429.07355061123502</v>
      </c>
      <c r="F1055" s="2">
        <f t="shared" si="425"/>
        <v>0</v>
      </c>
      <c r="G1055" s="3">
        <f t="shared" si="426"/>
        <v>0</v>
      </c>
      <c r="H1055" s="3">
        <f t="shared" si="427"/>
        <v>87.3693819473947</v>
      </c>
      <c r="I1055" s="3">
        <f t="shared" si="428"/>
        <v>-121.70871240865223</v>
      </c>
      <c r="J1055" s="2">
        <f t="shared" si="407"/>
        <v>149.8212921384733</v>
      </c>
      <c r="K1055" s="2">
        <f t="shared" si="429"/>
        <v>102.12767016937511</v>
      </c>
      <c r="L1055" s="5">
        <f t="shared" si="408"/>
        <v>23.357289616743444</v>
      </c>
      <c r="M1055" s="3">
        <f t="shared" si="409"/>
        <v>14.189400051850647</v>
      </c>
      <c r="N1055" s="2">
        <v>0</v>
      </c>
      <c r="O1055" s="2">
        <f t="shared" si="410"/>
        <v>149.8212921384733</v>
      </c>
      <c r="P1055" s="2">
        <f t="shared" si="411"/>
        <v>102.12767016937511</v>
      </c>
      <c r="Q1055" s="5">
        <f t="shared" si="412"/>
        <v>1.2626896052408025</v>
      </c>
      <c r="R1055" s="5">
        <f t="shared" si="413"/>
        <v>0.15224778936117825</v>
      </c>
      <c r="S1055" s="4">
        <f t="shared" si="430"/>
        <v>9.4708835101595598E-2</v>
      </c>
      <c r="T1055" s="5">
        <f t="shared" si="414"/>
        <v>8.9365049870328797E-2</v>
      </c>
      <c r="U1055" s="4">
        <f t="shared" si="415"/>
        <v>0</v>
      </c>
      <c r="V1055" s="4">
        <f t="shared" si="416"/>
        <v>0</v>
      </c>
      <c r="W1055" s="5">
        <f t="shared" si="417"/>
        <v>0</v>
      </c>
      <c r="X1055" s="5">
        <f t="shared" si="418"/>
        <v>-11.32459386110691</v>
      </c>
      <c r="Y1055" s="5">
        <f t="shared" si="419"/>
        <v>15.775569274555796</v>
      </c>
      <c r="Z1055" s="5">
        <f>1</f>
        <v>1</v>
      </c>
      <c r="AA1055" s="5">
        <f>IF(M1055=0,0,const*($T1055/omega)*O1055*(wy*I1055-wz*(H1055-V1055))/Z1055)</f>
        <v>0</v>
      </c>
      <c r="AB1055" s="5">
        <f>IF(M1055=0,0,const*($T1055/omega)*O1055*(wz*(G1055-U1055)-wx*I1055)/Z1055)</f>
        <v>9.2598029887256086</v>
      </c>
      <c r="AC1055" s="5">
        <f>IF(M1055=0,0,const*($T1055/omega)*O1055*(wx*(H1055-V1055)-wy*(G1055-U1055))/Z1055)</f>
        <v>6.6472091279973267</v>
      </c>
      <c r="AD1055" s="5">
        <f t="shared" si="432"/>
        <v>0</v>
      </c>
      <c r="AE1055" s="5">
        <f t="shared" si="432"/>
        <v>-2.0647908723813018</v>
      </c>
      <c r="AF1055" s="5">
        <f t="shared" si="420"/>
        <v>-9.7512215974468788</v>
      </c>
      <c r="AG1055">
        <f t="shared" si="431"/>
        <v>0</v>
      </c>
    </row>
    <row r="1056" spans="1:33" x14ac:dyDescent="0.2">
      <c r="A1056">
        <f t="shared" si="421"/>
        <v>10.239999999999826</v>
      </c>
      <c r="B1056" s="5">
        <f t="shared" si="422"/>
        <v>0</v>
      </c>
      <c r="C1056" s="5">
        <f t="shared" si="423"/>
        <v>1288.0942424136354</v>
      </c>
      <c r="D1056" s="5">
        <f t="shared" si="424"/>
        <v>-463.73791327940211</v>
      </c>
      <c r="E1056" s="2">
        <f t="shared" ref="E1056:E1119" si="433">SQRT(B1056^2+C1056^2)/3</f>
        <v>429.36474747121179</v>
      </c>
      <c r="F1056" s="2">
        <f t="shared" si="425"/>
        <v>0</v>
      </c>
      <c r="G1056" s="3">
        <f t="shared" si="426"/>
        <v>0</v>
      </c>
      <c r="H1056" s="3">
        <f t="shared" si="427"/>
        <v>87.348734038670884</v>
      </c>
      <c r="I1056" s="3">
        <f t="shared" si="428"/>
        <v>-121.80622462462671</v>
      </c>
      <c r="J1056" s="2">
        <f t="shared" ref="J1056:J1119" si="434">SQRT(G1056^2+H1056^2+I1056^2)</f>
        <v>149.88848419896533</v>
      </c>
      <c r="K1056" s="2">
        <f t="shared" si="429"/>
        <v>102.17347252826539</v>
      </c>
      <c r="L1056" s="5">
        <f t="shared" ref="L1056:L1119" si="435">1/(0.00002*J1056/(circ/(2*PI()*12)))</f>
        <v>23.346819003038561</v>
      </c>
      <c r="M1056" s="3">
        <f t="shared" ref="M1056:M1119" si="436">romega*EXP(-A1056/L1056)</f>
        <v>14.180538003253236</v>
      </c>
      <c r="N1056" s="2">
        <v>0</v>
      </c>
      <c r="O1056" s="2">
        <f t="shared" ref="O1056:O1119" si="437">IF(D1056&gt;=hwind,SQRT((G1056-vxw)^2+(H1056-vyw)^2+I1056^2),J1056)</f>
        <v>149.88848419896533</v>
      </c>
      <c r="P1056" s="2">
        <f t="shared" ref="P1056:P1119" si="438">J1056/1.467</f>
        <v>102.17347252826539</v>
      </c>
      <c r="Q1056" s="5">
        <f t="shared" ref="Q1056:Q1119" si="439">(P1056/100)*Re_100*0.00001</f>
        <v>1.2632558980228699</v>
      </c>
      <c r="R1056" s="5">
        <f t="shared" ref="R1056:R1119" si="440">IF(Q1056&lt;=ReLow,CdL,IF(Q1056&lt;ReHigh,CdL+(CdH-CdL)*(Q1056-ReLow)/(ReHigh-ReLow),CdH))+CdS*S1056</f>
        <v>0.15222658732610947</v>
      </c>
      <c r="S1056" s="4">
        <f t="shared" si="430"/>
        <v>9.4607254713642133E-2</v>
      </c>
      <c r="T1056" s="5">
        <f t="shared" ref="T1056:T1119" si="441">ClAmp*S1056^0.4</f>
        <v>8.9326697972080996E-2</v>
      </c>
      <c r="U1056" s="4">
        <f t="shared" ref="U1056:U1119" si="442">IF(D1056&gt;=hwind,vxw,0)</f>
        <v>0</v>
      </c>
      <c r="V1056" s="4">
        <f t="shared" ref="V1056:V1119" si="443">IF(D1056&gt;=hwind,vyw,0)</f>
        <v>0</v>
      </c>
      <c r="W1056" s="5">
        <f t="shared" ref="W1056:W1119" si="444">-const*$R1056*$O1056*(G1056-U1056)</f>
        <v>0</v>
      </c>
      <c r="X1056" s="5">
        <f t="shared" ref="X1056:X1119" si="445">-const*$R1056*$O1056*(H1056-V1056)</f>
        <v>-11.325417803759416</v>
      </c>
      <c r="Y1056" s="5">
        <f t="shared" ref="Y1056:Y1119" si="446">-const*$R1056*$O1056*I1056</f>
        <v>15.793089621215726</v>
      </c>
      <c r="Z1056" s="5">
        <f>1</f>
        <v>1</v>
      </c>
      <c r="AA1056" s="5">
        <f>IF(M1056=0,0,const*($T1056/omega)*O1056*(wy*I1056-wz*(H1056-V1056))/Z1056)</f>
        <v>0</v>
      </c>
      <c r="AB1056" s="5">
        <f>IF(M1056=0,0,const*($T1056/omega)*O1056*(wz*(G1056-U1056)-wx*I1056)/Z1056)</f>
        <v>9.2673991542499579</v>
      </c>
      <c r="AC1056" s="5">
        <f>IF(M1056=0,0,const*($T1056/omega)*O1056*(wx*(H1056-V1056)-wy*(G1056-U1056))/Z1056)</f>
        <v>6.6457653247970363</v>
      </c>
      <c r="AD1056" s="5">
        <f t="shared" si="432"/>
        <v>0</v>
      </c>
      <c r="AE1056" s="5">
        <f t="shared" si="432"/>
        <v>-2.0580186495094583</v>
      </c>
      <c r="AF1056" s="5">
        <f t="shared" ref="AF1056:AF1119" si="447">Y1056+AC1056-32.174</f>
        <v>-9.7351450539872388</v>
      </c>
      <c r="AG1056">
        <f t="shared" si="431"/>
        <v>0</v>
      </c>
    </row>
    <row r="1057" spans="1:33" x14ac:dyDescent="0.2">
      <c r="A1057">
        <f t="shared" ref="A1057:A1120" si="448">A1056+dt</f>
        <v>10.249999999999826</v>
      </c>
      <c r="B1057" s="5">
        <f t="shared" ref="B1057:B1120" si="449">B1056+G1056*dt+0.5*AD1056*dt*dt</f>
        <v>0</v>
      </c>
      <c r="C1057" s="5">
        <f t="shared" ref="C1057:C1120" si="450">C1056+H1056*dt+0.5*AE1056*dt*dt</f>
        <v>1288.9676268530895</v>
      </c>
      <c r="D1057" s="5">
        <f t="shared" ref="D1057:D1120" si="451">D1056+I1056*dt+0.5*AF1056*dt*dt</f>
        <v>-464.9564622829011</v>
      </c>
      <c r="E1057" s="2">
        <f t="shared" si="433"/>
        <v>429.65587561769649</v>
      </c>
      <c r="F1057" s="2">
        <f t="shared" ref="F1057:F1120" si="452">ATAN2(C1057,B1057)*180/PI()</f>
        <v>0</v>
      </c>
      <c r="G1057" s="3">
        <f t="shared" ref="G1057:G1120" si="453">G1056+AD1056*dt</f>
        <v>0</v>
      </c>
      <c r="H1057" s="3">
        <f t="shared" ref="H1057:H1120" si="454">H1056+AE1056*dt</f>
        <v>87.328153852175788</v>
      </c>
      <c r="I1057" s="3">
        <f t="shared" ref="I1057:I1120" si="455">I1056+AF1056*dt</f>
        <v>-121.90357607516658</v>
      </c>
      <c r="J1057" s="2">
        <f t="shared" si="434"/>
        <v>149.95562115220361</v>
      </c>
      <c r="K1057" s="2">
        <f t="shared" ref="K1057:K1120" si="456">J1057/1.467</f>
        <v>102.2192373225655</v>
      </c>
      <c r="L1057" s="5">
        <f t="shared" si="435"/>
        <v>23.336366348555682</v>
      </c>
      <c r="M1057" s="3">
        <f t="shared" si="436"/>
        <v>14.171678334783516</v>
      </c>
      <c r="N1057" s="2">
        <v>0</v>
      </c>
      <c r="O1057" s="2">
        <f t="shared" si="437"/>
        <v>149.95562115220361</v>
      </c>
      <c r="P1057" s="2">
        <f t="shared" si="438"/>
        <v>102.2192373225655</v>
      </c>
      <c r="Q1057" s="5">
        <f t="shared" si="439"/>
        <v>1.2638217263625635</v>
      </c>
      <c r="R1057" s="5">
        <f t="shared" si="440"/>
        <v>0.15220541485320843</v>
      </c>
      <c r="S1057" s="4">
        <f t="shared" ref="S1057:S1120" si="457">(M1057/O1057)</f>
        <v>9.4505815960039208E-2</v>
      </c>
      <c r="T1057" s="5">
        <f t="shared" si="441"/>
        <v>8.9288374884712404E-2</v>
      </c>
      <c r="U1057" s="4">
        <f t="shared" si="442"/>
        <v>0</v>
      </c>
      <c r="V1057" s="4">
        <f t="shared" si="443"/>
        <v>0</v>
      </c>
      <c r="W1057" s="5">
        <f t="shared" si="444"/>
        <v>0</v>
      </c>
      <c r="X1057" s="5">
        <f t="shared" si="445"/>
        <v>-11.326245498658221</v>
      </c>
      <c r="Y1057" s="5">
        <f t="shared" si="446"/>
        <v>15.810592218963929</v>
      </c>
      <c r="Z1057" s="5">
        <f>1</f>
        <v>1</v>
      </c>
      <c r="AA1057" s="5">
        <f>IF(M1057=0,0,const*($T1057/omega)*O1057*(wy*I1057-wz*(H1057-V1057))/Z1057)</f>
        <v>0</v>
      </c>
      <c r="AB1057" s="5">
        <f>IF(M1057=0,0,const*($T1057/omega)*O1057*(wz*(G1057-U1057)-wx*I1057)/Z1057)</f>
        <v>9.2749793859676863</v>
      </c>
      <c r="AC1057" s="5">
        <f>IF(M1057=0,0,const*($T1057/omega)*O1057*(wx*(H1057-V1057)-wy*(G1057-U1057))/Z1057)</f>
        <v>6.6443237587559691</v>
      </c>
      <c r="AD1057" s="5">
        <f t="shared" si="432"/>
        <v>0</v>
      </c>
      <c r="AE1057" s="5">
        <f t="shared" si="432"/>
        <v>-2.0512661126905343</v>
      </c>
      <c r="AF1057" s="5">
        <f t="shared" si="447"/>
        <v>-9.7190840222801</v>
      </c>
      <c r="AG1057">
        <f t="shared" si="431"/>
        <v>0</v>
      </c>
    </row>
    <row r="1058" spans="1:33" x14ac:dyDescent="0.2">
      <c r="A1058">
        <f t="shared" si="448"/>
        <v>10.259999999999826</v>
      </c>
      <c r="B1058" s="5">
        <f t="shared" si="449"/>
        <v>0</v>
      </c>
      <c r="C1058" s="5">
        <f t="shared" si="450"/>
        <v>1289.8408058283055</v>
      </c>
      <c r="D1058" s="5">
        <f t="shared" si="451"/>
        <v>-466.17598399785385</v>
      </c>
      <c r="E1058" s="2">
        <f t="shared" si="433"/>
        <v>429.94693527610184</v>
      </c>
      <c r="F1058" s="2">
        <f t="shared" si="452"/>
        <v>0</v>
      </c>
      <c r="G1058" s="3">
        <f t="shared" si="453"/>
        <v>0</v>
      </c>
      <c r="H1058" s="3">
        <f t="shared" si="454"/>
        <v>87.307641191048887</v>
      </c>
      <c r="I1058" s="3">
        <f t="shared" si="455"/>
        <v>-122.00076691538939</v>
      </c>
      <c r="J1058" s="2">
        <f t="shared" si="434"/>
        <v>150.02270274291189</v>
      </c>
      <c r="K1058" s="2">
        <f t="shared" si="456"/>
        <v>102.26496437826304</v>
      </c>
      <c r="L1058" s="5">
        <f t="shared" si="435"/>
        <v>23.325931657356342</v>
      </c>
      <c r="M1058" s="3">
        <f t="shared" si="436"/>
        <v>14.16282106618867</v>
      </c>
      <c r="N1058" s="2">
        <v>0</v>
      </c>
      <c r="O1058" s="2">
        <f t="shared" si="437"/>
        <v>150.02270274291189</v>
      </c>
      <c r="P1058" s="2">
        <f t="shared" si="438"/>
        <v>102.26496437826304</v>
      </c>
      <c r="Q1058" s="5">
        <f t="shared" si="439"/>
        <v>1.2643870881084234</v>
      </c>
      <c r="R1058" s="5">
        <f t="shared" si="440"/>
        <v>0.15218427194045733</v>
      </c>
      <c r="S1058" s="4">
        <f t="shared" si="457"/>
        <v>9.4404518831119513E-2</v>
      </c>
      <c r="T1058" s="5">
        <f t="shared" si="441"/>
        <v>8.9250080665552775E-2</v>
      </c>
      <c r="U1058" s="4">
        <f t="shared" si="442"/>
        <v>0</v>
      </c>
      <c r="V1058" s="4">
        <f t="shared" si="443"/>
        <v>0</v>
      </c>
      <c r="W1058" s="5">
        <f t="shared" si="444"/>
        <v>0</v>
      </c>
      <c r="X1058" s="5">
        <f t="shared" si="445"/>
        <v>-11.327076916050109</v>
      </c>
      <c r="Y1058" s="5">
        <f t="shared" si="446"/>
        <v>15.82807703673703</v>
      </c>
      <c r="Z1058" s="5">
        <f>1</f>
        <v>1</v>
      </c>
      <c r="AA1058" s="5">
        <f>IF(M1058=0,0,const*($T1058/omega)*O1058*(wy*I1058-wz*(H1058-V1058))/Z1058)</f>
        <v>0</v>
      </c>
      <c r="AB1058" s="5">
        <f>IF(M1058=0,0,const*($T1058/omega)*O1058*(wz*(G1058-U1058)-wx*I1058)/Z1058)</f>
        <v>9.2825436840284716</v>
      </c>
      <c r="AC1058" s="5">
        <f>IF(M1058=0,0,const*($T1058/omega)*O1058*(wx*(H1058-V1058)-wy*(G1058-U1058))/Z1058)</f>
        <v>6.6428844161893945</v>
      </c>
      <c r="AD1058" s="5">
        <f t="shared" si="432"/>
        <v>0</v>
      </c>
      <c r="AE1058" s="5">
        <f t="shared" si="432"/>
        <v>-2.0445332320216369</v>
      </c>
      <c r="AF1058" s="5">
        <f t="shared" si="447"/>
        <v>-9.7030385470735752</v>
      </c>
      <c r="AG1058">
        <f t="shared" ref="AG1058:AG1121" si="458">IF($D1058*$D1059&lt;0,1,0)</f>
        <v>0</v>
      </c>
    </row>
    <row r="1059" spans="1:33" x14ac:dyDescent="0.2">
      <c r="A1059">
        <f t="shared" si="448"/>
        <v>10.269999999999825</v>
      </c>
      <c r="B1059" s="5">
        <f t="shared" si="449"/>
        <v>0</v>
      </c>
      <c r="C1059" s="5">
        <f t="shared" si="450"/>
        <v>1290.7137800135545</v>
      </c>
      <c r="D1059" s="5">
        <f t="shared" si="451"/>
        <v>-467.39647681893513</v>
      </c>
      <c r="E1059" s="2">
        <f t="shared" si="433"/>
        <v>430.23792667118482</v>
      </c>
      <c r="F1059" s="2">
        <f t="shared" si="452"/>
        <v>0</v>
      </c>
      <c r="G1059" s="3">
        <f t="shared" si="453"/>
        <v>0</v>
      </c>
      <c r="H1059" s="3">
        <f t="shared" si="454"/>
        <v>87.287195858728666</v>
      </c>
      <c r="I1059" s="3">
        <f t="shared" si="455"/>
        <v>-122.09779730086012</v>
      </c>
      <c r="J1059" s="2">
        <f t="shared" si="434"/>
        <v>150.08972871786392</v>
      </c>
      <c r="K1059" s="2">
        <f t="shared" si="456"/>
        <v>102.31065352274295</v>
      </c>
      <c r="L1059" s="5">
        <f t="shared" si="435"/>
        <v>23.315514933145071</v>
      </c>
      <c r="M1059" s="3">
        <f t="shared" si="436"/>
        <v>14.153966217125648</v>
      </c>
      <c r="N1059" s="2">
        <v>0</v>
      </c>
      <c r="O1059" s="2">
        <f t="shared" si="437"/>
        <v>150.08972871786392</v>
      </c>
      <c r="P1059" s="2">
        <f t="shared" si="438"/>
        <v>102.31065352274295</v>
      </c>
      <c r="Q1059" s="5">
        <f t="shared" si="439"/>
        <v>1.2649519811262653</v>
      </c>
      <c r="R1059" s="5">
        <f t="shared" si="440"/>
        <v>0.15216315858536919</v>
      </c>
      <c r="S1059" s="4">
        <f t="shared" si="457"/>
        <v>9.4303363314967595E-2</v>
      </c>
      <c r="T1059" s="5">
        <f t="shared" si="441"/>
        <v>8.9211815371164072E-2</v>
      </c>
      <c r="U1059" s="4">
        <f t="shared" si="442"/>
        <v>0</v>
      </c>
      <c r="V1059" s="4">
        <f t="shared" si="443"/>
        <v>0</v>
      </c>
      <c r="W1059" s="5">
        <f t="shared" si="444"/>
        <v>0</v>
      </c>
      <c r="X1059" s="5">
        <f t="shared" si="445"/>
        <v>-11.327912026312671</v>
      </c>
      <c r="Y1059" s="5">
        <f t="shared" si="446"/>
        <v>15.845544043701683</v>
      </c>
      <c r="Z1059" s="5">
        <f>1</f>
        <v>1</v>
      </c>
      <c r="AA1059" s="5">
        <f>IF(M1059=0,0,const*($T1059/omega)*O1059*(wy*I1059-wz*(H1059-V1059))/Z1059)</f>
        <v>0</v>
      </c>
      <c r="AB1059" s="5">
        <f>IF(M1059=0,0,const*($T1059/omega)*O1059*(wz*(G1059-U1059)-wx*I1059)/Z1059)</f>
        <v>9.2900920487220002</v>
      </c>
      <c r="AC1059" s="5">
        <f>IF(M1059=0,0,const*($T1059/omega)*O1059*(wx*(H1059-V1059)-wy*(G1059-U1059))/Z1059)</f>
        <v>6.6414472834777545</v>
      </c>
      <c r="AD1059" s="5">
        <f t="shared" si="432"/>
        <v>0</v>
      </c>
      <c r="AE1059" s="5">
        <f t="shared" si="432"/>
        <v>-2.0378199775906705</v>
      </c>
      <c r="AF1059" s="5">
        <f t="shared" si="447"/>
        <v>-9.6870086728205607</v>
      </c>
      <c r="AG1059">
        <f t="shared" si="458"/>
        <v>0</v>
      </c>
    </row>
    <row r="1060" spans="1:33" x14ac:dyDescent="0.2">
      <c r="A1060">
        <f t="shared" si="448"/>
        <v>10.279999999999825</v>
      </c>
      <c r="B1060" s="5">
        <f t="shared" si="449"/>
        <v>0</v>
      </c>
      <c r="C1060" s="5">
        <f t="shared" si="450"/>
        <v>1291.5865500811428</v>
      </c>
      <c r="D1060" s="5">
        <f t="shared" si="451"/>
        <v>-468.61793914237734</v>
      </c>
      <c r="E1060" s="2">
        <f t="shared" si="433"/>
        <v>430.52885002704761</v>
      </c>
      <c r="F1060" s="2">
        <f t="shared" si="452"/>
        <v>0</v>
      </c>
      <c r="G1060" s="3">
        <f t="shared" si="453"/>
        <v>0</v>
      </c>
      <c r="H1060" s="3">
        <f t="shared" si="454"/>
        <v>87.26681765895276</v>
      </c>
      <c r="I1060" s="3">
        <f t="shared" si="455"/>
        <v>-122.19466738758832</v>
      </c>
      <c r="J1060" s="2">
        <f t="shared" si="434"/>
        <v>150.15669882587406</v>
      </c>
      <c r="K1060" s="2">
        <f t="shared" si="456"/>
        <v>102.35630458478123</v>
      </c>
      <c r="L1060" s="5">
        <f t="shared" si="435"/>
        <v>23.305116179272655</v>
      </c>
      <c r="M1060" s="3">
        <f t="shared" si="436"/>
        <v>14.145113807161332</v>
      </c>
      <c r="N1060" s="2">
        <v>0</v>
      </c>
      <c r="O1060" s="2">
        <f t="shared" si="437"/>
        <v>150.15669882587406</v>
      </c>
      <c r="P1060" s="2">
        <f t="shared" si="438"/>
        <v>102.35630458478123</v>
      </c>
      <c r="Q1060" s="5">
        <f t="shared" si="439"/>
        <v>1.2655164032991038</v>
      </c>
      <c r="R1060" s="5">
        <f t="shared" si="440"/>
        <v>0.15214207478499217</v>
      </c>
      <c r="S1060" s="4">
        <f t="shared" si="457"/>
        <v>9.4202349397441168E-2</v>
      </c>
      <c r="T1060" s="5">
        <f t="shared" si="441"/>
        <v>8.9173579057345798E-2</v>
      </c>
      <c r="U1060" s="4">
        <f t="shared" si="442"/>
        <v>0</v>
      </c>
      <c r="V1060" s="4">
        <f t="shared" si="443"/>
        <v>0</v>
      </c>
      <c r="W1060" s="5">
        <f t="shared" si="444"/>
        <v>0</v>
      </c>
      <c r="X1060" s="5">
        <f t="shared" si="445"/>
        <v>-11.328750799953585</v>
      </c>
      <c r="Y1060" s="5">
        <f t="shared" si="446"/>
        <v>15.862993209254331</v>
      </c>
      <c r="Z1060" s="5">
        <f>1</f>
        <v>1</v>
      </c>
      <c r="AA1060" s="5">
        <f>IF(M1060=0,0,const*($T1060/omega)*O1060*(wy*I1060-wz*(H1060-V1060))/Z1060)</f>
        <v>0</v>
      </c>
      <c r="AB1060" s="5">
        <f>IF(M1060=0,0,const*($T1060/omega)*O1060*(wz*(G1060-U1060)-wx*I1060)/Z1060)</f>
        <v>9.2976244804774932</v>
      </c>
      <c r="AC1060" s="5">
        <f>IF(M1060=0,0,const*($T1060/omega)*O1060*(wx*(H1060-V1060)-wy*(G1060-U1060))/Z1060)</f>
        <v>6.6400123470662882</v>
      </c>
      <c r="AD1060" s="5">
        <f t="shared" si="432"/>
        <v>0</v>
      </c>
      <c r="AE1060" s="5">
        <f t="shared" si="432"/>
        <v>-2.0311263194760922</v>
      </c>
      <c r="AF1060" s="5">
        <f t="shared" si="447"/>
        <v>-9.6709944436793798</v>
      </c>
      <c r="AG1060">
        <f t="shared" si="458"/>
        <v>0</v>
      </c>
    </row>
    <row r="1061" spans="1:33" x14ac:dyDescent="0.2">
      <c r="A1061">
        <f t="shared" si="448"/>
        <v>10.289999999999825</v>
      </c>
      <c r="B1061" s="5">
        <f t="shared" si="449"/>
        <v>0</v>
      </c>
      <c r="C1061" s="5">
        <f t="shared" si="450"/>
        <v>1292.4591167014164</v>
      </c>
      <c r="D1061" s="5">
        <f t="shared" si="451"/>
        <v>-469.84036936597539</v>
      </c>
      <c r="E1061" s="2">
        <f t="shared" si="433"/>
        <v>430.81970556713878</v>
      </c>
      <c r="F1061" s="2">
        <f t="shared" si="452"/>
        <v>0</v>
      </c>
      <c r="G1061" s="3">
        <f t="shared" si="453"/>
        <v>0</v>
      </c>
      <c r="H1061" s="3">
        <f t="shared" si="454"/>
        <v>87.246506395758004</v>
      </c>
      <c r="I1061" s="3">
        <f t="shared" si="455"/>
        <v>-122.29137733202512</v>
      </c>
      <c r="J1061" s="2">
        <f t="shared" si="434"/>
        <v>150.22361281778836</v>
      </c>
      <c r="K1061" s="2">
        <f t="shared" si="456"/>
        <v>102.40191739453876</v>
      </c>
      <c r="L1061" s="5">
        <f t="shared" si="435"/>
        <v>23.294735398739348</v>
      </c>
      <c r="M1061" s="3">
        <f t="shared" si="436"/>
        <v>14.136263855772636</v>
      </c>
      <c r="N1061" s="2">
        <v>0</v>
      </c>
      <c r="O1061" s="2">
        <f t="shared" si="437"/>
        <v>150.22361281778836</v>
      </c>
      <c r="P1061" s="2">
        <f t="shared" si="438"/>
        <v>102.40191739453876</v>
      </c>
      <c r="Q1061" s="5">
        <f t="shared" si="439"/>
        <v>1.2660803525270765</v>
      </c>
      <c r="R1061" s="5">
        <f t="shared" si="440"/>
        <v>0.15212102053591395</v>
      </c>
      <c r="S1061" s="4">
        <f t="shared" si="457"/>
        <v>9.4101477062191421E-2</v>
      </c>
      <c r="T1061" s="5">
        <f t="shared" si="441"/>
        <v>8.9135371779139744E-2</v>
      </c>
      <c r="U1061" s="4">
        <f t="shared" si="442"/>
        <v>0</v>
      </c>
      <c r="V1061" s="4">
        <f t="shared" si="443"/>
        <v>0</v>
      </c>
      <c r="W1061" s="5">
        <f t="shared" si="444"/>
        <v>0</v>
      </c>
      <c r="X1061" s="5">
        <f t="shared" si="445"/>
        <v>-11.329593207609939</v>
      </c>
      <c r="Y1061" s="5">
        <f t="shared" si="446"/>
        <v>15.880424503021024</v>
      </c>
      <c r="Z1061" s="5">
        <f>1</f>
        <v>1</v>
      </c>
      <c r="AA1061" s="5">
        <f>IF(M1061=0,0,const*($T1061/omega)*O1061*(wy*I1061-wz*(H1061-V1061))/Z1061)</f>
        <v>0</v>
      </c>
      <c r="AB1061" s="5">
        <f>IF(M1061=0,0,const*($T1061/omega)*O1061*(wz*(G1061-U1061)-wx*I1061)/Z1061)</f>
        <v>9.3051409798631681</v>
      </c>
      <c r="AC1061" s="5">
        <f>IF(M1061=0,0,const*($T1061/omega)*O1061*(wx*(H1061-V1061)-wy*(G1061-U1061))/Z1061)</f>
        <v>6.6385795934646037</v>
      </c>
      <c r="AD1061" s="5">
        <f t="shared" si="432"/>
        <v>0</v>
      </c>
      <c r="AE1061" s="5">
        <f t="shared" si="432"/>
        <v>-2.0244522277467709</v>
      </c>
      <c r="AF1061" s="5">
        <f t="shared" si="447"/>
        <v>-9.6549959035143722</v>
      </c>
      <c r="AG1061">
        <f t="shared" si="458"/>
        <v>0</v>
      </c>
    </row>
    <row r="1062" spans="1:33" x14ac:dyDescent="0.2">
      <c r="A1062">
        <f t="shared" si="448"/>
        <v>10.299999999999825</v>
      </c>
      <c r="B1062" s="5">
        <f t="shared" si="449"/>
        <v>0</v>
      </c>
      <c r="C1062" s="5">
        <f t="shared" si="450"/>
        <v>1293.3314805427626</v>
      </c>
      <c r="D1062" s="5">
        <f t="shared" si="451"/>
        <v>-471.06376588909086</v>
      </c>
      <c r="E1062" s="2">
        <f t="shared" si="433"/>
        <v>431.11049351425419</v>
      </c>
      <c r="F1062" s="2">
        <f t="shared" si="452"/>
        <v>0</v>
      </c>
      <c r="G1062" s="3">
        <f t="shared" si="453"/>
        <v>0</v>
      </c>
      <c r="H1062" s="3">
        <f t="shared" si="454"/>
        <v>87.226261873480539</v>
      </c>
      <c r="I1062" s="3">
        <f t="shared" si="455"/>
        <v>-122.38792729106027</v>
      </c>
      <c r="J1062" s="2">
        <f t="shared" si="434"/>
        <v>150.29047044647527</v>
      </c>
      <c r="K1062" s="2">
        <f t="shared" si="456"/>
        <v>102.44749178355505</v>
      </c>
      <c r="L1062" s="5">
        <f t="shared" si="435"/>
        <v>23.284372594198103</v>
      </c>
      <c r="M1062" s="3">
        <f t="shared" si="436"/>
        <v>14.127416382346677</v>
      </c>
      <c r="N1062" s="2">
        <v>0</v>
      </c>
      <c r="O1062" s="2">
        <f t="shared" si="437"/>
        <v>150.29047044647527</v>
      </c>
      <c r="P1062" s="2">
        <f t="shared" si="438"/>
        <v>102.44749178355505</v>
      </c>
      <c r="Q1062" s="5">
        <f t="shared" si="439"/>
        <v>1.2666438267273654</v>
      </c>
      <c r="R1062" s="5">
        <f t="shared" si="440"/>
        <v>0.15209999583426601</v>
      </c>
      <c r="S1062" s="4">
        <f t="shared" si="457"/>
        <v>9.4000746290684098E-2</v>
      </c>
      <c r="T1062" s="5">
        <f t="shared" si="441"/>
        <v>8.9097193590835497E-2</v>
      </c>
      <c r="U1062" s="4">
        <f t="shared" si="442"/>
        <v>0</v>
      </c>
      <c r="V1062" s="4">
        <f t="shared" si="443"/>
        <v>0</v>
      </c>
      <c r="W1062" s="5">
        <f t="shared" si="444"/>
        <v>0</v>
      </c>
      <c r="X1062" s="5">
        <f t="shared" si="445"/>
        <v>-11.33043922004752</v>
      </c>
      <c r="Y1062" s="5">
        <f t="shared" si="446"/>
        <v>15.897837894857163</v>
      </c>
      <c r="Z1062" s="5">
        <f>1</f>
        <v>1</v>
      </c>
      <c r="AA1062" s="5">
        <f>IF(M1062=0,0,const*($T1062/omega)*O1062*(wy*I1062-wz*(H1062-V1062))/Z1062)</f>
        <v>0</v>
      </c>
      <c r="AB1062" s="5">
        <f>IF(M1062=0,0,const*($T1062/omega)*O1062*(wz*(G1062-U1062)-wx*I1062)/Z1062)</f>
        <v>9.3126415475857769</v>
      </c>
      <c r="AC1062" s="5">
        <f>IF(M1062=0,0,const*($T1062/omega)*O1062*(wx*(H1062-V1062)-wy*(G1062-U1062))/Z1062)</f>
        <v>6.6371490092463254</v>
      </c>
      <c r="AD1062" s="5">
        <f t="shared" si="432"/>
        <v>0</v>
      </c>
      <c r="AE1062" s="5">
        <f t="shared" si="432"/>
        <v>-2.017797672461743</v>
      </c>
      <c r="AF1062" s="5">
        <f t="shared" si="447"/>
        <v>-9.6390130958965088</v>
      </c>
      <c r="AG1062">
        <f t="shared" si="458"/>
        <v>0</v>
      </c>
    </row>
    <row r="1063" spans="1:33" x14ac:dyDescent="0.2">
      <c r="A1063">
        <f t="shared" si="448"/>
        <v>10.309999999999825</v>
      </c>
      <c r="B1063" s="5">
        <f t="shared" si="449"/>
        <v>0</v>
      </c>
      <c r="C1063" s="5">
        <f t="shared" si="450"/>
        <v>1294.2036422716137</v>
      </c>
      <c r="D1063" s="5">
        <f t="shared" si="451"/>
        <v>-472.28812711265624</v>
      </c>
      <c r="E1063" s="2">
        <f t="shared" si="433"/>
        <v>431.40121409053791</v>
      </c>
      <c r="F1063" s="2">
        <f t="shared" si="452"/>
        <v>0</v>
      </c>
      <c r="G1063" s="3">
        <f t="shared" si="453"/>
        <v>0</v>
      </c>
      <c r="H1063" s="3">
        <f t="shared" si="454"/>
        <v>87.206083896755928</v>
      </c>
      <c r="I1063" s="3">
        <f t="shared" si="455"/>
        <v>-122.48431742201923</v>
      </c>
      <c r="J1063" s="2">
        <f t="shared" si="434"/>
        <v>150.35727146681666</v>
      </c>
      <c r="K1063" s="2">
        <f t="shared" si="456"/>
        <v>102.49302758474209</v>
      </c>
      <c r="L1063" s="5">
        <f t="shared" si="435"/>
        <v>23.274027767957726</v>
      </c>
      <c r="M1063" s="3">
        <f t="shared" si="436"/>
        <v>14.118571406180878</v>
      </c>
      <c r="N1063" s="2">
        <v>0</v>
      </c>
      <c r="O1063" s="2">
        <f t="shared" si="437"/>
        <v>150.35727146681666</v>
      </c>
      <c r="P1063" s="2">
        <f t="shared" si="438"/>
        <v>102.49302758474209</v>
      </c>
      <c r="Q1063" s="5">
        <f t="shared" si="439"/>
        <v>1.2672068238341225</v>
      </c>
      <c r="R1063" s="5">
        <f t="shared" si="440"/>
        <v>0.15207900067572791</v>
      </c>
      <c r="S1063" s="4">
        <f t="shared" si="457"/>
        <v>9.390015706221963E-2</v>
      </c>
      <c r="T1063" s="5">
        <f t="shared" si="441"/>
        <v>8.9059044545975075E-2</v>
      </c>
      <c r="U1063" s="4">
        <f t="shared" si="442"/>
        <v>0</v>
      </c>
      <c r="V1063" s="4">
        <f t="shared" si="443"/>
        <v>0</v>
      </c>
      <c r="W1063" s="5">
        <f t="shared" si="444"/>
        <v>0</v>
      </c>
      <c r="X1063" s="5">
        <f t="shared" si="445"/>
        <v>-11.331288808160144</v>
      </c>
      <c r="Y1063" s="5">
        <f t="shared" si="446"/>
        <v>15.91523335484729</v>
      </c>
      <c r="Z1063" s="5">
        <f>1</f>
        <v>1</v>
      </c>
      <c r="AA1063" s="5">
        <f>IF(M1063=0,0,const*($T1063/omega)*O1063*(wy*I1063-wz*(H1063-V1063))/Z1063)</f>
        <v>0</v>
      </c>
      <c r="AB1063" s="5">
        <f>IF(M1063=0,0,const*($T1063/omega)*O1063*(wz*(G1063-U1063)-wx*I1063)/Z1063)</f>
        <v>9.3201261844900589</v>
      </c>
      <c r="AC1063" s="5">
        <f>IF(M1063=0,0,const*($T1063/omega)*O1063*(wx*(H1063-V1063)-wy*(G1063-U1063))/Z1063)</f>
        <v>6.6357205810486759</v>
      </c>
      <c r="AD1063" s="5">
        <f t="shared" si="432"/>
        <v>0</v>
      </c>
      <c r="AE1063" s="5">
        <f t="shared" si="432"/>
        <v>-2.011162623670085</v>
      </c>
      <c r="AF1063" s="5">
        <f t="shared" si="447"/>
        <v>-9.6230460641040345</v>
      </c>
      <c r="AG1063">
        <f t="shared" si="458"/>
        <v>0</v>
      </c>
    </row>
    <row r="1064" spans="1:33" x14ac:dyDescent="0.2">
      <c r="A1064">
        <f t="shared" si="448"/>
        <v>10.319999999999824</v>
      </c>
      <c r="B1064" s="5">
        <f t="shared" si="449"/>
        <v>0</v>
      </c>
      <c r="C1064" s="5">
        <f t="shared" si="450"/>
        <v>1295.0756025524502</v>
      </c>
      <c r="D1064" s="5">
        <f t="shared" si="451"/>
        <v>-473.51345143917968</v>
      </c>
      <c r="E1064" s="2">
        <f t="shared" si="433"/>
        <v>431.69186751748339</v>
      </c>
      <c r="F1064" s="2">
        <f t="shared" si="452"/>
        <v>0</v>
      </c>
      <c r="G1064" s="3">
        <f t="shared" si="453"/>
        <v>0</v>
      </c>
      <c r="H1064" s="3">
        <f t="shared" si="454"/>
        <v>87.18597227051923</v>
      </c>
      <c r="I1064" s="3">
        <f t="shared" si="455"/>
        <v>-122.58054788266027</v>
      </c>
      <c r="J1064" s="2">
        <f t="shared" si="434"/>
        <v>150.42401563569865</v>
      </c>
      <c r="K1064" s="2">
        <f t="shared" si="456"/>
        <v>102.53852463237808</v>
      </c>
      <c r="L1064" s="5">
        <f t="shared" si="435"/>
        <v>23.263700921986064</v>
      </c>
      <c r="M1064" s="3">
        <f t="shared" si="436"/>
        <v>14.109728946483141</v>
      </c>
      <c r="N1064" s="2">
        <v>0</v>
      </c>
      <c r="O1064" s="2">
        <f t="shared" si="437"/>
        <v>150.42401563569865</v>
      </c>
      <c r="P1064" s="2">
        <f t="shared" si="438"/>
        <v>102.53852463237808</v>
      </c>
      <c r="Q1064" s="5">
        <f t="shared" si="439"/>
        <v>1.2677693417983904</v>
      </c>
      <c r="R1064" s="5">
        <f t="shared" si="440"/>
        <v>0.15205803505553156</v>
      </c>
      <c r="S1064" s="4">
        <f t="shared" si="457"/>
        <v>9.3799709353953833E-2</v>
      </c>
      <c r="T1064" s="5">
        <f t="shared" si="441"/>
        <v>8.9020924697358325E-2</v>
      </c>
      <c r="U1064" s="4">
        <f t="shared" si="442"/>
        <v>0</v>
      </c>
      <c r="V1064" s="4">
        <f t="shared" si="443"/>
        <v>0</v>
      </c>
      <c r="W1064" s="5">
        <f t="shared" si="444"/>
        <v>0</v>
      </c>
      <c r="X1064" s="5">
        <f t="shared" si="445"/>
        <v>-11.332141942968967</v>
      </c>
      <c r="Y1064" s="5">
        <f t="shared" si="446"/>
        <v>15.932610853304848</v>
      </c>
      <c r="Z1064" s="5">
        <f>1</f>
        <v>1</v>
      </c>
      <c r="AA1064" s="5">
        <f>IF(M1064=0,0,const*($T1064/omega)*O1064*(wy*I1064-wz*(H1064-V1064))/Z1064)</f>
        <v>0</v>
      </c>
      <c r="AB1064" s="5">
        <f>IF(M1064=0,0,const*($T1064/omega)*O1064*(wz*(G1064-U1064)-wx*I1064)/Z1064)</f>
        <v>9.327594891558272</v>
      </c>
      <c r="AC1064" s="5">
        <f>IF(M1064=0,0,const*($T1064/omega)*O1064*(wx*(H1064-V1064)-wy*(G1064-U1064))/Z1064)</f>
        <v>6.6342942955721043</v>
      </c>
      <c r="AD1064" s="5">
        <f t="shared" si="432"/>
        <v>0</v>
      </c>
      <c r="AE1064" s="5">
        <f t="shared" si="432"/>
        <v>-2.0045470514106949</v>
      </c>
      <c r="AF1064" s="5">
        <f t="shared" si="447"/>
        <v>-9.6070948511230476</v>
      </c>
      <c r="AG1064">
        <f t="shared" si="458"/>
        <v>0</v>
      </c>
    </row>
    <row r="1065" spans="1:33" x14ac:dyDescent="0.2">
      <c r="A1065">
        <f t="shared" si="448"/>
        <v>10.329999999999824</v>
      </c>
      <c r="B1065" s="5">
        <f t="shared" si="449"/>
        <v>0</v>
      </c>
      <c r="C1065" s="5">
        <f t="shared" si="450"/>
        <v>1295.9473620478029</v>
      </c>
      <c r="D1065" s="5">
        <f t="shared" si="451"/>
        <v>-474.73973727274881</v>
      </c>
      <c r="E1065" s="2">
        <f t="shared" si="433"/>
        <v>431.98245401593431</v>
      </c>
      <c r="F1065" s="2">
        <f t="shared" si="452"/>
        <v>0</v>
      </c>
      <c r="G1065" s="3">
        <f t="shared" si="453"/>
        <v>0</v>
      </c>
      <c r="H1065" s="3">
        <f t="shared" si="454"/>
        <v>87.165926800005124</v>
      </c>
      <c r="I1065" s="3">
        <f t="shared" si="455"/>
        <v>-122.6766188311715</v>
      </c>
      <c r="J1065" s="2">
        <f t="shared" si="434"/>
        <v>150.49070271200276</v>
      </c>
      <c r="K1065" s="2">
        <f t="shared" si="456"/>
        <v>102.5839827621014</v>
      </c>
      <c r="L1065" s="5">
        <f t="shared" si="435"/>
        <v>23.253392057913118</v>
      </c>
      <c r="M1065" s="3">
        <f t="shared" si="436"/>
        <v>14.100889022371954</v>
      </c>
      <c r="N1065" s="2">
        <v>0</v>
      </c>
      <c r="O1065" s="2">
        <f t="shared" si="437"/>
        <v>150.49070271200276</v>
      </c>
      <c r="P1065" s="2">
        <f t="shared" si="438"/>
        <v>102.5839827621014</v>
      </c>
      <c r="Q1065" s="5">
        <f t="shared" si="439"/>
        <v>1.2683313785880292</v>
      </c>
      <c r="R1065" s="5">
        <f t="shared" si="440"/>
        <v>0.1520370989684654</v>
      </c>
      <c r="S1065" s="4">
        <f t="shared" si="457"/>
        <v>9.3699403140917764E-2</v>
      </c>
      <c r="T1065" s="5">
        <f t="shared" si="441"/>
        <v>8.8982834097047631E-2</v>
      </c>
      <c r="U1065" s="4">
        <f t="shared" si="442"/>
        <v>0</v>
      </c>
      <c r="V1065" s="4">
        <f t="shared" si="443"/>
        <v>0</v>
      </c>
      <c r="W1065" s="5">
        <f t="shared" si="444"/>
        <v>0</v>
      </c>
      <c r="X1065" s="5">
        <f t="shared" si="445"/>
        <v>-11.332998595621815</v>
      </c>
      <c r="Y1065" s="5">
        <f t="shared" si="446"/>
        <v>15.94997036077195</v>
      </c>
      <c r="Z1065" s="5">
        <f>1</f>
        <v>1</v>
      </c>
      <c r="AA1065" s="5">
        <f>IF(M1065=0,0,const*($T1065/omega)*O1065*(wy*I1065-wz*(H1065-V1065))/Z1065)</f>
        <v>0</v>
      </c>
      <c r="AB1065" s="5">
        <f>IF(M1065=0,0,const*($T1065/omega)*O1065*(wz*(G1065-U1065)-wx*I1065)/Z1065)</f>
        <v>9.3350476699096614</v>
      </c>
      <c r="AC1065" s="5">
        <f>IF(M1065=0,0,const*($T1065/omega)*O1065*(wx*(H1065-V1065)-wy*(G1065-U1065))/Z1065)</f>
        <v>6.6328701395799108</v>
      </c>
      <c r="AD1065" s="5">
        <f t="shared" si="432"/>
        <v>0</v>
      </c>
      <c r="AE1065" s="5">
        <f t="shared" si="432"/>
        <v>-1.9979509257121535</v>
      </c>
      <c r="AF1065" s="5">
        <f t="shared" si="447"/>
        <v>-9.5911594996481391</v>
      </c>
      <c r="AG1065">
        <f t="shared" si="458"/>
        <v>0</v>
      </c>
    </row>
    <row r="1066" spans="1:33" x14ac:dyDescent="0.2">
      <c r="A1066">
        <f t="shared" si="448"/>
        <v>10.339999999999824</v>
      </c>
      <c r="B1066" s="5">
        <f t="shared" si="449"/>
        <v>0</v>
      </c>
      <c r="C1066" s="5">
        <f t="shared" si="450"/>
        <v>1296.8189214182567</v>
      </c>
      <c r="D1066" s="5">
        <f t="shared" si="451"/>
        <v>-475.96698301903552</v>
      </c>
      <c r="E1066" s="2">
        <f t="shared" si="433"/>
        <v>432.27297380608553</v>
      </c>
      <c r="F1066" s="2">
        <f t="shared" si="452"/>
        <v>0</v>
      </c>
      <c r="G1066" s="3">
        <f t="shared" si="453"/>
        <v>0</v>
      </c>
      <c r="H1066" s="3">
        <f t="shared" si="454"/>
        <v>87.145947290747998</v>
      </c>
      <c r="I1066" s="3">
        <f t="shared" si="455"/>
        <v>-122.77253042616798</v>
      </c>
      <c r="J1066" s="2">
        <f t="shared" si="434"/>
        <v>150.55733245659664</v>
      </c>
      <c r="K1066" s="2">
        <f t="shared" si="456"/>
        <v>102.62940181090431</v>
      </c>
      <c r="L1066" s="5">
        <f t="shared" si="435"/>
        <v>23.243101177034188</v>
      </c>
      <c r="M1066" s="3">
        <f t="shared" si="436"/>
        <v>14.092051652876551</v>
      </c>
      <c r="N1066" s="2">
        <v>0</v>
      </c>
      <c r="O1066" s="2">
        <f t="shared" si="437"/>
        <v>150.55733245659664</v>
      </c>
      <c r="P1066" s="2">
        <f t="shared" si="438"/>
        <v>102.62940181090431</v>
      </c>
      <c r="Q1066" s="5">
        <f t="shared" si="439"/>
        <v>1.2688929321876392</v>
      </c>
      <c r="R1066" s="5">
        <f t="shared" si="440"/>
        <v>0.15201619240887865</v>
      </c>
      <c r="S1066" s="4">
        <f t="shared" si="457"/>
        <v>9.3599238396038079E-2</v>
      </c>
      <c r="T1066" s="5">
        <f t="shared" si="441"/>
        <v>8.8944772796373014E-2</v>
      </c>
      <c r="U1066" s="4">
        <f t="shared" si="442"/>
        <v>0</v>
      </c>
      <c r="V1066" s="4">
        <f t="shared" si="443"/>
        <v>0</v>
      </c>
      <c r="W1066" s="5">
        <f t="shared" si="444"/>
        <v>0</v>
      </c>
      <c r="X1066" s="5">
        <f t="shared" si="445"/>
        <v>-11.333858737392504</v>
      </c>
      <c r="Y1066" s="5">
        <f t="shared" si="446"/>
        <v>15.967311848019127</v>
      </c>
      <c r="Z1066" s="5">
        <f>1</f>
        <v>1</v>
      </c>
      <c r="AA1066" s="5">
        <f>IF(M1066=0,0,const*($T1066/omega)*O1066*(wy*I1066-wz*(H1066-V1066))/Z1066)</f>
        <v>0</v>
      </c>
      <c r="AB1066" s="5">
        <f>IF(M1066=0,0,const*($T1066/omega)*O1066*(wz*(G1066-U1066)-wx*I1066)/Z1066)</f>
        <v>9.3424845207999532</v>
      </c>
      <c r="AC1066" s="5">
        <f>IF(M1066=0,0,const*($T1066/omega)*O1066*(wx*(H1066-V1066)-wy*(G1066-U1066))/Z1066)</f>
        <v>6.6314480998978436</v>
      </c>
      <c r="AD1066" s="5">
        <f t="shared" si="432"/>
        <v>0</v>
      </c>
      <c r="AE1066" s="5">
        <f t="shared" si="432"/>
        <v>-1.9913742165925505</v>
      </c>
      <c r="AF1066" s="5">
        <f t="shared" si="447"/>
        <v>-9.5752400520830285</v>
      </c>
      <c r="AG1066">
        <f t="shared" si="458"/>
        <v>0</v>
      </c>
    </row>
    <row r="1067" spans="1:33" x14ac:dyDescent="0.2">
      <c r="A1067">
        <f t="shared" si="448"/>
        <v>10.349999999999824</v>
      </c>
      <c r="B1067" s="5">
        <f t="shared" si="449"/>
        <v>0</v>
      </c>
      <c r="C1067" s="5">
        <f t="shared" si="450"/>
        <v>1297.6902813224533</v>
      </c>
      <c r="D1067" s="5">
        <f t="shared" si="451"/>
        <v>-477.19518708529984</v>
      </c>
      <c r="E1067" s="2">
        <f t="shared" si="433"/>
        <v>432.56342710748442</v>
      </c>
      <c r="F1067" s="2">
        <f t="shared" si="452"/>
        <v>0</v>
      </c>
      <c r="G1067" s="3">
        <f t="shared" si="453"/>
        <v>0</v>
      </c>
      <c r="H1067" s="3">
        <f t="shared" si="454"/>
        <v>87.126033548582072</v>
      </c>
      <c r="I1067" s="3">
        <f t="shared" si="455"/>
        <v>-122.86828282668881</v>
      </c>
      <c r="J1067" s="2">
        <f t="shared" si="434"/>
        <v>150.62390463232535</v>
      </c>
      <c r="K1067" s="2">
        <f t="shared" si="456"/>
        <v>102.67478161712702</v>
      </c>
      <c r="L1067" s="5">
        <f t="shared" si="435"/>
        <v>23.232828280312948</v>
      </c>
      <c r="M1067" s="3">
        <f t="shared" si="436"/>
        <v>14.083216856937055</v>
      </c>
      <c r="N1067" s="2">
        <v>0</v>
      </c>
      <c r="O1067" s="2">
        <f t="shared" si="437"/>
        <v>150.62390463232535</v>
      </c>
      <c r="P1067" s="2">
        <f t="shared" si="438"/>
        <v>102.67478161712702</v>
      </c>
      <c r="Q1067" s="5">
        <f t="shared" si="439"/>
        <v>1.2694540005984845</v>
      </c>
      <c r="R1067" s="5">
        <f t="shared" si="440"/>
        <v>0.15199531537068539</v>
      </c>
      <c r="S1067" s="4">
        <f t="shared" si="457"/>
        <v>9.3499215090156809E-2</v>
      </c>
      <c r="T1067" s="5">
        <f t="shared" si="441"/>
        <v>8.8906740845937096E-2</v>
      </c>
      <c r="U1067" s="4">
        <f t="shared" si="442"/>
        <v>0</v>
      </c>
      <c r="V1067" s="4">
        <f t="shared" si="443"/>
        <v>0</v>
      </c>
      <c r="W1067" s="5">
        <f t="shared" si="444"/>
        <v>0</v>
      </c>
      <c r="X1067" s="5">
        <f t="shared" si="445"/>
        <v>-11.334722339680187</v>
      </c>
      <c r="Y1067" s="5">
        <f t="shared" si="446"/>
        <v>15.984635286045091</v>
      </c>
      <c r="Z1067" s="5">
        <f>1</f>
        <v>1</v>
      </c>
      <c r="AA1067" s="5">
        <f>IF(M1067=0,0,const*($T1067/omega)*O1067*(wy*I1067-wz*(H1067-V1067))/Z1067)</f>
        <v>0</v>
      </c>
      <c r="AB1067" s="5">
        <f>IF(M1067=0,0,const*($T1067/omega)*O1067*(wz*(G1067-U1067)-wx*I1067)/Z1067)</f>
        <v>9.3499054456208661</v>
      </c>
      <c r="AC1067" s="5">
        <f>IF(M1067=0,0,const*($T1067/omega)*O1067*(wx*(H1067-V1067)-wy*(G1067-U1067))/Z1067)</f>
        <v>6.6300281634137583</v>
      </c>
      <c r="AD1067" s="5">
        <f t="shared" si="432"/>
        <v>0</v>
      </c>
      <c r="AE1067" s="5">
        <f t="shared" si="432"/>
        <v>-1.9848168940593212</v>
      </c>
      <c r="AF1067" s="5">
        <f t="shared" si="447"/>
        <v>-9.5593365505411505</v>
      </c>
      <c r="AG1067">
        <f t="shared" si="458"/>
        <v>0</v>
      </c>
    </row>
    <row r="1068" spans="1:33" x14ac:dyDescent="0.2">
      <c r="A1068">
        <f t="shared" si="448"/>
        <v>10.359999999999824</v>
      </c>
      <c r="B1068" s="5">
        <f t="shared" si="449"/>
        <v>0</v>
      </c>
      <c r="C1068" s="5">
        <f t="shared" si="450"/>
        <v>1298.5614424170944</v>
      </c>
      <c r="D1068" s="5">
        <f t="shared" si="451"/>
        <v>-478.42434788039424</v>
      </c>
      <c r="E1068" s="2">
        <f t="shared" si="433"/>
        <v>432.8538141390315</v>
      </c>
      <c r="F1068" s="2">
        <f t="shared" si="452"/>
        <v>0</v>
      </c>
      <c r="G1068" s="3">
        <f t="shared" si="453"/>
        <v>0</v>
      </c>
      <c r="H1068" s="3">
        <f t="shared" si="454"/>
        <v>87.106185379641474</v>
      </c>
      <c r="I1068" s="3">
        <f t="shared" si="455"/>
        <v>-122.96387619219422</v>
      </c>
      <c r="J1068" s="2">
        <f t="shared" si="434"/>
        <v>150.69041900400214</v>
      </c>
      <c r="K1068" s="2">
        <f t="shared" si="456"/>
        <v>102.72012202045136</v>
      </c>
      <c r="L1068" s="5">
        <f t="shared" si="435"/>
        <v>23.222573368384548</v>
      </c>
      <c r="M1068" s="3">
        <f t="shared" si="436"/>
        <v>14.074384653404621</v>
      </c>
      <c r="N1068" s="2">
        <v>0</v>
      </c>
      <c r="O1068" s="2">
        <f t="shared" si="437"/>
        <v>150.69041900400214</v>
      </c>
      <c r="P1068" s="2">
        <f t="shared" si="438"/>
        <v>102.72012202045136</v>
      </c>
      <c r="Q1068" s="5">
        <f t="shared" si="439"/>
        <v>1.2700145818384179</v>
      </c>
      <c r="R1068" s="5">
        <f t="shared" si="440"/>
        <v>0.15197446784736879</v>
      </c>
      <c r="S1068" s="4">
        <f t="shared" si="457"/>
        <v>9.3399333192051348E-2</v>
      </c>
      <c r="T1068" s="5">
        <f t="shared" si="441"/>
        <v>8.8868738295619962E-2</v>
      </c>
      <c r="U1068" s="4">
        <f t="shared" si="442"/>
        <v>0</v>
      </c>
      <c r="V1068" s="4">
        <f t="shared" si="443"/>
        <v>0</v>
      </c>
      <c r="W1068" s="5">
        <f t="shared" si="444"/>
        <v>0</v>
      </c>
      <c r="X1068" s="5">
        <f t="shared" si="445"/>
        <v>-11.335589374008672</v>
      </c>
      <c r="Y1068" s="5">
        <f t="shared" si="446"/>
        <v>16.001940646076445</v>
      </c>
      <c r="Z1068" s="5">
        <f>1</f>
        <v>1</v>
      </c>
      <c r="AA1068" s="5">
        <f>IF(M1068=0,0,const*($T1068/omega)*O1068*(wy*I1068-wz*(H1068-V1068))/Z1068)</f>
        <v>0</v>
      </c>
      <c r="AB1068" s="5">
        <f>IF(M1068=0,0,const*($T1068/omega)*O1068*(wz*(G1068-U1068)-wx*I1068)/Z1068)</f>
        <v>9.3573104458995644</v>
      </c>
      <c r="AC1068" s="5">
        <f>IF(M1068=0,0,const*($T1068/omega)*O1068*(wx*(H1068-V1068)-wy*(G1068-U1068))/Z1068)</f>
        <v>6.6286103170772073</v>
      </c>
      <c r="AD1068" s="5">
        <f t="shared" si="432"/>
        <v>0</v>
      </c>
      <c r="AE1068" s="5">
        <f t="shared" si="432"/>
        <v>-1.9782789281091073</v>
      </c>
      <c r="AF1068" s="5">
        <f t="shared" si="447"/>
        <v>-9.5434490368463472</v>
      </c>
      <c r="AG1068">
        <f t="shared" si="458"/>
        <v>0</v>
      </c>
    </row>
    <row r="1069" spans="1:33" x14ac:dyDescent="0.2">
      <c r="A1069">
        <f t="shared" si="448"/>
        <v>10.369999999999823</v>
      </c>
      <c r="B1069" s="5">
        <f t="shared" si="449"/>
        <v>0</v>
      </c>
      <c r="C1069" s="5">
        <f t="shared" si="450"/>
        <v>1299.4324053569444</v>
      </c>
      <c r="D1069" s="5">
        <f t="shared" si="451"/>
        <v>-479.65446381476801</v>
      </c>
      <c r="E1069" s="2">
        <f t="shared" si="433"/>
        <v>433.14413511898147</v>
      </c>
      <c r="F1069" s="2">
        <f t="shared" si="452"/>
        <v>0</v>
      </c>
      <c r="G1069" s="3">
        <f t="shared" si="453"/>
        <v>0</v>
      </c>
      <c r="H1069" s="3">
        <f t="shared" si="454"/>
        <v>87.086402590360379</v>
      </c>
      <c r="I1069" s="3">
        <f t="shared" si="455"/>
        <v>-123.05931068256268</v>
      </c>
      <c r="J1069" s="2">
        <f t="shared" si="434"/>
        <v>150.75687533839979</v>
      </c>
      <c r="K1069" s="2">
        <f t="shared" si="456"/>
        <v>102.76542286189488</v>
      </c>
      <c r="L1069" s="5">
        <f t="shared" si="435"/>
        <v>23.21233644155863</v>
      </c>
      <c r="M1069" s="3">
        <f t="shared" si="436"/>
        <v>14.065555061041566</v>
      </c>
      <c r="N1069" s="2">
        <v>0</v>
      </c>
      <c r="O1069" s="2">
        <f t="shared" si="437"/>
        <v>150.75687533839979</v>
      </c>
      <c r="P1069" s="2">
        <f t="shared" si="438"/>
        <v>102.76542286189488</v>
      </c>
      <c r="Q1069" s="5">
        <f t="shared" si="439"/>
        <v>1.2705746739418069</v>
      </c>
      <c r="R1069" s="5">
        <f t="shared" si="440"/>
        <v>0.15195364983198512</v>
      </c>
      <c r="S1069" s="4">
        <f t="shared" si="457"/>
        <v>9.3299592668453779E-2</v>
      </c>
      <c r="T1069" s="5">
        <f t="shared" si="441"/>
        <v>8.8830765194584022E-2</v>
      </c>
      <c r="U1069" s="4">
        <f t="shared" si="442"/>
        <v>0</v>
      </c>
      <c r="V1069" s="4">
        <f t="shared" si="443"/>
        <v>0</v>
      </c>
      <c r="W1069" s="5">
        <f t="shared" si="444"/>
        <v>0</v>
      </c>
      <c r="X1069" s="5">
        <f t="shared" si="445"/>
        <v>-11.336459812025787</v>
      </c>
      <c r="Y1069" s="5">
        <f t="shared" si="446"/>
        <v>16.01922789956749</v>
      </c>
      <c r="Z1069" s="5">
        <f>1</f>
        <v>1</v>
      </c>
      <c r="AA1069" s="5">
        <f>IF(M1069=0,0,const*($T1069/omega)*O1069*(wy*I1069-wz*(H1069-V1069))/Z1069)</f>
        <v>0</v>
      </c>
      <c r="AB1069" s="5">
        <f>IF(M1069=0,0,const*($T1069/omega)*O1069*(wz*(G1069-U1069)-wx*I1069)/Z1069)</f>
        <v>9.3646995232981745</v>
      </c>
      <c r="AC1069" s="5">
        <f>IF(M1069=0,0,const*($T1069/omega)*O1069*(wx*(H1069-V1069)-wy*(G1069-U1069))/Z1069)</f>
        <v>6.6271945478990988</v>
      </c>
      <c r="AD1069" s="5">
        <f t="shared" si="432"/>
        <v>0</v>
      </c>
      <c r="AE1069" s="5">
        <f t="shared" si="432"/>
        <v>-1.9717602887276122</v>
      </c>
      <c r="AF1069" s="5">
        <f t="shared" si="447"/>
        <v>-9.5275775525334119</v>
      </c>
      <c r="AG1069">
        <f t="shared" si="458"/>
        <v>0</v>
      </c>
    </row>
    <row r="1070" spans="1:33" x14ac:dyDescent="0.2">
      <c r="A1070">
        <f t="shared" si="448"/>
        <v>10.379999999999823</v>
      </c>
      <c r="B1070" s="5">
        <f t="shared" si="449"/>
        <v>0</v>
      </c>
      <c r="C1070" s="5">
        <f t="shared" si="450"/>
        <v>1300.3031707948335</v>
      </c>
      <c r="D1070" s="5">
        <f t="shared" si="451"/>
        <v>-480.88553330047125</v>
      </c>
      <c r="E1070" s="2">
        <f t="shared" si="433"/>
        <v>433.43439026494451</v>
      </c>
      <c r="F1070" s="2">
        <f t="shared" si="452"/>
        <v>0</v>
      </c>
      <c r="G1070" s="3">
        <f t="shared" si="453"/>
        <v>0</v>
      </c>
      <c r="H1070" s="3">
        <f t="shared" si="454"/>
        <v>87.066684987473096</v>
      </c>
      <c r="I1070" s="3">
        <f t="shared" si="455"/>
        <v>-123.15458645808802</v>
      </c>
      <c r="J1070" s="2">
        <f t="shared" si="434"/>
        <v>150.82327340424141</v>
      </c>
      <c r="K1070" s="2">
        <f t="shared" si="456"/>
        <v>102.81068398380464</v>
      </c>
      <c r="L1070" s="5">
        <f t="shared" si="435"/>
        <v>23.202117499822407</v>
      </c>
      <c r="M1070" s="3">
        <f t="shared" si="436"/>
        <v>14.056728098521544</v>
      </c>
      <c r="N1070" s="2">
        <v>0</v>
      </c>
      <c r="O1070" s="2">
        <f t="shared" si="437"/>
        <v>150.82327340424141</v>
      </c>
      <c r="P1070" s="2">
        <f t="shared" si="438"/>
        <v>102.81068398380464</v>
      </c>
      <c r="Q1070" s="5">
        <f t="shared" si="439"/>
        <v>1.271134274959457</v>
      </c>
      <c r="R1070" s="5">
        <f t="shared" si="440"/>
        <v>0.15193286131716793</v>
      </c>
      <c r="S1070" s="4">
        <f t="shared" si="457"/>
        <v>9.3199993484070917E-2</v>
      </c>
      <c r="T1070" s="5">
        <f t="shared" si="441"/>
        <v>8.879282159127902E-2</v>
      </c>
      <c r="U1070" s="4">
        <f t="shared" si="442"/>
        <v>0</v>
      </c>
      <c r="V1070" s="4">
        <f t="shared" si="443"/>
        <v>0</v>
      </c>
      <c r="W1070" s="5">
        <f t="shared" si="444"/>
        <v>0</v>
      </c>
      <c r="X1070" s="5">
        <f t="shared" si="445"/>
        <v>-11.3373336255027</v>
      </c>
      <c r="Y1070" s="5">
        <f t="shared" si="446"/>
        <v>16.036497018199881</v>
      </c>
      <c r="Z1070" s="5">
        <f>1</f>
        <v>1</v>
      </c>
      <c r="AA1070" s="5">
        <f>IF(M1070=0,0,const*($T1070/omega)*O1070*(wy*I1070-wz*(H1070-V1070))/Z1070)</f>
        <v>0</v>
      </c>
      <c r="AB1070" s="5">
        <f>IF(M1070=0,0,const*($T1070/omega)*O1070*(wz*(G1070-U1070)-wx*I1070)/Z1070)</f>
        <v>9.3720726796132592</v>
      </c>
      <c r="AC1070" s="5">
        <f>IF(M1070=0,0,const*($T1070/omega)*O1070*(wx*(H1070-V1070)-wy*(G1070-U1070))/Z1070)</f>
        <v>6.6257808429513112</v>
      </c>
      <c r="AD1070" s="5">
        <f t="shared" si="432"/>
        <v>0</v>
      </c>
      <c r="AE1070" s="5">
        <f t="shared" si="432"/>
        <v>-1.9652609458894403</v>
      </c>
      <c r="AF1070" s="5">
        <f t="shared" si="447"/>
        <v>-9.5117221388488069</v>
      </c>
      <c r="AG1070">
        <f t="shared" si="458"/>
        <v>0</v>
      </c>
    </row>
    <row r="1071" spans="1:33" x14ac:dyDescent="0.2">
      <c r="A1071">
        <f t="shared" si="448"/>
        <v>10.389999999999823</v>
      </c>
      <c r="B1071" s="5">
        <f t="shared" si="449"/>
        <v>0</v>
      </c>
      <c r="C1071" s="5">
        <f t="shared" si="450"/>
        <v>1301.1737393816609</v>
      </c>
      <c r="D1071" s="5">
        <f t="shared" si="451"/>
        <v>-482.11755475115905</v>
      </c>
      <c r="E1071" s="2">
        <f t="shared" si="433"/>
        <v>433.72457979388696</v>
      </c>
      <c r="F1071" s="2">
        <f t="shared" si="452"/>
        <v>0</v>
      </c>
      <c r="G1071" s="3">
        <f t="shared" si="453"/>
        <v>0</v>
      </c>
      <c r="H1071" s="3">
        <f t="shared" si="454"/>
        <v>87.047032378014208</v>
      </c>
      <c r="I1071" s="3">
        <f t="shared" si="455"/>
        <v>-123.24970367947651</v>
      </c>
      <c r="J1071" s="2">
        <f t="shared" si="434"/>
        <v>150.88961297219177</v>
      </c>
      <c r="K1071" s="2">
        <f t="shared" si="456"/>
        <v>102.85590522985123</v>
      </c>
      <c r="L1071" s="5">
        <f t="shared" si="435"/>
        <v>23.191916542843643</v>
      </c>
      <c r="M1071" s="3">
        <f t="shared" si="436"/>
        <v>14.047903784429666</v>
      </c>
      <c r="N1071" s="2">
        <v>0</v>
      </c>
      <c r="O1071" s="2">
        <f t="shared" si="437"/>
        <v>150.88961297219177</v>
      </c>
      <c r="P1071" s="2">
        <f t="shared" si="438"/>
        <v>102.85590522985123</v>
      </c>
      <c r="Q1071" s="5">
        <f t="shared" si="439"/>
        <v>1.2716933829585366</v>
      </c>
      <c r="R1071" s="5">
        <f t="shared" si="440"/>
        <v>0.15191210229513197</v>
      </c>
      <c r="S1071" s="4">
        <f t="shared" si="457"/>
        <v>9.3100535601603182E-2</v>
      </c>
      <c r="T1071" s="5">
        <f t="shared" si="441"/>
        <v>8.8754907533446697E-2</v>
      </c>
      <c r="U1071" s="4">
        <f t="shared" si="442"/>
        <v>0</v>
      </c>
      <c r="V1071" s="4">
        <f t="shared" si="443"/>
        <v>0</v>
      </c>
      <c r="W1071" s="5">
        <f t="shared" si="444"/>
        <v>0</v>
      </c>
      <c r="X1071" s="5">
        <f t="shared" si="445"/>
        <v>-11.338210786333299</v>
      </c>
      <c r="Y1071" s="5">
        <f t="shared" si="446"/>
        <v>16.053747973882423</v>
      </c>
      <c r="Z1071" s="5">
        <f>1</f>
        <v>1</v>
      </c>
      <c r="AA1071" s="5">
        <f>IF(M1071=0,0,const*($T1071/omega)*O1071*(wy*I1071-wz*(H1071-V1071))/Z1071)</f>
        <v>0</v>
      </c>
      <c r="AB1071" s="5">
        <f>IF(M1071=0,0,const*($T1071/omega)*O1071*(wz*(G1071-U1071)-wx*I1071)/Z1071)</f>
        <v>9.3794299167753081</v>
      </c>
      <c r="AC1071" s="5">
        <f>IF(M1071=0,0,const*($T1071/omega)*O1071*(wx*(H1071-V1071)-wy*(G1071-U1071))/Z1071)</f>
        <v>6.6243691893663392</v>
      </c>
      <c r="AD1071" s="5">
        <f t="shared" si="432"/>
        <v>0</v>
      </c>
      <c r="AE1071" s="5">
        <f t="shared" si="432"/>
        <v>-1.9587808695579909</v>
      </c>
      <c r="AF1071" s="5">
        <f t="shared" si="447"/>
        <v>-9.4958828367512353</v>
      </c>
      <c r="AG1071">
        <f t="shared" si="458"/>
        <v>0</v>
      </c>
    </row>
    <row r="1072" spans="1:33" x14ac:dyDescent="0.2">
      <c r="A1072">
        <f t="shared" si="448"/>
        <v>10.399999999999823</v>
      </c>
      <c r="B1072" s="5">
        <f t="shared" si="449"/>
        <v>0</v>
      </c>
      <c r="C1072" s="5">
        <f t="shared" si="450"/>
        <v>1302.0441117663977</v>
      </c>
      <c r="D1072" s="5">
        <f t="shared" si="451"/>
        <v>-483.35052658209565</v>
      </c>
      <c r="E1072" s="2">
        <f t="shared" si="433"/>
        <v>434.01470392213258</v>
      </c>
      <c r="F1072" s="2">
        <f t="shared" si="452"/>
        <v>0</v>
      </c>
      <c r="G1072" s="3">
        <f t="shared" si="453"/>
        <v>0</v>
      </c>
      <c r="H1072" s="3">
        <f t="shared" si="454"/>
        <v>87.027444569318632</v>
      </c>
      <c r="I1072" s="3">
        <f t="shared" si="455"/>
        <v>-123.34466250784402</v>
      </c>
      <c r="J1072" s="2">
        <f t="shared" si="434"/>
        <v>150.95589381484834</v>
      </c>
      <c r="K1072" s="2">
        <f t="shared" si="456"/>
        <v>102.90108644502271</v>
      </c>
      <c r="L1072" s="5">
        <f t="shared" si="435"/>
        <v>23.181733569973659</v>
      </c>
      <c r="M1072" s="3">
        <f t="shared" si="436"/>
        <v>14.039082137262673</v>
      </c>
      <c r="N1072" s="2">
        <v>0</v>
      </c>
      <c r="O1072" s="2">
        <f t="shared" si="437"/>
        <v>150.95589381484834</v>
      </c>
      <c r="P1072" s="2">
        <f t="shared" si="438"/>
        <v>102.90108644502271</v>
      </c>
      <c r="Q1072" s="5">
        <f t="shared" si="439"/>
        <v>1.2722519960225041</v>
      </c>
      <c r="R1072" s="5">
        <f t="shared" si="440"/>
        <v>0.15189137275767733</v>
      </c>
      <c r="S1072" s="4">
        <f t="shared" si="457"/>
        <v>9.3001218981764319E-2</v>
      </c>
      <c r="T1072" s="5">
        <f t="shared" si="441"/>
        <v>8.8717023068125761E-2</v>
      </c>
      <c r="U1072" s="4">
        <f t="shared" si="442"/>
        <v>0</v>
      </c>
      <c r="V1072" s="4">
        <f t="shared" si="443"/>
        <v>0</v>
      </c>
      <c r="W1072" s="5">
        <f t="shared" si="444"/>
        <v>0</v>
      </c>
      <c r="X1072" s="5">
        <f t="shared" si="445"/>
        <v>-11.339091266533522</v>
      </c>
      <c r="Y1072" s="5">
        <f t="shared" si="446"/>
        <v>16.070980738750755</v>
      </c>
      <c r="Z1072" s="5">
        <f>1</f>
        <v>1</v>
      </c>
      <c r="AA1072" s="5">
        <f>IF(M1072=0,0,const*($T1072/omega)*O1072*(wy*I1072-wz*(H1072-V1072))/Z1072)</f>
        <v>0</v>
      </c>
      <c r="AB1072" s="5">
        <f>IF(M1072=0,0,const*($T1072/omega)*O1072*(wz*(G1072-U1072)-wx*I1072)/Z1072)</f>
        <v>9.3867712368482117</v>
      </c>
      <c r="AC1072" s="5">
        <f>IF(M1072=0,0,const*($T1072/omega)*O1072*(wx*(H1072-V1072)-wy*(G1072-U1072))/Z1072)</f>
        <v>6.6229595743369245</v>
      </c>
      <c r="AD1072" s="5">
        <f t="shared" ref="AD1072:AE1135" si="459">W1072+AA1072</f>
        <v>0</v>
      </c>
      <c r="AE1072" s="5">
        <f t="shared" si="459"/>
        <v>-1.9523200296853105</v>
      </c>
      <c r="AF1072" s="5">
        <f t="shared" si="447"/>
        <v>-9.4800596869123197</v>
      </c>
      <c r="AG1072">
        <f t="shared" si="458"/>
        <v>0</v>
      </c>
    </row>
    <row r="1073" spans="1:33" x14ac:dyDescent="0.2">
      <c r="A1073">
        <f t="shared" si="448"/>
        <v>10.409999999999823</v>
      </c>
      <c r="B1073" s="5">
        <f t="shared" si="449"/>
        <v>0</v>
      </c>
      <c r="C1073" s="5">
        <f t="shared" si="450"/>
        <v>1302.9142885960894</v>
      </c>
      <c r="D1073" s="5">
        <f t="shared" si="451"/>
        <v>-484.58444721015843</v>
      </c>
      <c r="E1073" s="2">
        <f t="shared" si="433"/>
        <v>434.3047628653631</v>
      </c>
      <c r="F1073" s="2">
        <f t="shared" si="452"/>
        <v>0</v>
      </c>
      <c r="G1073" s="3">
        <f t="shared" si="453"/>
        <v>0</v>
      </c>
      <c r="H1073" s="3">
        <f t="shared" si="454"/>
        <v>87.007921369021773</v>
      </c>
      <c r="I1073" s="3">
        <f t="shared" si="455"/>
        <v>-123.43946310471314</v>
      </c>
      <c r="J1073" s="2">
        <f t="shared" si="434"/>
        <v>151.02211570673254</v>
      </c>
      <c r="K1073" s="2">
        <f t="shared" si="456"/>
        <v>102.94622747561863</v>
      </c>
      <c r="L1073" s="5">
        <f t="shared" si="435"/>
        <v>23.171568580250302</v>
      </c>
      <c r="M1073" s="3">
        <f t="shared" si="436"/>
        <v>14.030263175429061</v>
      </c>
      <c r="N1073" s="2">
        <v>0</v>
      </c>
      <c r="O1073" s="2">
        <f t="shared" si="437"/>
        <v>151.02211570673254</v>
      </c>
      <c r="P1073" s="2">
        <f t="shared" si="438"/>
        <v>102.94622747561863</v>
      </c>
      <c r="Q1073" s="5">
        <f t="shared" si="439"/>
        <v>1.2728101122510325</v>
      </c>
      <c r="R1073" s="5">
        <f t="shared" si="440"/>
        <v>0.15187067269619342</v>
      </c>
      <c r="S1073" s="4">
        <f t="shared" si="457"/>
        <v>9.2902043583300134E-2</v>
      </c>
      <c r="T1073" s="5">
        <f t="shared" si="441"/>
        <v>8.8679168241656559E-2</v>
      </c>
      <c r="U1073" s="4">
        <f t="shared" si="442"/>
        <v>0</v>
      </c>
      <c r="V1073" s="4">
        <f t="shared" si="443"/>
        <v>0</v>
      </c>
      <c r="W1073" s="5">
        <f t="shared" si="444"/>
        <v>0</v>
      </c>
      <c r="X1073" s="5">
        <f t="shared" si="445"/>
        <v>-11.339975038240741</v>
      </c>
      <c r="Y1073" s="5">
        <f t="shared" si="446"/>
        <v>16.0881952851671</v>
      </c>
      <c r="Z1073" s="5">
        <f>1</f>
        <v>1</v>
      </c>
      <c r="AA1073" s="5">
        <f>IF(M1073=0,0,const*($T1073/omega)*O1073*(wy*I1073-wz*(H1073-V1073))/Z1073)</f>
        <v>0</v>
      </c>
      <c r="AB1073" s="5">
        <f>IF(M1073=0,0,const*($T1073/omega)*O1073*(wz*(G1073-U1073)-wx*I1073)/Z1073)</f>
        <v>9.3940966420287584</v>
      </c>
      <c r="AC1073" s="5">
        <f>IF(M1073=0,0,const*($T1073/omega)*O1073*(wx*(H1073-V1073)-wy*(G1073-U1073))/Z1073)</f>
        <v>6.6215519851157003</v>
      </c>
      <c r="AD1073" s="5">
        <f t="shared" si="459"/>
        <v>0</v>
      </c>
      <c r="AE1073" s="5">
        <f t="shared" si="459"/>
        <v>-1.9458783962119828</v>
      </c>
      <c r="AF1073" s="5">
        <f t="shared" si="447"/>
        <v>-9.4642527297171988</v>
      </c>
      <c r="AG1073">
        <f t="shared" si="458"/>
        <v>0</v>
      </c>
    </row>
    <row r="1074" spans="1:33" x14ac:dyDescent="0.2">
      <c r="A1074">
        <f t="shared" si="448"/>
        <v>10.419999999999822</v>
      </c>
      <c r="B1074" s="5">
        <f t="shared" si="449"/>
        <v>0</v>
      </c>
      <c r="C1074" s="5">
        <f t="shared" si="450"/>
        <v>1303.7842705158596</v>
      </c>
      <c r="D1074" s="5">
        <f t="shared" si="451"/>
        <v>-485.81931505384205</v>
      </c>
      <c r="E1074" s="2">
        <f t="shared" si="433"/>
        <v>434.59475683861984</v>
      </c>
      <c r="F1074" s="2">
        <f t="shared" si="452"/>
        <v>0</v>
      </c>
      <c r="G1074" s="3">
        <f t="shared" si="453"/>
        <v>0</v>
      </c>
      <c r="H1074" s="3">
        <f t="shared" si="454"/>
        <v>86.988462585059651</v>
      </c>
      <c r="I1074" s="3">
        <f t="shared" si="455"/>
        <v>-123.53410563201031</v>
      </c>
      <c r="J1074" s="2">
        <f t="shared" si="434"/>
        <v>151.08827842428082</v>
      </c>
      <c r="K1074" s="2">
        <f t="shared" si="456"/>
        <v>102.9913281692439</v>
      </c>
      <c r="L1074" s="5">
        <f t="shared" si="435"/>
        <v>23.161421572400883</v>
      </c>
      <c r="M1074" s="3">
        <f t="shared" si="436"/>
        <v>14.021446917249259</v>
      </c>
      <c r="N1074" s="2">
        <v>0</v>
      </c>
      <c r="O1074" s="2">
        <f t="shared" si="437"/>
        <v>151.08827842428082</v>
      </c>
      <c r="P1074" s="2">
        <f t="shared" si="438"/>
        <v>102.9913281692439</v>
      </c>
      <c r="Q1074" s="5">
        <f t="shared" si="439"/>
        <v>1.2733677297599342</v>
      </c>
      <c r="R1074" s="5">
        <f t="shared" si="440"/>
        <v>0.1518500021016628</v>
      </c>
      <c r="S1074" s="4">
        <f t="shared" si="457"/>
        <v>9.2803009363007782E-2</v>
      </c>
      <c r="T1074" s="5">
        <f t="shared" si="441"/>
        <v>8.8641343099685896E-2</v>
      </c>
      <c r="U1074" s="4">
        <f t="shared" si="442"/>
        <v>0</v>
      </c>
      <c r="V1074" s="4">
        <f t="shared" si="443"/>
        <v>0</v>
      </c>
      <c r="W1074" s="5">
        <f t="shared" si="444"/>
        <v>0</v>
      </c>
      <c r="X1074" s="5">
        <f t="shared" si="445"/>
        <v>-11.34086207371311</v>
      </c>
      <c r="Y1074" s="5">
        <f t="shared" si="446"/>
        <v>16.105391585719953</v>
      </c>
      <c r="Z1074" s="5">
        <f>1</f>
        <v>1</v>
      </c>
      <c r="AA1074" s="5">
        <f>IF(M1074=0,0,const*($T1074/omega)*O1074*(wy*I1074-wz*(H1074-V1074))/Z1074)</f>
        <v>0</v>
      </c>
      <c r="AB1074" s="5">
        <f>IF(M1074=0,0,const*($T1074/omega)*O1074*(wz*(G1074-U1074)-wx*I1074)/Z1074)</f>
        <v>9.4014061346461038</v>
      </c>
      <c r="AC1074" s="5">
        <f>IF(M1074=0,0,const*($T1074/omega)*O1074*(wx*(H1074-V1074)-wy*(G1074-U1074))/Z1074)</f>
        <v>6.6201464090148399</v>
      </c>
      <c r="AD1074" s="5">
        <f t="shared" si="459"/>
        <v>0</v>
      </c>
      <c r="AE1074" s="5">
        <f t="shared" si="459"/>
        <v>-1.9394559390670061</v>
      </c>
      <c r="AF1074" s="5">
        <f t="shared" si="447"/>
        <v>-9.4484620052652062</v>
      </c>
      <c r="AG1074">
        <f t="shared" si="458"/>
        <v>0</v>
      </c>
    </row>
    <row r="1075" spans="1:33" x14ac:dyDescent="0.2">
      <c r="A1075">
        <f t="shared" si="448"/>
        <v>10.429999999999822</v>
      </c>
      <c r="B1075" s="5">
        <f t="shared" si="449"/>
        <v>0</v>
      </c>
      <c r="C1075" s="5">
        <f t="shared" si="450"/>
        <v>1304.6540581689133</v>
      </c>
      <c r="D1075" s="5">
        <f t="shared" si="451"/>
        <v>-487.05512853326246</v>
      </c>
      <c r="E1075" s="2">
        <f t="shared" si="433"/>
        <v>434.88468605630442</v>
      </c>
      <c r="F1075" s="2">
        <f t="shared" si="452"/>
        <v>0</v>
      </c>
      <c r="G1075" s="3">
        <f t="shared" si="453"/>
        <v>0</v>
      </c>
      <c r="H1075" s="3">
        <f t="shared" si="454"/>
        <v>86.969068025668975</v>
      </c>
      <c r="I1075" s="3">
        <f t="shared" si="455"/>
        <v>-123.62859025206296</v>
      </c>
      <c r="J1075" s="2">
        <f t="shared" si="434"/>
        <v>151.15438174583599</v>
      </c>
      <c r="K1075" s="2">
        <f t="shared" si="456"/>
        <v>103.03638837480298</v>
      </c>
      <c r="L1075" s="5">
        <f t="shared" si="435"/>
        <v>23.151292544845138</v>
      </c>
      <c r="M1075" s="3">
        <f t="shared" si="436"/>
        <v>14.012633380955762</v>
      </c>
      <c r="N1075" s="2">
        <v>0</v>
      </c>
      <c r="O1075" s="2">
        <f t="shared" si="437"/>
        <v>151.15438174583599</v>
      </c>
      <c r="P1075" s="2">
        <f t="shared" si="438"/>
        <v>103.03638837480298</v>
      </c>
      <c r="Q1075" s="5">
        <f t="shared" si="439"/>
        <v>1.2739248466810889</v>
      </c>
      <c r="R1075" s="5">
        <f t="shared" si="440"/>
        <v>0.15182936096466532</v>
      </c>
      <c r="S1075" s="4">
        <f t="shared" si="457"/>
        <v>9.2704116275754492E-2</v>
      </c>
      <c r="T1075" s="5">
        <f t="shared" si="441"/>
        <v>8.8603547687171755E-2</v>
      </c>
      <c r="U1075" s="4">
        <f t="shared" si="442"/>
        <v>0</v>
      </c>
      <c r="V1075" s="4">
        <f t="shared" si="443"/>
        <v>0</v>
      </c>
      <c r="W1075" s="5">
        <f t="shared" si="444"/>
        <v>0</v>
      </c>
      <c r="X1075" s="5">
        <f t="shared" si="445"/>
        <v>-11.34175234532894</v>
      </c>
      <c r="Y1075" s="5">
        <f t="shared" si="446"/>
        <v>16.122569613223817</v>
      </c>
      <c r="Z1075" s="5">
        <f>1</f>
        <v>1</v>
      </c>
      <c r="AA1075" s="5">
        <f>IF(M1075=0,0,const*($T1075/omega)*O1075*(wy*I1075-wz*(H1075-V1075))/Z1075)</f>
        <v>0</v>
      </c>
      <c r="AB1075" s="5">
        <f>IF(M1075=0,0,const*($T1075/omega)*O1075*(wz*(G1075-U1075)-wx*I1075)/Z1075)</f>
        <v>9.4086997171612694</v>
      </c>
      <c r="AC1075" s="5">
        <f>IF(M1075=0,0,const*($T1075/omega)*O1075*(wx*(H1075-V1075)-wy*(G1075-U1075))/Z1075)</f>
        <v>6.6187428334056948</v>
      </c>
      <c r="AD1075" s="5">
        <f t="shared" si="459"/>
        <v>0</v>
      </c>
      <c r="AE1075" s="5">
        <f t="shared" si="459"/>
        <v>-1.9330526281676708</v>
      </c>
      <c r="AF1075" s="5">
        <f t="shared" si="447"/>
        <v>-9.4326875533704886</v>
      </c>
      <c r="AG1075">
        <f t="shared" si="458"/>
        <v>0</v>
      </c>
    </row>
    <row r="1076" spans="1:33" x14ac:dyDescent="0.2">
      <c r="A1076">
        <f t="shared" si="448"/>
        <v>10.439999999999822</v>
      </c>
      <c r="B1076" s="5">
        <f t="shared" si="449"/>
        <v>0</v>
      </c>
      <c r="C1076" s="5">
        <f t="shared" si="450"/>
        <v>1305.5236521965387</v>
      </c>
      <c r="D1076" s="5">
        <f t="shared" si="451"/>
        <v>-488.29188607016079</v>
      </c>
      <c r="E1076" s="2">
        <f t="shared" si="433"/>
        <v>435.17455073217957</v>
      </c>
      <c r="F1076" s="2">
        <f t="shared" si="452"/>
        <v>0</v>
      </c>
      <c r="G1076" s="3">
        <f t="shared" si="453"/>
        <v>0</v>
      </c>
      <c r="H1076" s="3">
        <f t="shared" si="454"/>
        <v>86.949737499387297</v>
      </c>
      <c r="I1076" s="3">
        <f t="shared" si="455"/>
        <v>-123.72291712759667</v>
      </c>
      <c r="J1076" s="2">
        <f t="shared" si="434"/>
        <v>151.22042545163836</v>
      </c>
      <c r="K1076" s="2">
        <f t="shared" si="456"/>
        <v>103.08140794249377</v>
      </c>
      <c r="L1076" s="5">
        <f t="shared" si="435"/>
        <v>23.14118149569811</v>
      </c>
      <c r="M1076" s="3">
        <f t="shared" si="436"/>
        <v>14.003822584693296</v>
      </c>
      <c r="N1076" s="2">
        <v>0</v>
      </c>
      <c r="O1076" s="2">
        <f t="shared" si="437"/>
        <v>151.22042545163836</v>
      </c>
      <c r="P1076" s="2">
        <f t="shared" si="438"/>
        <v>103.08140794249377</v>
      </c>
      <c r="Q1076" s="5">
        <f t="shared" si="439"/>
        <v>1.274481461162368</v>
      </c>
      <c r="R1076" s="5">
        <f t="shared" si="440"/>
        <v>0.1518087492753819</v>
      </c>
      <c r="S1076" s="4">
        <f t="shared" si="457"/>
        <v>9.2605364274496393E-2</v>
      </c>
      <c r="T1076" s="5">
        <f t="shared" si="441"/>
        <v>8.8565782048388053E-2</v>
      </c>
      <c r="U1076" s="4">
        <f t="shared" si="442"/>
        <v>0</v>
      </c>
      <c r="V1076" s="4">
        <f t="shared" si="443"/>
        <v>0</v>
      </c>
      <c r="W1076" s="5">
        <f t="shared" si="444"/>
        <v>0</v>
      </c>
      <c r="X1076" s="5">
        <f t="shared" si="445"/>
        <v>-11.342645825586073</v>
      </c>
      <c r="Y1076" s="5">
        <f t="shared" si="446"/>
        <v>16.139729340718883</v>
      </c>
      <c r="Z1076" s="5">
        <f>1</f>
        <v>1</v>
      </c>
      <c r="AA1076" s="5">
        <f>IF(M1076=0,0,const*($T1076/omega)*O1076*(wy*I1076-wz*(H1076-V1076))/Z1076)</f>
        <v>0</v>
      </c>
      <c r="AB1076" s="5">
        <f>IF(M1076=0,0,const*($T1076/omega)*O1076*(wz*(G1076-U1076)-wx*I1076)/Z1076)</f>
        <v>9.4159773921665924</v>
      </c>
      <c r="AC1076" s="5">
        <f>IF(M1076=0,0,const*($T1076/omega)*O1076*(wx*(H1076-V1076)-wy*(G1076-U1076))/Z1076)</f>
        <v>6.6173412457184453</v>
      </c>
      <c r="AD1076" s="5">
        <f t="shared" si="459"/>
        <v>0</v>
      </c>
      <c r="AE1076" s="5">
        <f t="shared" si="459"/>
        <v>-1.926668433419481</v>
      </c>
      <c r="AF1076" s="5">
        <f t="shared" si="447"/>
        <v>-9.41692941356267</v>
      </c>
      <c r="AG1076">
        <f t="shared" si="458"/>
        <v>0</v>
      </c>
    </row>
    <row r="1077" spans="1:33" x14ac:dyDescent="0.2">
      <c r="A1077">
        <f t="shared" si="448"/>
        <v>10.449999999999822</v>
      </c>
      <c r="B1077" s="5">
        <f t="shared" si="449"/>
        <v>0</v>
      </c>
      <c r="C1077" s="5">
        <f t="shared" si="450"/>
        <v>1306.393053238111</v>
      </c>
      <c r="D1077" s="5">
        <f t="shared" si="451"/>
        <v>-489.52958608790743</v>
      </c>
      <c r="E1077" s="2">
        <f t="shared" si="433"/>
        <v>435.46435107937032</v>
      </c>
      <c r="F1077" s="2">
        <f t="shared" si="452"/>
        <v>0</v>
      </c>
      <c r="G1077" s="3">
        <f t="shared" si="453"/>
        <v>0</v>
      </c>
      <c r="H1077" s="3">
        <f t="shared" si="454"/>
        <v>86.930470815053098</v>
      </c>
      <c r="I1077" s="3">
        <f t="shared" si="455"/>
        <v>-123.8170864217323</v>
      </c>
      <c r="J1077" s="2">
        <f t="shared" si="434"/>
        <v>151.28640932381705</v>
      </c>
      <c r="K1077" s="2">
        <f t="shared" si="456"/>
        <v>103.12638672380167</v>
      </c>
      <c r="L1077" s="5">
        <f t="shared" si="435"/>
        <v>23.131088422773043</v>
      </c>
      <c r="M1077" s="3">
        <f t="shared" si="436"/>
        <v>13.995014546518972</v>
      </c>
      <c r="N1077" s="2">
        <v>0</v>
      </c>
      <c r="O1077" s="2">
        <f t="shared" si="437"/>
        <v>151.28640932381705</v>
      </c>
      <c r="P1077" s="2">
        <f t="shared" si="438"/>
        <v>103.12638672380167</v>
      </c>
      <c r="Q1077" s="5">
        <f t="shared" si="439"/>
        <v>1.2750375713675624</v>
      </c>
      <c r="R1077" s="5">
        <f t="shared" si="440"/>
        <v>0.15178816702359843</v>
      </c>
      <c r="S1077" s="4">
        <f t="shared" si="457"/>
        <v>9.2506753310297077E-2</v>
      </c>
      <c r="T1077" s="5">
        <f t="shared" si="441"/>
        <v>8.8528046226929266E-2</v>
      </c>
      <c r="U1077" s="4">
        <f t="shared" si="442"/>
        <v>0</v>
      </c>
      <c r="V1077" s="4">
        <f t="shared" si="443"/>
        <v>0</v>
      </c>
      <c r="W1077" s="5">
        <f t="shared" si="444"/>
        <v>0</v>
      </c>
      <c r="X1077" s="5">
        <f t="shared" si="445"/>
        <v>-11.34354248710126</v>
      </c>
      <c r="Y1077" s="5">
        <f t="shared" si="446"/>
        <v>16.156870741470755</v>
      </c>
      <c r="Z1077" s="5">
        <f>1</f>
        <v>1</v>
      </c>
      <c r="AA1077" s="5">
        <f>IF(M1077=0,0,const*($T1077/omega)*O1077*(wy*I1077-wz*(H1077-V1077))/Z1077)</f>
        <v>0</v>
      </c>
      <c r="AB1077" s="5">
        <f>IF(M1077=0,0,const*($T1077/omega)*O1077*(wz*(G1077-U1077)-wx*I1077)/Z1077)</f>
        <v>9.4232391623852383</v>
      </c>
      <c r="AC1077" s="5">
        <f>IF(M1077=0,0,const*($T1077/omega)*O1077*(wx*(H1077-V1077)-wy*(G1077-U1077))/Z1077)</f>
        <v>6.6159416334417616</v>
      </c>
      <c r="AD1077" s="5">
        <f t="shared" si="459"/>
        <v>0</v>
      </c>
      <c r="AE1077" s="5">
        <f t="shared" si="459"/>
        <v>-1.9203033247160217</v>
      </c>
      <c r="AF1077" s="5">
        <f t="shared" si="447"/>
        <v>-9.4011876250874842</v>
      </c>
      <c r="AG1077">
        <f t="shared" si="458"/>
        <v>0</v>
      </c>
    </row>
    <row r="1078" spans="1:33" x14ac:dyDescent="0.2">
      <c r="A1078">
        <f t="shared" si="448"/>
        <v>10.459999999999821</v>
      </c>
      <c r="B1078" s="5">
        <f t="shared" si="449"/>
        <v>0</v>
      </c>
      <c r="C1078" s="5">
        <f t="shared" si="450"/>
        <v>1307.2622619310953</v>
      </c>
      <c r="D1078" s="5">
        <f t="shared" si="451"/>
        <v>-490.76822701150599</v>
      </c>
      <c r="E1078" s="2">
        <f t="shared" si="433"/>
        <v>435.75408731036509</v>
      </c>
      <c r="F1078" s="2">
        <f t="shared" si="452"/>
        <v>0</v>
      </c>
      <c r="G1078" s="3">
        <f t="shared" si="453"/>
        <v>0</v>
      </c>
      <c r="H1078" s="3">
        <f t="shared" si="454"/>
        <v>86.911267781805932</v>
      </c>
      <c r="I1078" s="3">
        <f t="shared" si="455"/>
        <v>-123.91109829798317</v>
      </c>
      <c r="J1078" s="2">
        <f t="shared" si="434"/>
        <v>151.35233314638143</v>
      </c>
      <c r="K1078" s="2">
        <f t="shared" si="456"/>
        <v>103.17132457149381</v>
      </c>
      <c r="L1078" s="5">
        <f t="shared" si="435"/>
        <v>23.121013323584261</v>
      </c>
      <c r="M1078" s="3">
        <f t="shared" si="436"/>
        <v>13.986209284402435</v>
      </c>
      <c r="N1078" s="2">
        <v>0</v>
      </c>
      <c r="O1078" s="2">
        <f t="shared" si="437"/>
        <v>151.35233314638143</v>
      </c>
      <c r="P1078" s="2">
        <f t="shared" si="438"/>
        <v>103.17132457149381</v>
      </c>
      <c r="Q1078" s="5">
        <f t="shared" si="439"/>
        <v>1.2755931754763081</v>
      </c>
      <c r="R1078" s="5">
        <f t="shared" si="440"/>
        <v>0.15176761419870965</v>
      </c>
      <c r="S1078" s="4">
        <f t="shared" si="457"/>
        <v>9.2408283332345978E-2</v>
      </c>
      <c r="T1078" s="5">
        <f t="shared" si="441"/>
        <v>8.8490340265715145E-2</v>
      </c>
      <c r="U1078" s="4">
        <f t="shared" si="442"/>
        <v>0</v>
      </c>
      <c r="V1078" s="4">
        <f t="shared" si="443"/>
        <v>0</v>
      </c>
      <c r="W1078" s="5">
        <f t="shared" si="444"/>
        <v>0</v>
      </c>
      <c r="X1078" s="5">
        <f t="shared" si="445"/>
        <v>-11.344442302609544</v>
      </c>
      <c r="Y1078" s="5">
        <f t="shared" si="446"/>
        <v>16.17399378897014</v>
      </c>
      <c r="Z1078" s="5">
        <f>1</f>
        <v>1</v>
      </c>
      <c r="AA1078" s="5">
        <f>IF(M1078=0,0,const*($T1078/omega)*O1078*(wy*I1078-wz*(H1078-V1078))/Z1078)</f>
        <v>0</v>
      </c>
      <c r="AB1078" s="5">
        <f>IF(M1078=0,0,const*($T1078/omega)*O1078*(wz*(G1078-U1078)-wx*I1078)/Z1078)</f>
        <v>9.4304850306706598</v>
      </c>
      <c r="AC1078" s="5">
        <f>IF(M1078=0,0,const*($T1078/omega)*O1078*(wx*(H1078-V1078)-wy*(G1078-U1078))/Z1078)</f>
        <v>6.6145439841224478</v>
      </c>
      <c r="AD1078" s="5">
        <f t="shared" si="459"/>
        <v>0</v>
      </c>
      <c r="AE1078" s="5">
        <f t="shared" si="459"/>
        <v>-1.9139572719388838</v>
      </c>
      <c r="AF1078" s="5">
        <f t="shared" si="447"/>
        <v>-9.3854622269074106</v>
      </c>
      <c r="AG1078">
        <f t="shared" si="458"/>
        <v>0</v>
      </c>
    </row>
    <row r="1079" spans="1:33" x14ac:dyDescent="0.2">
      <c r="A1079">
        <f t="shared" si="448"/>
        <v>10.469999999999821</v>
      </c>
      <c r="B1079" s="5">
        <f t="shared" si="449"/>
        <v>0</v>
      </c>
      <c r="C1079" s="5">
        <f t="shared" si="450"/>
        <v>1308.1312789110498</v>
      </c>
      <c r="D1079" s="5">
        <f t="shared" si="451"/>
        <v>-492.00780726759712</v>
      </c>
      <c r="E1079" s="2">
        <f t="shared" si="433"/>
        <v>436.04375963701659</v>
      </c>
      <c r="F1079" s="2">
        <f t="shared" si="452"/>
        <v>0</v>
      </c>
      <c r="G1079" s="3">
        <f t="shared" si="453"/>
        <v>0</v>
      </c>
      <c r="H1079" s="3">
        <f t="shared" si="454"/>
        <v>86.89212820908655</v>
      </c>
      <c r="I1079" s="3">
        <f t="shared" si="455"/>
        <v>-124.00495292025225</v>
      </c>
      <c r="J1079" s="2">
        <f t="shared" si="434"/>
        <v>151.41819670521213</v>
      </c>
      <c r="K1079" s="2">
        <f t="shared" si="456"/>
        <v>103.2162213396129</v>
      </c>
      <c r="L1079" s="5">
        <f t="shared" si="435"/>
        <v>23.11095619535001</v>
      </c>
      <c r="M1079" s="3">
        <f t="shared" si="436"/>
        <v>13.977406816226033</v>
      </c>
      <c r="N1079" s="2">
        <v>0</v>
      </c>
      <c r="O1079" s="2">
        <f t="shared" si="437"/>
        <v>151.41819670521213</v>
      </c>
      <c r="P1079" s="2">
        <f t="shared" si="438"/>
        <v>103.2162213396129</v>
      </c>
      <c r="Q1079" s="5">
        <f t="shared" si="439"/>
        <v>1.2761482716840142</v>
      </c>
      <c r="R1079" s="5">
        <f t="shared" si="440"/>
        <v>0.15174709078972301</v>
      </c>
      <c r="S1079" s="4">
        <f t="shared" si="457"/>
        <v>9.2309954287976947E-2</v>
      </c>
      <c r="T1079" s="5">
        <f t="shared" si="441"/>
        <v>8.8452664206995296E-2</v>
      </c>
      <c r="U1079" s="4">
        <f t="shared" si="442"/>
        <v>0</v>
      </c>
      <c r="V1079" s="4">
        <f t="shared" si="443"/>
        <v>0</v>
      </c>
      <c r="W1079" s="5">
        <f t="shared" si="444"/>
        <v>0</v>
      </c>
      <c r="X1079" s="5">
        <f t="shared" si="445"/>
        <v>-11.345345244963648</v>
      </c>
      <c r="Y1079" s="5">
        <f t="shared" si="446"/>
        <v>16.191098456932529</v>
      </c>
      <c r="Z1079" s="5">
        <f>1</f>
        <v>1</v>
      </c>
      <c r="AA1079" s="5">
        <f>IF(M1079=0,0,const*($T1079/omega)*O1079*(wy*I1079-wz*(H1079-V1079))/Z1079)</f>
        <v>0</v>
      </c>
      <c r="AB1079" s="5">
        <f>IF(M1079=0,0,const*($T1079/omega)*O1079*(wz*(G1079-U1079)-wx*I1079)/Z1079)</f>
        <v>9.4377150000060777</v>
      </c>
      <c r="AC1079" s="5">
        <f>IF(M1079=0,0,const*($T1079/omega)*O1079*(wx*(H1079-V1079)-wy*(G1079-U1079))/Z1079)</f>
        <v>6.6131482853651091</v>
      </c>
      <c r="AD1079" s="5">
        <f t="shared" si="459"/>
        <v>0</v>
      </c>
      <c r="AE1079" s="5">
        <f t="shared" si="459"/>
        <v>-1.9076302449575699</v>
      </c>
      <c r="AF1079" s="5">
        <f t="shared" si="447"/>
        <v>-9.3697532577023601</v>
      </c>
      <c r="AG1079">
        <f t="shared" si="458"/>
        <v>0</v>
      </c>
    </row>
    <row r="1080" spans="1:33" x14ac:dyDescent="0.2">
      <c r="A1080">
        <f t="shared" si="448"/>
        <v>10.479999999999821</v>
      </c>
      <c r="B1080" s="5">
        <f t="shared" si="449"/>
        <v>0</v>
      </c>
      <c r="C1080" s="5">
        <f t="shared" si="450"/>
        <v>1309.0001048116285</v>
      </c>
      <c r="D1080" s="5">
        <f t="shared" si="451"/>
        <v>-493.24832528446251</v>
      </c>
      <c r="E1080" s="2">
        <f t="shared" si="433"/>
        <v>436.33336827054285</v>
      </c>
      <c r="F1080" s="2">
        <f t="shared" si="452"/>
        <v>0</v>
      </c>
      <c r="G1080" s="3">
        <f t="shared" si="453"/>
        <v>0</v>
      </c>
      <c r="H1080" s="3">
        <f t="shared" si="454"/>
        <v>86.873051906636974</v>
      </c>
      <c r="I1080" s="3">
        <f t="shared" si="455"/>
        <v>-124.09865045282928</v>
      </c>
      <c r="J1080" s="2">
        <f t="shared" si="434"/>
        <v>151.4839997880527</v>
      </c>
      <c r="K1080" s="2">
        <f t="shared" si="456"/>
        <v>103.2610768834715</v>
      </c>
      <c r="L1080" s="5">
        <f t="shared" si="435"/>
        <v>23.100917034995284</v>
      </c>
      <c r="M1080" s="3">
        <f t="shared" si="436"/>
        <v>13.968607159784963</v>
      </c>
      <c r="N1080" s="2">
        <v>0</v>
      </c>
      <c r="O1080" s="2">
        <f t="shared" si="437"/>
        <v>151.4839997880527</v>
      </c>
      <c r="P1080" s="2">
        <f t="shared" si="438"/>
        <v>103.2610768834715</v>
      </c>
      <c r="Q1080" s="5">
        <f t="shared" si="439"/>
        <v>1.276702858201789</v>
      </c>
      <c r="R1080" s="5">
        <f t="shared" si="440"/>
        <v>0.15172659678526235</v>
      </c>
      <c r="S1080" s="4">
        <f t="shared" si="457"/>
        <v>9.2211766122686209E-2</v>
      </c>
      <c r="T1080" s="5">
        <f t="shared" si="441"/>
        <v>8.8415018092353803E-2</v>
      </c>
      <c r="U1080" s="4">
        <f t="shared" si="442"/>
        <v>0</v>
      </c>
      <c r="V1080" s="4">
        <f t="shared" si="443"/>
        <v>0</v>
      </c>
      <c r="W1080" s="5">
        <f t="shared" si="444"/>
        <v>0</v>
      </c>
      <c r="X1080" s="5">
        <f t="shared" si="445"/>
        <v>-11.346251287133359</v>
      </c>
      <c r="Y1080" s="5">
        <f t="shared" si="446"/>
        <v>16.208184719297904</v>
      </c>
      <c r="Z1080" s="5">
        <f>1</f>
        <v>1</v>
      </c>
      <c r="AA1080" s="5">
        <f>IF(M1080=0,0,const*($T1080/omega)*O1080*(wy*I1080-wz*(H1080-V1080))/Z1080)</f>
        <v>0</v>
      </c>
      <c r="AB1080" s="5">
        <f>IF(M1080=0,0,const*($T1080/omega)*O1080*(wz*(G1080-U1080)-wx*I1080)/Z1080)</f>
        <v>9.4449290735039586</v>
      </c>
      <c r="AC1080" s="5">
        <f>IF(M1080=0,0,const*($T1080/omega)*O1080*(wx*(H1080-V1080)-wy*(G1080-U1080))/Z1080)</f>
        <v>6.6117545248318006</v>
      </c>
      <c r="AD1080" s="5">
        <f t="shared" si="459"/>
        <v>0</v>
      </c>
      <c r="AE1080" s="5">
        <f t="shared" si="459"/>
        <v>-1.9013222136294008</v>
      </c>
      <c r="AF1080" s="5">
        <f t="shared" si="447"/>
        <v>-9.3540607558702931</v>
      </c>
      <c r="AG1080">
        <f t="shared" si="458"/>
        <v>0</v>
      </c>
    </row>
    <row r="1081" spans="1:33" x14ac:dyDescent="0.2">
      <c r="A1081">
        <f t="shared" si="448"/>
        <v>10.489999999999821</v>
      </c>
      <c r="B1081" s="5">
        <f t="shared" si="449"/>
        <v>0</v>
      </c>
      <c r="C1081" s="5">
        <f t="shared" si="450"/>
        <v>1309.8687402645842</v>
      </c>
      <c r="D1081" s="5">
        <f t="shared" si="451"/>
        <v>-494.48977949202856</v>
      </c>
      <c r="E1081" s="2">
        <f t="shared" si="433"/>
        <v>436.62291342152804</v>
      </c>
      <c r="F1081" s="2">
        <f t="shared" si="452"/>
        <v>0</v>
      </c>
      <c r="G1081" s="3">
        <f t="shared" si="453"/>
        <v>0</v>
      </c>
      <c r="H1081" s="3">
        <f t="shared" si="454"/>
        <v>86.854038684500679</v>
      </c>
      <c r="I1081" s="3">
        <f t="shared" si="455"/>
        <v>-124.19219106038798</v>
      </c>
      <c r="J1081" s="2">
        <f t="shared" si="434"/>
        <v>151.54974218450076</v>
      </c>
      <c r="K1081" s="2">
        <f t="shared" si="456"/>
        <v>103.30589105964604</v>
      </c>
      <c r="L1081" s="5">
        <f t="shared" si="435"/>
        <v>23.090895839154651</v>
      </c>
      <c r="M1081" s="3">
        <f t="shared" si="436"/>
        <v>13.959810332787448</v>
      </c>
      <c r="N1081" s="2">
        <v>0</v>
      </c>
      <c r="O1081" s="2">
        <f t="shared" si="437"/>
        <v>151.54974218450076</v>
      </c>
      <c r="P1081" s="2">
        <f t="shared" si="438"/>
        <v>103.30589105964604</v>
      </c>
      <c r="Q1081" s="5">
        <f t="shared" si="439"/>
        <v>1.2772569332563672</v>
      </c>
      <c r="R1081" s="5">
        <f t="shared" si="440"/>
        <v>0.15170613217357184</v>
      </c>
      <c r="S1081" s="4">
        <f t="shared" si="457"/>
        <v>9.2113718780150733E-2</v>
      </c>
      <c r="T1081" s="5">
        <f t="shared" si="441"/>
        <v>8.8377401962713958E-2</v>
      </c>
      <c r="U1081" s="4">
        <f t="shared" si="442"/>
        <v>0</v>
      </c>
      <c r="V1081" s="4">
        <f t="shared" si="443"/>
        <v>0</v>
      </c>
      <c r="W1081" s="5">
        <f t="shared" si="444"/>
        <v>0</v>
      </c>
      <c r="X1081" s="5">
        <f t="shared" si="445"/>
        <v>-11.347160402204924</v>
      </c>
      <c r="Y1081" s="5">
        <f t="shared" si="446"/>
        <v>16.225252550230383</v>
      </c>
      <c r="Z1081" s="5">
        <f>1</f>
        <v>1</v>
      </c>
      <c r="AA1081" s="5">
        <f>IF(M1081=0,0,const*($T1081/omega)*O1081*(wy*I1081-wz*(H1081-V1081))/Z1081)</f>
        <v>0</v>
      </c>
      <c r="AB1081" s="5">
        <f>IF(M1081=0,0,const*($T1081/omega)*O1081*(wz*(G1081-U1081)-wx*I1081)/Z1081)</f>
        <v>9.4521272544054913</v>
      </c>
      <c r="AC1081" s="5">
        <f>IF(M1081=0,0,const*($T1081/omega)*O1081*(wx*(H1081-V1081)-wy*(G1081-U1081))/Z1081)</f>
        <v>6.6103626902417014</v>
      </c>
      <c r="AD1081" s="5">
        <f t="shared" si="459"/>
        <v>0</v>
      </c>
      <c r="AE1081" s="5">
        <f t="shared" si="459"/>
        <v>-1.8950331477994329</v>
      </c>
      <c r="AF1081" s="5">
        <f t="shared" si="447"/>
        <v>-9.3383847595279157</v>
      </c>
      <c r="AG1081">
        <f t="shared" si="458"/>
        <v>0</v>
      </c>
    </row>
    <row r="1082" spans="1:33" x14ac:dyDescent="0.2">
      <c r="A1082">
        <f t="shared" si="448"/>
        <v>10.499999999999821</v>
      </c>
      <c r="B1082" s="5">
        <f t="shared" si="449"/>
        <v>0</v>
      </c>
      <c r="C1082" s="5">
        <f t="shared" si="450"/>
        <v>1310.7371858997719</v>
      </c>
      <c r="D1082" s="5">
        <f t="shared" si="451"/>
        <v>-495.7321683218704</v>
      </c>
      <c r="E1082" s="2">
        <f t="shared" si="433"/>
        <v>436.91239529992396</v>
      </c>
      <c r="F1082" s="2">
        <f t="shared" si="452"/>
        <v>0</v>
      </c>
      <c r="G1082" s="3">
        <f t="shared" si="453"/>
        <v>0</v>
      </c>
      <c r="H1082" s="3">
        <f t="shared" si="454"/>
        <v>86.835088353022684</v>
      </c>
      <c r="I1082" s="3">
        <f t="shared" si="455"/>
        <v>-124.28557490798326</v>
      </c>
      <c r="J1082" s="2">
        <f t="shared" si="434"/>
        <v>151.61542368599962</v>
      </c>
      <c r="K1082" s="2">
        <f t="shared" si="456"/>
        <v>103.3506637259711</v>
      </c>
      <c r="L1082" s="5">
        <f t="shared" si="435"/>
        <v>23.080892604175009</v>
      </c>
      <c r="M1082" s="3">
        <f t="shared" si="436"/>
        <v>13.951016352854877</v>
      </c>
      <c r="N1082" s="2">
        <v>0</v>
      </c>
      <c r="O1082" s="2">
        <f t="shared" si="437"/>
        <v>151.61542368599962</v>
      </c>
      <c r="P1082" s="2">
        <f t="shared" si="438"/>
        <v>103.3506637259711</v>
      </c>
      <c r="Q1082" s="5">
        <f t="shared" si="439"/>
        <v>1.2778104950900386</v>
      </c>
      <c r="R1082" s="5">
        <f t="shared" si="440"/>
        <v>0.15168569694251963</v>
      </c>
      <c r="S1082" s="4">
        <f t="shared" si="457"/>
        <v>9.2015812202245847E-2</v>
      </c>
      <c r="T1082" s="5">
        <f t="shared" si="441"/>
        <v>8.8339815858342496E-2</v>
      </c>
      <c r="U1082" s="4">
        <f t="shared" si="442"/>
        <v>0</v>
      </c>
      <c r="V1082" s="4">
        <f t="shared" si="443"/>
        <v>0</v>
      </c>
      <c r="W1082" s="5">
        <f t="shared" si="444"/>
        <v>0</v>
      </c>
      <c r="X1082" s="5">
        <f t="shared" si="445"/>
        <v>-11.34807256338047</v>
      </c>
      <c r="Y1082" s="5">
        <f t="shared" si="446"/>
        <v>16.242301924117957</v>
      </c>
      <c r="Z1082" s="5">
        <f>1</f>
        <v>1</v>
      </c>
      <c r="AA1082" s="5">
        <f>IF(M1082=0,0,const*($T1082/omega)*O1082*(wy*I1082-wz*(H1082-V1082))/Z1082)</f>
        <v>0</v>
      </c>
      <c r="AB1082" s="5">
        <f>IF(M1082=0,0,const*($T1082/omega)*O1082*(wz*(G1082-U1082)-wx*I1082)/Z1082)</f>
        <v>9.4593095460800534</v>
      </c>
      <c r="AC1082" s="5">
        <f>IF(M1082=0,0,const*($T1082/omega)*O1082*(wx*(H1082-V1082)-wy*(G1082-U1082))/Z1082)</f>
        <v>6.6089727693707703</v>
      </c>
      <c r="AD1082" s="5">
        <f t="shared" si="459"/>
        <v>0</v>
      </c>
      <c r="AE1082" s="5">
        <f t="shared" si="459"/>
        <v>-1.8887630173004162</v>
      </c>
      <c r="AF1082" s="5">
        <f t="shared" si="447"/>
        <v>-9.3227253065112734</v>
      </c>
      <c r="AG1082">
        <f t="shared" si="458"/>
        <v>0</v>
      </c>
    </row>
    <row r="1083" spans="1:33" x14ac:dyDescent="0.2">
      <c r="A1083">
        <f t="shared" si="448"/>
        <v>10.50999999999982</v>
      </c>
      <c r="B1083" s="5">
        <f t="shared" si="449"/>
        <v>0</v>
      </c>
      <c r="C1083" s="5">
        <f t="shared" si="450"/>
        <v>1311.6054423451512</v>
      </c>
      <c r="D1083" s="5">
        <f t="shared" si="451"/>
        <v>-496.97549020721556</v>
      </c>
      <c r="E1083" s="2">
        <f t="shared" si="433"/>
        <v>437.20181411505041</v>
      </c>
      <c r="F1083" s="2">
        <f t="shared" si="452"/>
        <v>0</v>
      </c>
      <c r="G1083" s="3">
        <f t="shared" si="453"/>
        <v>0</v>
      </c>
      <c r="H1083" s="3">
        <f t="shared" si="454"/>
        <v>86.816200722849686</v>
      </c>
      <c r="I1083" s="3">
        <f t="shared" si="455"/>
        <v>-124.37880216104837</v>
      </c>
      <c r="J1083" s="2">
        <f t="shared" si="434"/>
        <v>151.68104408582946</v>
      </c>
      <c r="K1083" s="2">
        <f t="shared" si="456"/>
        <v>103.39539474153337</v>
      </c>
      <c r="L1083" s="5">
        <f t="shared" si="435"/>
        <v>23.070907326118387</v>
      </c>
      <c r="M1083" s="3">
        <f t="shared" si="436"/>
        <v>13.942225237521985</v>
      </c>
      <c r="N1083" s="2">
        <v>0</v>
      </c>
      <c r="O1083" s="2">
        <f t="shared" si="437"/>
        <v>151.68104408582946</v>
      </c>
      <c r="P1083" s="2">
        <f t="shared" si="438"/>
        <v>103.39539474153337</v>
      </c>
      <c r="Q1083" s="5">
        <f t="shared" si="439"/>
        <v>1.278363541960575</v>
      </c>
      <c r="R1083" s="5">
        <f t="shared" si="440"/>
        <v>0.15166529107960153</v>
      </c>
      <c r="S1083" s="4">
        <f t="shared" si="457"/>
        <v>9.1918046329063433E-2</v>
      </c>
      <c r="T1083" s="5">
        <f t="shared" si="441"/>
        <v>8.8302259818854464E-2</v>
      </c>
      <c r="U1083" s="4">
        <f t="shared" si="442"/>
        <v>0</v>
      </c>
      <c r="V1083" s="4">
        <f t="shared" si="443"/>
        <v>0</v>
      </c>
      <c r="W1083" s="5">
        <f t="shared" si="444"/>
        <v>0</v>
      </c>
      <c r="X1083" s="5">
        <f t="shared" si="445"/>
        <v>-11.348987743977375</v>
      </c>
      <c r="Y1083" s="5">
        <f t="shared" si="446"/>
        <v>16.259332815572105</v>
      </c>
      <c r="Z1083" s="5">
        <f>1</f>
        <v>1</v>
      </c>
      <c r="AA1083" s="5">
        <f>IF(M1083=0,0,const*($T1083/omega)*O1083*(wy*I1083-wz*(H1083-V1083))/Z1083)</f>
        <v>0</v>
      </c>
      <c r="AB1083" s="5">
        <f>IF(M1083=0,0,const*($T1083/omega)*O1083*(wz*(G1083-U1083)-wx*I1083)/Z1083)</f>
        <v>9.4664759520247017</v>
      </c>
      <c r="AC1083" s="5">
        <f>IF(M1083=0,0,const*($T1083/omega)*O1083*(wx*(H1083-V1083)-wy*(G1083-U1083))/Z1083)</f>
        <v>6.6075847500514229</v>
      </c>
      <c r="AD1083" s="5">
        <f t="shared" si="459"/>
        <v>0</v>
      </c>
      <c r="AE1083" s="5">
        <f t="shared" si="459"/>
        <v>-1.8825117919526733</v>
      </c>
      <c r="AF1083" s="5">
        <f t="shared" si="447"/>
        <v>-9.307082434376472</v>
      </c>
      <c r="AG1083">
        <f t="shared" si="458"/>
        <v>0</v>
      </c>
    </row>
    <row r="1084" spans="1:33" x14ac:dyDescent="0.2">
      <c r="A1084">
        <f t="shared" si="448"/>
        <v>10.51999999999982</v>
      </c>
      <c r="B1084" s="5">
        <f t="shared" si="449"/>
        <v>0</v>
      </c>
      <c r="C1084" s="5">
        <f t="shared" si="450"/>
        <v>1312.47351022679</v>
      </c>
      <c r="D1084" s="5">
        <f t="shared" si="451"/>
        <v>-498.21974358294779</v>
      </c>
      <c r="E1084" s="2">
        <f t="shared" si="433"/>
        <v>437.4911700755967</v>
      </c>
      <c r="F1084" s="2">
        <f t="shared" si="452"/>
        <v>0</v>
      </c>
      <c r="G1084" s="3">
        <f t="shared" si="453"/>
        <v>0</v>
      </c>
      <c r="H1084" s="3">
        <f t="shared" si="454"/>
        <v>86.797375604930153</v>
      </c>
      <c r="I1084" s="3">
        <f t="shared" si="455"/>
        <v>-124.47187298539214</v>
      </c>
      <c r="J1084" s="2">
        <f t="shared" si="434"/>
        <v>151.74660317909894</v>
      </c>
      <c r="K1084" s="2">
        <f t="shared" si="456"/>
        <v>103.44008396666594</v>
      </c>
      <c r="L1084" s="5">
        <f t="shared" si="435"/>
        <v>23.060940000764688</v>
      </c>
      <c r="M1084" s="3">
        <f t="shared" si="436"/>
        <v>13.933437004237003</v>
      </c>
      <c r="N1084" s="2">
        <v>0</v>
      </c>
      <c r="O1084" s="2">
        <f t="shared" si="437"/>
        <v>151.74660317909894</v>
      </c>
      <c r="P1084" s="2">
        <f t="shared" si="438"/>
        <v>103.44008396666594</v>
      </c>
      <c r="Q1084" s="5">
        <f t="shared" si="439"/>
        <v>1.2789160721411574</v>
      </c>
      <c r="R1084" s="5">
        <f t="shared" si="440"/>
        <v>0.15164491457194487</v>
      </c>
      <c r="S1084" s="4">
        <f t="shared" si="457"/>
        <v>9.1820421098929392E-2</v>
      </c>
      <c r="T1084" s="5">
        <f t="shared" si="441"/>
        <v>8.8264733883217608E-2</v>
      </c>
      <c r="U1084" s="4">
        <f t="shared" si="442"/>
        <v>0</v>
      </c>
      <c r="V1084" s="4">
        <f t="shared" si="443"/>
        <v>0</v>
      </c>
      <c r="W1084" s="5">
        <f t="shared" si="444"/>
        <v>0</v>
      </c>
      <c r="X1084" s="5">
        <f t="shared" si="445"/>
        <v>-11.3499059174277</v>
      </c>
      <c r="Y1084" s="5">
        <f t="shared" si="446"/>
        <v>16.27634519942751</v>
      </c>
      <c r="Z1084" s="5">
        <f>1</f>
        <v>1</v>
      </c>
      <c r="AA1084" s="5">
        <f>IF(M1084=0,0,const*($T1084/omega)*O1084*(wy*I1084-wz*(H1084-V1084))/Z1084)</f>
        <v>0</v>
      </c>
      <c r="AB1084" s="5">
        <f>IF(M1084=0,0,const*($T1084/omega)*O1084*(wz*(G1084-U1084)-wx*I1084)/Z1084)</f>
        <v>9.4736264758636324</v>
      </c>
      <c r="AC1084" s="5">
        <f>IF(M1084=0,0,const*($T1084/omega)*O1084*(wx*(H1084-V1084)-wy*(G1084-U1084))/Z1084)</f>
        <v>6.6061986201721963</v>
      </c>
      <c r="AD1084" s="5">
        <f t="shared" si="459"/>
        <v>0</v>
      </c>
      <c r="AE1084" s="5">
        <f t="shared" si="459"/>
        <v>-1.8762794415640673</v>
      </c>
      <c r="AF1084" s="5">
        <f t="shared" si="447"/>
        <v>-9.2914561804002922</v>
      </c>
      <c r="AG1084">
        <f t="shared" si="458"/>
        <v>0</v>
      </c>
    </row>
    <row r="1085" spans="1:33" x14ac:dyDescent="0.2">
      <c r="A1085">
        <f t="shared" si="448"/>
        <v>10.52999999999982</v>
      </c>
      <c r="B1085" s="5">
        <f t="shared" si="449"/>
        <v>0</v>
      </c>
      <c r="C1085" s="5">
        <f t="shared" si="450"/>
        <v>1313.3413901688671</v>
      </c>
      <c r="D1085" s="5">
        <f t="shared" si="451"/>
        <v>-499.46492688561068</v>
      </c>
      <c r="E1085" s="2">
        <f t="shared" si="433"/>
        <v>437.78046338962235</v>
      </c>
      <c r="F1085" s="2">
        <f t="shared" si="452"/>
        <v>0</v>
      </c>
      <c r="G1085" s="3">
        <f t="shared" si="453"/>
        <v>0</v>
      </c>
      <c r="H1085" s="3">
        <f t="shared" si="454"/>
        <v>86.778612810514517</v>
      </c>
      <c r="I1085" s="3">
        <f t="shared" si="455"/>
        <v>-124.56478754719615</v>
      </c>
      <c r="J1085" s="2">
        <f t="shared" si="434"/>
        <v>151.81210076273663</v>
      </c>
      <c r="K1085" s="2">
        <f t="shared" si="456"/>
        <v>103.48473126294249</v>
      </c>
      <c r="L1085" s="5">
        <f t="shared" si="435"/>
        <v>23.050990623614414</v>
      </c>
      <c r="M1085" s="3">
        <f t="shared" si="436"/>
        <v>13.92465167036184</v>
      </c>
      <c r="N1085" s="2">
        <v>0</v>
      </c>
      <c r="O1085" s="2">
        <f t="shared" si="437"/>
        <v>151.81210076273663</v>
      </c>
      <c r="P1085" s="2">
        <f t="shared" si="438"/>
        <v>103.48473126294249</v>
      </c>
      <c r="Q1085" s="5">
        <f t="shared" si="439"/>
        <v>1.2794680839203061</v>
      </c>
      <c r="R1085" s="5">
        <f t="shared" si="440"/>
        <v>0.15162456740631203</v>
      </c>
      <c r="S1085" s="4">
        <f t="shared" si="457"/>
        <v>9.1722936448421416E-2</v>
      </c>
      <c r="T1085" s="5">
        <f t="shared" si="441"/>
        <v>8.8227238089756826E-2</v>
      </c>
      <c r="U1085" s="4">
        <f t="shared" si="442"/>
        <v>0</v>
      </c>
      <c r="V1085" s="4">
        <f t="shared" si="443"/>
        <v>0</v>
      </c>
      <c r="W1085" s="5">
        <f t="shared" si="444"/>
        <v>0</v>
      </c>
      <c r="X1085" s="5">
        <f t="shared" si="445"/>
        <v>-11.350827057277597</v>
      </c>
      <c r="Y1085" s="5">
        <f t="shared" si="446"/>
        <v>16.293339050741693</v>
      </c>
      <c r="Z1085" s="5">
        <f>1</f>
        <v>1</v>
      </c>
      <c r="AA1085" s="5">
        <f>IF(M1085=0,0,const*($T1085/omega)*O1085*(wy*I1085-wz*(H1085-V1085))/Z1085)</f>
        <v>0</v>
      </c>
      <c r="AB1085" s="5">
        <f>IF(M1085=0,0,const*($T1085/omega)*O1085*(wz*(G1085-U1085)-wx*I1085)/Z1085)</f>
        <v>9.4807611213476548</v>
      </c>
      <c r="AC1085" s="5">
        <f>IF(M1085=0,0,const*($T1085/omega)*O1085*(wx*(H1085-V1085)-wy*(G1085-U1085))/Z1085)</f>
        <v>6.6048143676774282</v>
      </c>
      <c r="AD1085" s="5">
        <f t="shared" si="459"/>
        <v>0</v>
      </c>
      <c r="AE1085" s="5">
        <f t="shared" si="459"/>
        <v>-1.8700659359299419</v>
      </c>
      <c r="AF1085" s="5">
        <f t="shared" si="447"/>
        <v>-9.275846581580879</v>
      </c>
      <c r="AG1085">
        <f t="shared" si="458"/>
        <v>0</v>
      </c>
    </row>
    <row r="1086" spans="1:33" x14ac:dyDescent="0.2">
      <c r="A1086">
        <f t="shared" si="448"/>
        <v>10.53999999999982</v>
      </c>
      <c r="B1086" s="5">
        <f t="shared" si="449"/>
        <v>0</v>
      </c>
      <c r="C1086" s="5">
        <f t="shared" si="450"/>
        <v>1314.2090827936754</v>
      </c>
      <c r="D1086" s="5">
        <f t="shared" si="451"/>
        <v>-500.7110385534117</v>
      </c>
      <c r="E1086" s="2">
        <f t="shared" si="433"/>
        <v>438.06969426455845</v>
      </c>
      <c r="F1086" s="2">
        <f t="shared" si="452"/>
        <v>0</v>
      </c>
      <c r="G1086" s="3">
        <f t="shared" si="453"/>
        <v>0</v>
      </c>
      <c r="H1086" s="3">
        <f t="shared" si="454"/>
        <v>86.75991215115522</v>
      </c>
      <c r="I1086" s="3">
        <f t="shared" si="455"/>
        <v>-124.65754601301195</v>
      </c>
      <c r="J1086" s="2">
        <f t="shared" si="434"/>
        <v>151.87753663548261</v>
      </c>
      <c r="K1086" s="2">
        <f t="shared" si="456"/>
        <v>103.52933649317151</v>
      </c>
      <c r="L1086" s="5">
        <f t="shared" si="435"/>
        <v>23.041059189891364</v>
      </c>
      <c r="M1086" s="3">
        <f t="shared" si="436"/>
        <v>13.915869253172223</v>
      </c>
      <c r="N1086" s="2">
        <v>0</v>
      </c>
      <c r="O1086" s="2">
        <f t="shared" si="437"/>
        <v>151.87753663548261</v>
      </c>
      <c r="P1086" s="2">
        <f t="shared" si="438"/>
        <v>103.52933649317151</v>
      </c>
      <c r="Q1086" s="5">
        <f t="shared" si="439"/>
        <v>1.2800195756018078</v>
      </c>
      <c r="R1086" s="5">
        <f t="shared" si="440"/>
        <v>0.15160424956910407</v>
      </c>
      <c r="S1086" s="4">
        <f t="shared" si="457"/>
        <v>9.1625592312386164E-2</v>
      </c>
      <c r="T1086" s="5">
        <f t="shared" si="441"/>
        <v>8.8189772476158626E-2</v>
      </c>
      <c r="U1086" s="4">
        <f t="shared" si="442"/>
        <v>0</v>
      </c>
      <c r="V1086" s="4">
        <f t="shared" si="443"/>
        <v>0</v>
      </c>
      <c r="W1086" s="5">
        <f t="shared" si="444"/>
        <v>0</v>
      </c>
      <c r="X1086" s="5">
        <f t="shared" si="445"/>
        <v>-11.351751137186715</v>
      </c>
      <c r="Y1086" s="5">
        <f t="shared" si="446"/>
        <v>16.310314344794687</v>
      </c>
      <c r="Z1086" s="5">
        <f>1</f>
        <v>1</v>
      </c>
      <c r="AA1086" s="5">
        <f>IF(M1086=0,0,const*($T1086/omega)*O1086*(wy*I1086-wz*(H1086-V1086))/Z1086)</f>
        <v>0</v>
      </c>
      <c r="AB1086" s="5">
        <f>IF(M1086=0,0,const*($T1086/omega)*O1086*(wz*(G1086-U1086)-wx*I1086)/Z1086)</f>
        <v>9.4878798923536678</v>
      </c>
      <c r="AC1086" s="5">
        <f>IF(M1086=0,0,const*($T1086/omega)*O1086*(wx*(H1086-V1086)-wy*(G1086-U1086))/Z1086)</f>
        <v>6.6034319805669268</v>
      </c>
      <c r="AD1086" s="5">
        <f t="shared" si="459"/>
        <v>0</v>
      </c>
      <c r="AE1086" s="5">
        <f t="shared" si="459"/>
        <v>-1.8638712448330477</v>
      </c>
      <c r="AF1086" s="5">
        <f t="shared" si="447"/>
        <v>-9.2602536746383848</v>
      </c>
      <c r="AG1086">
        <f t="shared" si="458"/>
        <v>0</v>
      </c>
    </row>
    <row r="1087" spans="1:33" x14ac:dyDescent="0.2">
      <c r="A1087">
        <f t="shared" si="448"/>
        <v>10.54999999999982</v>
      </c>
      <c r="B1087" s="5">
        <f t="shared" si="449"/>
        <v>0</v>
      </c>
      <c r="C1087" s="5">
        <f t="shared" si="450"/>
        <v>1315.0765887216248</v>
      </c>
      <c r="D1087" s="5">
        <f t="shared" si="451"/>
        <v>-501.95807702622557</v>
      </c>
      <c r="E1087" s="2">
        <f t="shared" si="433"/>
        <v>438.35886290720828</v>
      </c>
      <c r="F1087" s="2">
        <f t="shared" si="452"/>
        <v>0</v>
      </c>
      <c r="G1087" s="3">
        <f t="shared" si="453"/>
        <v>0</v>
      </c>
      <c r="H1087" s="3">
        <f t="shared" si="454"/>
        <v>86.741273438706884</v>
      </c>
      <c r="I1087" s="3">
        <f t="shared" si="455"/>
        <v>-124.75014854975834</v>
      </c>
      <c r="J1087" s="2">
        <f t="shared" si="434"/>
        <v>151.94291059787977</v>
      </c>
      <c r="K1087" s="2">
        <f t="shared" si="456"/>
        <v>103.57389952139043</v>
      </c>
      <c r="L1087" s="5">
        <f t="shared" si="435"/>
        <v>23.031145694545359</v>
      </c>
      <c r="M1087" s="3">
        <f t="shared" si="436"/>
        <v>13.907089769857887</v>
      </c>
      <c r="N1087" s="2">
        <v>0</v>
      </c>
      <c r="O1087" s="2">
        <f t="shared" si="437"/>
        <v>151.94291059787977</v>
      </c>
      <c r="P1087" s="2">
        <f t="shared" si="438"/>
        <v>103.57389952139043</v>
      </c>
      <c r="Q1087" s="5">
        <f t="shared" si="439"/>
        <v>1.2805705455046437</v>
      </c>
      <c r="R1087" s="5">
        <f t="shared" si="440"/>
        <v>0.15158396104636448</v>
      </c>
      <c r="S1087" s="4">
        <f t="shared" si="457"/>
        <v>9.1528388623956944E-2</v>
      </c>
      <c r="T1087" s="5">
        <f t="shared" si="441"/>
        <v>8.8152337079475632E-2</v>
      </c>
      <c r="U1087" s="4">
        <f t="shared" si="442"/>
        <v>0</v>
      </c>
      <c r="V1087" s="4">
        <f t="shared" si="443"/>
        <v>0</v>
      </c>
      <c r="W1087" s="5">
        <f t="shared" si="444"/>
        <v>0</v>
      </c>
      <c r="X1087" s="5">
        <f t="shared" si="445"/>
        <v>-11.352678130927629</v>
      </c>
      <c r="Y1087" s="5">
        <f t="shared" si="446"/>
        <v>16.327271057088687</v>
      </c>
      <c r="Z1087" s="5">
        <f>1</f>
        <v>1</v>
      </c>
      <c r="AA1087" s="5">
        <f>IF(M1087=0,0,const*($T1087/omega)*O1087*(wy*I1087-wz*(H1087-V1087))/Z1087)</f>
        <v>0</v>
      </c>
      <c r="AB1087" s="5">
        <f>IF(M1087=0,0,const*($T1087/omega)*O1087*(wz*(G1087-U1087)-wx*I1087)/Z1087)</f>
        <v>9.4949827928841284</v>
      </c>
      <c r="AC1087" s="5">
        <f>IF(M1087=0,0,const*($T1087/omega)*O1087*(wx*(H1087-V1087)-wy*(G1087-U1087))/Z1087)</f>
        <v>6.6020514468956462</v>
      </c>
      <c r="AD1087" s="5">
        <f t="shared" si="459"/>
        <v>0</v>
      </c>
      <c r="AE1087" s="5">
        <f t="shared" si="459"/>
        <v>-1.8576953380435004</v>
      </c>
      <c r="AF1087" s="5">
        <f t="shared" si="447"/>
        <v>-9.2446774960156652</v>
      </c>
      <c r="AG1087">
        <f t="shared" si="458"/>
        <v>0</v>
      </c>
    </row>
    <row r="1088" spans="1:33" x14ac:dyDescent="0.2">
      <c r="A1088">
        <f t="shared" si="448"/>
        <v>10.559999999999819</v>
      </c>
      <c r="B1088" s="5">
        <f t="shared" si="449"/>
        <v>0</v>
      </c>
      <c r="C1088" s="5">
        <f t="shared" si="450"/>
        <v>1315.9439085712449</v>
      </c>
      <c r="D1088" s="5">
        <f t="shared" si="451"/>
        <v>-503.20604074559799</v>
      </c>
      <c r="E1088" s="2">
        <f t="shared" si="433"/>
        <v>438.64796952374832</v>
      </c>
      <c r="F1088" s="2">
        <f t="shared" si="452"/>
        <v>0</v>
      </c>
      <c r="G1088" s="3">
        <f t="shared" si="453"/>
        <v>0</v>
      </c>
      <c r="H1088" s="3">
        <f t="shared" si="454"/>
        <v>86.722696485326452</v>
      </c>
      <c r="I1088" s="3">
        <f t="shared" si="455"/>
        <v>-124.84259532471849</v>
      </c>
      <c r="J1088" s="2">
        <f t="shared" si="434"/>
        <v>152.00822245226564</v>
      </c>
      <c r="K1088" s="2">
        <f t="shared" si="456"/>
        <v>103.61842021286</v>
      </c>
      <c r="L1088" s="5">
        <f t="shared" si="435"/>
        <v>23.021250132254874</v>
      </c>
      <c r="M1088" s="3">
        <f t="shared" si="436"/>
        <v>13.898313237522723</v>
      </c>
      <c r="N1088" s="2">
        <v>0</v>
      </c>
      <c r="O1088" s="2">
        <f t="shared" si="437"/>
        <v>152.00822245226564</v>
      </c>
      <c r="P1088" s="2">
        <f t="shared" si="438"/>
        <v>103.61842021286</v>
      </c>
      <c r="Q1088" s="5">
        <f t="shared" si="439"/>
        <v>1.2811209919629203</v>
      </c>
      <c r="R1088" s="5">
        <f t="shared" si="440"/>
        <v>0.15156370182378262</v>
      </c>
      <c r="S1088" s="4">
        <f t="shared" si="457"/>
        <v>9.1431325314570655E-2</v>
      </c>
      <c r="T1088" s="5">
        <f t="shared" si="441"/>
        <v>8.8114931936130958E-2</v>
      </c>
      <c r="U1088" s="4">
        <f t="shared" si="442"/>
        <v>0</v>
      </c>
      <c r="V1088" s="4">
        <f t="shared" si="443"/>
        <v>0</v>
      </c>
      <c r="W1088" s="5">
        <f t="shared" si="444"/>
        <v>0</v>
      </c>
      <c r="X1088" s="5">
        <f t="shared" si="445"/>
        <v>-11.353608012385262</v>
      </c>
      <c r="Y1088" s="5">
        <f t="shared" si="446"/>
        <v>16.34420916334771</v>
      </c>
      <c r="Z1088" s="5">
        <f>1</f>
        <v>1</v>
      </c>
      <c r="AA1088" s="5">
        <f>IF(M1088=0,0,const*($T1088/omega)*O1088*(wy*I1088-wz*(H1088-V1088))/Z1088)</f>
        <v>0</v>
      </c>
      <c r="AB1088" s="5">
        <f>IF(M1088=0,0,const*($T1088/omega)*O1088*(wz*(G1088-U1088)-wx*I1088)/Z1088)</f>
        <v>9.5020698270665171</v>
      </c>
      <c r="AC1088" s="5">
        <f>IF(M1088=0,0,const*($T1088/omega)*O1088*(wx*(H1088-V1088)-wy*(G1088-U1088))/Z1088)</f>
        <v>6.600672754773381</v>
      </c>
      <c r="AD1088" s="5">
        <f t="shared" si="459"/>
        <v>0</v>
      </c>
      <c r="AE1088" s="5">
        <f t="shared" si="459"/>
        <v>-1.8515381853187449</v>
      </c>
      <c r="AF1088" s="5">
        <f t="shared" si="447"/>
        <v>-9.2291180818789087</v>
      </c>
      <c r="AG1088">
        <f t="shared" si="458"/>
        <v>0</v>
      </c>
    </row>
    <row r="1089" spans="1:33" x14ac:dyDescent="0.2">
      <c r="A1089">
        <f t="shared" si="448"/>
        <v>10.569999999999819</v>
      </c>
      <c r="B1089" s="5">
        <f t="shared" si="449"/>
        <v>0</v>
      </c>
      <c r="C1089" s="5">
        <f t="shared" si="450"/>
        <v>1316.8110429591889</v>
      </c>
      <c r="D1089" s="5">
        <f t="shared" si="451"/>
        <v>-504.45492815474927</v>
      </c>
      <c r="E1089" s="2">
        <f t="shared" si="433"/>
        <v>438.9370143197296</v>
      </c>
      <c r="F1089" s="2">
        <f t="shared" si="452"/>
        <v>0</v>
      </c>
      <c r="G1089" s="3">
        <f t="shared" si="453"/>
        <v>0</v>
      </c>
      <c r="H1089" s="3">
        <f t="shared" si="454"/>
        <v>86.70418110347326</v>
      </c>
      <c r="I1089" s="3">
        <f t="shared" si="455"/>
        <v>-124.93488650553728</v>
      </c>
      <c r="J1089" s="2">
        <f t="shared" si="434"/>
        <v>152.07347200276374</v>
      </c>
      <c r="K1089" s="2">
        <f t="shared" si="456"/>
        <v>103.66289843405843</v>
      </c>
      <c r="L1089" s="5">
        <f t="shared" si="435"/>
        <v>23.01137249742974</v>
      </c>
      <c r="M1089" s="3">
        <f t="shared" si="436"/>
        <v>13.889539673184968</v>
      </c>
      <c r="N1089" s="2">
        <v>0</v>
      </c>
      <c r="O1089" s="2">
        <f t="shared" si="437"/>
        <v>152.07347200276374</v>
      </c>
      <c r="P1089" s="2">
        <f t="shared" si="438"/>
        <v>103.66289843405843</v>
      </c>
      <c r="Q1089" s="5">
        <f t="shared" si="439"/>
        <v>1.281670913325796</v>
      </c>
      <c r="R1089" s="5">
        <f t="shared" si="440"/>
        <v>0.15154347188669745</v>
      </c>
      <c r="S1089" s="4">
        <f t="shared" si="457"/>
        <v>9.1334402313985069E-2</v>
      </c>
      <c r="T1089" s="5">
        <f t="shared" si="441"/>
        <v>8.8077557081922594E-2</v>
      </c>
      <c r="U1089" s="4">
        <f t="shared" si="442"/>
        <v>0</v>
      </c>
      <c r="V1089" s="4">
        <f t="shared" si="443"/>
        <v>0</v>
      </c>
      <c r="W1089" s="5">
        <f t="shared" si="444"/>
        <v>0</v>
      </c>
      <c r="X1089" s="5">
        <f t="shared" si="445"/>
        <v>-11.354540755556314</v>
      </c>
      <c r="Y1089" s="5">
        <f t="shared" si="446"/>
        <v>16.36112863951724</v>
      </c>
      <c r="Z1089" s="5">
        <f>1</f>
        <v>1</v>
      </c>
      <c r="AA1089" s="5">
        <f>IF(M1089=0,0,const*($T1089/omega)*O1089*(wy*I1089-wz*(H1089-V1089))/Z1089)</f>
        <v>0</v>
      </c>
      <c r="AB1089" s="5">
        <f>IF(M1089=0,0,const*($T1089/omega)*O1089*(wz*(G1089-U1089)-wx*I1089)/Z1089)</f>
        <v>9.5091409991528248</v>
      </c>
      <c r="AC1089" s="5">
        <f>IF(M1089=0,0,const*($T1089/omega)*O1089*(wx*(H1089-V1089)-wy*(G1089-U1089))/Z1089)</f>
        <v>6.5992958923644354</v>
      </c>
      <c r="AD1089" s="5">
        <f t="shared" si="459"/>
        <v>0</v>
      </c>
      <c r="AE1089" s="5">
        <f t="shared" si="459"/>
        <v>-1.8453997564034896</v>
      </c>
      <c r="AF1089" s="5">
        <f t="shared" si="447"/>
        <v>-9.2135754681183251</v>
      </c>
      <c r="AG1089">
        <f t="shared" si="458"/>
        <v>0</v>
      </c>
    </row>
    <row r="1090" spans="1:33" x14ac:dyDescent="0.2">
      <c r="A1090">
        <f t="shared" si="448"/>
        <v>10.579999999999819</v>
      </c>
      <c r="B1090" s="5">
        <f t="shared" si="449"/>
        <v>0</v>
      </c>
      <c r="C1090" s="5">
        <f t="shared" si="450"/>
        <v>1317.6779925002359</v>
      </c>
      <c r="D1090" s="5">
        <f t="shared" si="451"/>
        <v>-505.70473769857801</v>
      </c>
      <c r="E1090" s="2">
        <f t="shared" si="433"/>
        <v>439.22599750007862</v>
      </c>
      <c r="F1090" s="2">
        <f t="shared" si="452"/>
        <v>0</v>
      </c>
      <c r="G1090" s="3">
        <f t="shared" si="453"/>
        <v>0</v>
      </c>
      <c r="H1090" s="3">
        <f t="shared" si="454"/>
        <v>86.685727105909223</v>
      </c>
      <c r="I1090" s="3">
        <f t="shared" si="455"/>
        <v>-125.02702226021846</v>
      </c>
      <c r="J1090" s="2">
        <f t="shared" si="434"/>
        <v>152.13865905527538</v>
      </c>
      <c r="K1090" s="2">
        <f t="shared" si="456"/>
        <v>103.70733405267579</v>
      </c>
      <c r="L1090" s="5">
        <f t="shared" si="435"/>
        <v>23.001512784213716</v>
      </c>
      <c r="M1090" s="3">
        <f t="shared" si="436"/>
        <v>13.880769093777351</v>
      </c>
      <c r="N1090" s="2">
        <v>0</v>
      </c>
      <c r="O1090" s="2">
        <f t="shared" si="437"/>
        <v>152.13865905527538</v>
      </c>
      <c r="P1090" s="2">
        <f t="shared" si="438"/>
        <v>103.70733405267579</v>
      </c>
      <c r="Q1090" s="5">
        <f t="shared" si="439"/>
        <v>1.2822203079574126</v>
      </c>
      <c r="R1090" s="5">
        <f t="shared" si="440"/>
        <v>0.15152327122010087</v>
      </c>
      <c r="S1090" s="4">
        <f t="shared" si="457"/>
        <v>9.1237619550295607E-2</v>
      </c>
      <c r="T1090" s="5">
        <f t="shared" si="441"/>
        <v>8.8040212552027777E-2</v>
      </c>
      <c r="U1090" s="4">
        <f t="shared" si="442"/>
        <v>0</v>
      </c>
      <c r="V1090" s="4">
        <f t="shared" si="443"/>
        <v>0</v>
      </c>
      <c r="W1090" s="5">
        <f t="shared" si="444"/>
        <v>0</v>
      </c>
      <c r="X1090" s="5">
        <f t="shared" si="445"/>
        <v>-11.355476334548698</v>
      </c>
      <c r="Y1090" s="5">
        <f t="shared" si="446"/>
        <v>16.37802946176387</v>
      </c>
      <c r="Z1090" s="5">
        <f>1</f>
        <v>1</v>
      </c>
      <c r="AA1090" s="5">
        <f>IF(M1090=0,0,const*($T1090/omega)*O1090*(wy*I1090-wz*(H1090-V1090))/Z1090)</f>
        <v>0</v>
      </c>
      <c r="AB1090" s="5">
        <f>IF(M1090=0,0,const*($T1090/omega)*O1090*(wz*(G1090-U1090)-wx*I1090)/Z1090)</f>
        <v>9.5161963135190035</v>
      </c>
      <c r="AC1090" s="5">
        <f>IF(M1090=0,0,const*($T1090/omega)*O1090*(wx*(H1090-V1090)-wy*(G1090-U1090))/Z1090)</f>
        <v>6.5979208478873224</v>
      </c>
      <c r="AD1090" s="5">
        <f t="shared" si="459"/>
        <v>0</v>
      </c>
      <c r="AE1090" s="5">
        <f t="shared" si="459"/>
        <v>-1.839280021029694</v>
      </c>
      <c r="AF1090" s="5">
        <f t="shared" si="447"/>
        <v>-9.1980496903488067</v>
      </c>
      <c r="AG1090">
        <f t="shared" si="458"/>
        <v>0</v>
      </c>
    </row>
    <row r="1091" spans="1:33" x14ac:dyDescent="0.2">
      <c r="A1091">
        <f t="shared" si="448"/>
        <v>10.589999999999819</v>
      </c>
      <c r="B1091" s="5">
        <f t="shared" si="449"/>
        <v>0</v>
      </c>
      <c r="C1091" s="5">
        <f t="shared" si="450"/>
        <v>1318.544757807294</v>
      </c>
      <c r="D1091" s="5">
        <f t="shared" si="451"/>
        <v>-506.95546782366472</v>
      </c>
      <c r="E1091" s="2">
        <f t="shared" si="433"/>
        <v>439.51491926909802</v>
      </c>
      <c r="F1091" s="2">
        <f t="shared" si="452"/>
        <v>0</v>
      </c>
      <c r="G1091" s="3">
        <f t="shared" si="453"/>
        <v>0</v>
      </c>
      <c r="H1091" s="3">
        <f t="shared" si="454"/>
        <v>86.66733430569893</v>
      </c>
      <c r="I1091" s="3">
        <f t="shared" si="455"/>
        <v>-125.11900275712195</v>
      </c>
      <c r="J1091" s="2">
        <f t="shared" si="434"/>
        <v>152.20378341747116</v>
      </c>
      <c r="K1091" s="2">
        <f t="shared" si="456"/>
        <v>103.75172693760814</v>
      </c>
      <c r="L1091" s="5">
        <f t="shared" si="435"/>
        <v>22.991670986487172</v>
      </c>
      <c r="M1091" s="3">
        <f t="shared" si="436"/>
        <v>13.872001516147279</v>
      </c>
      <c r="N1091" s="2">
        <v>0</v>
      </c>
      <c r="O1091" s="2">
        <f t="shared" si="437"/>
        <v>152.20378341747116</v>
      </c>
      <c r="P1091" s="2">
        <f t="shared" si="438"/>
        <v>103.75172693760814</v>
      </c>
      <c r="Q1091" s="5">
        <f t="shared" si="439"/>
        <v>1.2827691742368235</v>
      </c>
      <c r="R1091" s="5">
        <f t="shared" si="440"/>
        <v>0.15150309980864146</v>
      </c>
      <c r="S1091" s="4">
        <f t="shared" si="457"/>
        <v>9.1140976949952351E-2</v>
      </c>
      <c r="T1091" s="5">
        <f t="shared" si="441"/>
        <v>8.8002898381007291E-2</v>
      </c>
      <c r="U1091" s="4">
        <f t="shared" si="442"/>
        <v>0</v>
      </c>
      <c r="V1091" s="4">
        <f t="shared" si="443"/>
        <v>0</v>
      </c>
      <c r="W1091" s="5">
        <f t="shared" si="444"/>
        <v>0</v>
      </c>
      <c r="X1091" s="5">
        <f t="shared" si="445"/>
        <v>-11.356414723580965</v>
      </c>
      <c r="Y1091" s="5">
        <f t="shared" si="446"/>
        <v>16.394911606474938</v>
      </c>
      <c r="Z1091" s="5">
        <f>1</f>
        <v>1</v>
      </c>
      <c r="AA1091" s="5">
        <f>IF(M1091=0,0,const*($T1091/omega)*O1091*(wy*I1091-wz*(H1091-V1091))/Z1091)</f>
        <v>0</v>
      </c>
      <c r="AB1091" s="5">
        <f>IF(M1091=0,0,const*($T1091/omega)*O1091*(wz*(G1091-U1091)-wx*I1091)/Z1091)</f>
        <v>9.5232357746644354</v>
      </c>
      <c r="AC1091" s="5">
        <f>IF(M1091=0,0,const*($T1091/omega)*O1091*(wx*(H1091-V1091)-wy*(G1091-U1091))/Z1091)</f>
        <v>6.596547609614432</v>
      </c>
      <c r="AD1091" s="5">
        <f t="shared" si="459"/>
        <v>0</v>
      </c>
      <c r="AE1091" s="5">
        <f t="shared" si="459"/>
        <v>-1.8331789489165295</v>
      </c>
      <c r="AF1091" s="5">
        <f t="shared" si="447"/>
        <v>-9.1825407839106283</v>
      </c>
      <c r="AG1091">
        <f t="shared" si="458"/>
        <v>0</v>
      </c>
    </row>
    <row r="1092" spans="1:33" x14ac:dyDescent="0.2">
      <c r="A1092">
        <f t="shared" si="448"/>
        <v>10.599999999999818</v>
      </c>
      <c r="B1092" s="5">
        <f t="shared" si="449"/>
        <v>0</v>
      </c>
      <c r="C1092" s="5">
        <f t="shared" si="450"/>
        <v>1319.4113394914036</v>
      </c>
      <c r="D1092" s="5">
        <f t="shared" si="451"/>
        <v>-508.20711697827517</v>
      </c>
      <c r="E1092" s="2">
        <f t="shared" si="433"/>
        <v>439.80377983046787</v>
      </c>
      <c r="F1092" s="2">
        <f t="shared" si="452"/>
        <v>0</v>
      </c>
      <c r="G1092" s="3">
        <f t="shared" si="453"/>
        <v>0</v>
      </c>
      <c r="H1092" s="3">
        <f t="shared" si="454"/>
        <v>86.649002516209762</v>
      </c>
      <c r="I1092" s="3">
        <f t="shared" si="455"/>
        <v>-125.21082816496106</v>
      </c>
      <c r="J1092" s="2">
        <f t="shared" si="434"/>
        <v>152.26884489878265</v>
      </c>
      <c r="K1092" s="2">
        <f t="shared" si="456"/>
        <v>103.79607695895204</v>
      </c>
      <c r="L1092" s="5">
        <f t="shared" si="435"/>
        <v>22.981847097869633</v>
      </c>
      <c r="M1092" s="3">
        <f t="shared" si="436"/>
        <v>13.863236957057008</v>
      </c>
      <c r="N1092" s="2">
        <v>0</v>
      </c>
      <c r="O1092" s="2">
        <f t="shared" si="437"/>
        <v>152.26884489878265</v>
      </c>
      <c r="P1092" s="2">
        <f t="shared" si="438"/>
        <v>103.79607695895204</v>
      </c>
      <c r="Q1092" s="5">
        <f t="shared" si="439"/>
        <v>1.2833175105579226</v>
      </c>
      <c r="R1092" s="5">
        <f t="shared" si="440"/>
        <v>0.15148295763662781</v>
      </c>
      <c r="S1092" s="4">
        <f t="shared" si="457"/>
        <v>9.1044474437776746E-2</v>
      </c>
      <c r="T1092" s="5">
        <f t="shared" si="441"/>
        <v>8.7965614602809911E-2</v>
      </c>
      <c r="U1092" s="4">
        <f t="shared" si="442"/>
        <v>0</v>
      </c>
      <c r="V1092" s="4">
        <f t="shared" si="443"/>
        <v>0</v>
      </c>
      <c r="W1092" s="5">
        <f t="shared" si="444"/>
        <v>0</v>
      </c>
      <c r="X1092" s="5">
        <f t="shared" si="445"/>
        <v>-11.357355896981753</v>
      </c>
      <c r="Y1092" s="5">
        <f t="shared" si="446"/>
        <v>16.411775050258179</v>
      </c>
      <c r="Z1092" s="5">
        <f>1</f>
        <v>1</v>
      </c>
      <c r="AA1092" s="5">
        <f>IF(M1092=0,0,const*($T1092/omega)*O1092*(wy*I1092-wz*(H1092-V1092))/Z1092)</f>
        <v>0</v>
      </c>
      <c r="AB1092" s="5">
        <f>IF(M1092=0,0,const*($T1092/omega)*O1092*(wz*(G1092-U1092)-wx*I1092)/Z1092)</f>
        <v>9.5302593872114212</v>
      </c>
      <c r="AC1092" s="5">
        <f>IF(M1092=0,0,const*($T1092/omega)*O1092*(wx*(H1092-V1092)-wy*(G1092-U1092))/Z1092)</f>
        <v>6.5951761658717469</v>
      </c>
      <c r="AD1092" s="5">
        <f t="shared" si="459"/>
        <v>0</v>
      </c>
      <c r="AE1092" s="5">
        <f t="shared" si="459"/>
        <v>-1.8270965097703318</v>
      </c>
      <c r="AF1092" s="5">
        <f t="shared" si="447"/>
        <v>-9.1670487838700723</v>
      </c>
      <c r="AG1092">
        <f t="shared" si="458"/>
        <v>0</v>
      </c>
    </row>
    <row r="1093" spans="1:33" x14ac:dyDescent="0.2">
      <c r="A1093">
        <f t="shared" si="448"/>
        <v>10.609999999999818</v>
      </c>
      <c r="B1093" s="5">
        <f t="shared" si="449"/>
        <v>0</v>
      </c>
      <c r="C1093" s="5">
        <f t="shared" si="450"/>
        <v>1320.2777381617402</v>
      </c>
      <c r="D1093" s="5">
        <f t="shared" si="451"/>
        <v>-509.45968361236396</v>
      </c>
      <c r="E1093" s="2">
        <f t="shared" si="433"/>
        <v>440.09257938724676</v>
      </c>
      <c r="F1093" s="2">
        <f t="shared" si="452"/>
        <v>0</v>
      </c>
      <c r="G1093" s="3">
        <f t="shared" si="453"/>
        <v>0</v>
      </c>
      <c r="H1093" s="3">
        <f t="shared" si="454"/>
        <v>86.630731551112063</v>
      </c>
      <c r="I1093" s="3">
        <f t="shared" si="455"/>
        <v>-125.30249865279976</v>
      </c>
      <c r="J1093" s="2">
        <f t="shared" si="434"/>
        <v>152.33384331039417</v>
      </c>
      <c r="K1093" s="2">
        <f t="shared" si="456"/>
        <v>103.84038398799875</v>
      </c>
      <c r="L1093" s="5">
        <f t="shared" si="435"/>
        <v>22.972041111722373</v>
      </c>
      <c r="M1093" s="3">
        <f t="shared" si="436"/>
        <v>13.854475433183799</v>
      </c>
      <c r="N1093" s="2">
        <v>0</v>
      </c>
      <c r="O1093" s="2">
        <f t="shared" si="437"/>
        <v>152.33384331039417</v>
      </c>
      <c r="P1093" s="2">
        <f t="shared" si="438"/>
        <v>103.84038398799875</v>
      </c>
      <c r="Q1093" s="5">
        <f t="shared" si="439"/>
        <v>1.283865315329378</v>
      </c>
      <c r="R1093" s="5">
        <f t="shared" si="440"/>
        <v>0.15146284468803201</v>
      </c>
      <c r="S1093" s="4">
        <f t="shared" si="457"/>
        <v>9.0948111936978021E-2</v>
      </c>
      <c r="T1093" s="5">
        <f t="shared" si="441"/>
        <v>8.7928361250776521E-2</v>
      </c>
      <c r="U1093" s="4">
        <f t="shared" si="442"/>
        <v>0</v>
      </c>
      <c r="V1093" s="4">
        <f t="shared" si="443"/>
        <v>0</v>
      </c>
      <c r="W1093" s="5">
        <f t="shared" si="444"/>
        <v>0</v>
      </c>
      <c r="X1093" s="5">
        <f t="shared" si="445"/>
        <v>-11.358299829189235</v>
      </c>
      <c r="Y1093" s="5">
        <f t="shared" si="446"/>
        <v>16.428619769941331</v>
      </c>
      <c r="Z1093" s="5">
        <f>1</f>
        <v>1</v>
      </c>
      <c r="AA1093" s="5">
        <f>IF(M1093=0,0,const*($T1093/omega)*O1093*(wy*I1093-wz*(H1093-V1093))/Z1093)</f>
        <v>0</v>
      </c>
      <c r="AB1093" s="5">
        <f>IF(M1093=0,0,const*($T1093/omega)*O1093*(wz*(G1093-U1093)-wx*I1093)/Z1093)</f>
        <v>9.5372671559046225</v>
      </c>
      <c r="AC1093" s="5">
        <f>IF(M1093=0,0,const*($T1093/omega)*O1093*(wx*(H1093-V1093)-wy*(G1093-U1093))/Z1093)</f>
        <v>6.5938065050385193</v>
      </c>
      <c r="AD1093" s="5">
        <f t="shared" si="459"/>
        <v>0</v>
      </c>
      <c r="AE1093" s="5">
        <f t="shared" si="459"/>
        <v>-1.8210326732846127</v>
      </c>
      <c r="AF1093" s="5">
        <f t="shared" si="447"/>
        <v>-9.1515737250201497</v>
      </c>
      <c r="AG1093">
        <f t="shared" si="458"/>
        <v>0</v>
      </c>
    </row>
    <row r="1094" spans="1:33" x14ac:dyDescent="0.2">
      <c r="A1094">
        <f t="shared" si="448"/>
        <v>10.619999999999818</v>
      </c>
      <c r="B1094" s="5">
        <f t="shared" si="449"/>
        <v>0</v>
      </c>
      <c r="C1094" s="5">
        <f t="shared" si="450"/>
        <v>1321.1439544256177</v>
      </c>
      <c r="D1094" s="5">
        <f t="shared" si="451"/>
        <v>-510.71316617757816</v>
      </c>
      <c r="E1094" s="2">
        <f t="shared" si="433"/>
        <v>440.38131814187255</v>
      </c>
      <c r="F1094" s="2">
        <f t="shared" si="452"/>
        <v>0</v>
      </c>
      <c r="G1094" s="3">
        <f t="shared" si="453"/>
        <v>0</v>
      </c>
      <c r="H1094" s="3">
        <f t="shared" si="454"/>
        <v>86.612521224379222</v>
      </c>
      <c r="I1094" s="3">
        <f t="shared" si="455"/>
        <v>-125.39401439004996</v>
      </c>
      <c r="J1094" s="2">
        <f t="shared" si="434"/>
        <v>152.39877846523441</v>
      </c>
      <c r="K1094" s="2">
        <f t="shared" si="456"/>
        <v>103.88464789722863</v>
      </c>
      <c r="L1094" s="5">
        <f t="shared" si="435"/>
        <v>22.962253021150985</v>
      </c>
      <c r="M1094" s="3">
        <f t="shared" si="436"/>
        <v>13.845716961120116</v>
      </c>
      <c r="N1094" s="2">
        <v>0</v>
      </c>
      <c r="O1094" s="2">
        <f t="shared" si="437"/>
        <v>152.39877846523441</v>
      </c>
      <c r="P1094" s="2">
        <f t="shared" si="438"/>
        <v>103.88464789722863</v>
      </c>
      <c r="Q1094" s="5">
        <f t="shared" si="439"/>
        <v>1.2844125869745571</v>
      </c>
      <c r="R1094" s="5">
        <f t="shared" si="440"/>
        <v>0.15144276094649314</v>
      </c>
      <c r="S1094" s="4">
        <f t="shared" si="457"/>
        <v>9.085188936916995E-2</v>
      </c>
      <c r="T1094" s="5">
        <f t="shared" si="441"/>
        <v>8.7891138357644505E-2</v>
      </c>
      <c r="U1094" s="4">
        <f t="shared" si="442"/>
        <v>0</v>
      </c>
      <c r="V1094" s="4">
        <f t="shared" si="443"/>
        <v>0</v>
      </c>
      <c r="W1094" s="5">
        <f t="shared" si="444"/>
        <v>0</v>
      </c>
      <c r="X1094" s="5">
        <f t="shared" si="445"/>
        <v>-11.359246494750563</v>
      </c>
      <c r="Y1094" s="5">
        <f t="shared" si="446"/>
        <v>16.445445742571799</v>
      </c>
      <c r="Z1094" s="5">
        <f>1</f>
        <v>1</v>
      </c>
      <c r="AA1094" s="5">
        <f>IF(M1094=0,0,const*($T1094/omega)*O1094*(wy*I1094-wz*(H1094-V1094))/Z1094)</f>
        <v>0</v>
      </c>
      <c r="AB1094" s="5">
        <f>IF(M1094=0,0,const*($T1094/omega)*O1094*(wz*(G1094-U1094)-wx*I1094)/Z1094)</f>
        <v>9.5442590856105483</v>
      </c>
      <c r="AC1094" s="5">
        <f>IF(M1094=0,0,const*($T1094/omega)*O1094*(wx*(H1094-V1094)-wy*(G1094-U1094))/Z1094)</f>
        <v>6.5924386155469712</v>
      </c>
      <c r="AD1094" s="5">
        <f t="shared" si="459"/>
        <v>0</v>
      </c>
      <c r="AE1094" s="5">
        <f t="shared" si="459"/>
        <v>-1.8149874091400147</v>
      </c>
      <c r="AF1094" s="5">
        <f t="shared" si="447"/>
        <v>-9.1361156418812293</v>
      </c>
      <c r="AG1094">
        <f t="shared" si="458"/>
        <v>0</v>
      </c>
    </row>
    <row r="1095" spans="1:33" x14ac:dyDescent="0.2">
      <c r="A1095">
        <f t="shared" si="448"/>
        <v>10.629999999999818</v>
      </c>
      <c r="B1095" s="5">
        <f t="shared" si="449"/>
        <v>0</v>
      </c>
      <c r="C1095" s="5">
        <f t="shared" si="450"/>
        <v>1322.0099888884911</v>
      </c>
      <c r="D1095" s="5">
        <f t="shared" si="451"/>
        <v>-511.96756312726075</v>
      </c>
      <c r="E1095" s="2">
        <f t="shared" si="433"/>
        <v>440.66999629616367</v>
      </c>
      <c r="F1095" s="2">
        <f t="shared" si="452"/>
        <v>0</v>
      </c>
      <c r="G1095" s="3">
        <f t="shared" si="453"/>
        <v>0</v>
      </c>
      <c r="H1095" s="3">
        <f t="shared" si="454"/>
        <v>86.594371350287815</v>
      </c>
      <c r="I1095" s="3">
        <f t="shared" si="455"/>
        <v>-125.48537554646877</v>
      </c>
      <c r="J1095" s="2">
        <f t="shared" si="434"/>
        <v>152.46365017796816</v>
      </c>
      <c r="K1095" s="2">
        <f t="shared" si="456"/>
        <v>103.92886856030549</v>
      </c>
      <c r="L1095" s="5">
        <f t="shared" si="435"/>
        <v>22.952482819007923</v>
      </c>
      <c r="M1095" s="3">
        <f t="shared" si="436"/>
        <v>13.836961557373781</v>
      </c>
      <c r="N1095" s="2">
        <v>0</v>
      </c>
      <c r="O1095" s="2">
        <f t="shared" si="437"/>
        <v>152.46365017796816</v>
      </c>
      <c r="P1095" s="2">
        <f t="shared" si="438"/>
        <v>103.92886856030549</v>
      </c>
      <c r="Q1095" s="5">
        <f t="shared" si="439"/>
        <v>1.2849593239314603</v>
      </c>
      <c r="R1095" s="5">
        <f t="shared" si="440"/>
        <v>0.15142270639532068</v>
      </c>
      <c r="S1095" s="4">
        <f t="shared" si="457"/>
        <v>9.0755806654387039E-2</v>
      </c>
      <c r="T1095" s="5">
        <f t="shared" si="441"/>
        <v>8.7853945955551974E-2</v>
      </c>
      <c r="U1095" s="4">
        <f t="shared" si="442"/>
        <v>0</v>
      </c>
      <c r="V1095" s="4">
        <f t="shared" si="443"/>
        <v>0</v>
      </c>
      <c r="W1095" s="5">
        <f t="shared" si="444"/>
        <v>0</v>
      </c>
      <c r="X1095" s="5">
        <f t="shared" si="445"/>
        <v>-11.360195868321307</v>
      </c>
      <c r="Y1095" s="5">
        <f t="shared" si="446"/>
        <v>16.462252945416225</v>
      </c>
      <c r="Z1095" s="5">
        <f>1</f>
        <v>1</v>
      </c>
      <c r="AA1095" s="5">
        <f>IF(M1095=0,0,const*($T1095/omega)*O1095*(wy*I1095-wz*(H1095-V1095))/Z1095)</f>
        <v>0</v>
      </c>
      <c r="AB1095" s="5">
        <f>IF(M1095=0,0,const*($T1095/omega)*O1095*(wz*(G1095-U1095)-wx*I1095)/Z1095)</f>
        <v>9.5512351813170113</v>
      </c>
      <c r="AC1095" s="5">
        <f>IF(M1095=0,0,const*($T1095/omega)*O1095*(wx*(H1095-V1095)-wy*(G1095-U1095))/Z1095)</f>
        <v>6.5910724858819894</v>
      </c>
      <c r="AD1095" s="5">
        <f t="shared" si="459"/>
        <v>0</v>
      </c>
      <c r="AE1095" s="5">
        <f t="shared" si="459"/>
        <v>-1.808960687004296</v>
      </c>
      <c r="AF1095" s="5">
        <f t="shared" si="447"/>
        <v>-9.1206745687017872</v>
      </c>
      <c r="AG1095">
        <f t="shared" si="458"/>
        <v>0</v>
      </c>
    </row>
    <row r="1096" spans="1:33" x14ac:dyDescent="0.2">
      <c r="A1096">
        <f t="shared" si="448"/>
        <v>10.639999999999818</v>
      </c>
      <c r="B1096" s="5">
        <f t="shared" si="449"/>
        <v>0</v>
      </c>
      <c r="C1096" s="5">
        <f t="shared" si="450"/>
        <v>1322.8758421539596</v>
      </c>
      <c r="D1096" s="5">
        <f t="shared" si="451"/>
        <v>-513.22287291645387</v>
      </c>
      <c r="E1096" s="2">
        <f t="shared" si="433"/>
        <v>440.9586140513199</v>
      </c>
      <c r="F1096" s="2">
        <f t="shared" si="452"/>
        <v>0</v>
      </c>
      <c r="G1096" s="3">
        <f t="shared" si="453"/>
        <v>0</v>
      </c>
      <c r="H1096" s="3">
        <f t="shared" si="454"/>
        <v>86.576281743417766</v>
      </c>
      <c r="I1096" s="3">
        <f t="shared" si="455"/>
        <v>-125.57658229215579</v>
      </c>
      <c r="J1096" s="2">
        <f t="shared" si="434"/>
        <v>152.52845826498813</v>
      </c>
      <c r="K1096" s="2">
        <f t="shared" si="456"/>
        <v>103.97304585207098</v>
      </c>
      <c r="L1096" s="5">
        <f t="shared" si="435"/>
        <v>22.942730497895006</v>
      </c>
      <c r="M1096" s="3">
        <f t="shared" si="436"/>
        <v>13.828209238368162</v>
      </c>
      <c r="N1096" s="2">
        <v>0</v>
      </c>
      <c r="O1096" s="2">
        <f t="shared" si="437"/>
        <v>152.52845826498813</v>
      </c>
      <c r="P1096" s="2">
        <f t="shared" si="438"/>
        <v>103.97304585207098</v>
      </c>
      <c r="Q1096" s="5">
        <f t="shared" si="439"/>
        <v>1.2855055246526503</v>
      </c>
      <c r="R1096" s="5">
        <f t="shared" si="440"/>
        <v>0.15140268101749788</v>
      </c>
      <c r="S1096" s="4">
        <f t="shared" si="457"/>
        <v>9.065986371110088E-2</v>
      </c>
      <c r="T1096" s="5">
        <f t="shared" si="441"/>
        <v>8.7816784076041959E-2</v>
      </c>
      <c r="U1096" s="4">
        <f t="shared" si="442"/>
        <v>0</v>
      </c>
      <c r="V1096" s="4">
        <f t="shared" si="443"/>
        <v>0</v>
      </c>
      <c r="W1096" s="5">
        <f t="shared" si="444"/>
        <v>0</v>
      </c>
      <c r="X1096" s="5">
        <f t="shared" si="445"/>
        <v>-11.361147924664932</v>
      </c>
      <c r="Y1096" s="5">
        <f t="shared" si="446"/>
        <v>16.47904135596017</v>
      </c>
      <c r="Z1096" s="5">
        <f>1</f>
        <v>1</v>
      </c>
      <c r="AA1096" s="5">
        <f>IF(M1096=0,0,const*($T1096/omega)*O1096*(wy*I1096-wz*(H1096-V1096))/Z1096)</f>
        <v>0</v>
      </c>
      <c r="AB1096" s="5">
        <f>IF(M1096=0,0,const*($T1096/omega)*O1096*(wz*(G1096-U1096)-wx*I1096)/Z1096)</f>
        <v>9.5581954481325972</v>
      </c>
      <c r="AC1096" s="5">
        <f>IF(M1096=0,0,const*($T1096/omega)*O1096*(wx*(H1096-V1096)-wy*(G1096-U1096))/Z1096)</f>
        <v>6.5897081045808328</v>
      </c>
      <c r="AD1096" s="5">
        <f t="shared" si="459"/>
        <v>0</v>
      </c>
      <c r="AE1096" s="5">
        <f t="shared" si="459"/>
        <v>-1.8029524765323348</v>
      </c>
      <c r="AF1096" s="5">
        <f t="shared" si="447"/>
        <v>-9.1052505394589964</v>
      </c>
      <c r="AG1096">
        <f t="shared" si="458"/>
        <v>0</v>
      </c>
    </row>
    <row r="1097" spans="1:33" x14ac:dyDescent="0.2">
      <c r="A1097">
        <f t="shared" si="448"/>
        <v>10.649999999999817</v>
      </c>
      <c r="B1097" s="5">
        <f t="shared" si="449"/>
        <v>0</v>
      </c>
      <c r="C1097" s="5">
        <f t="shared" si="450"/>
        <v>1323.7415148237701</v>
      </c>
      <c r="D1097" s="5">
        <f t="shared" si="451"/>
        <v>-514.47909400190247</v>
      </c>
      <c r="E1097" s="2">
        <f t="shared" si="433"/>
        <v>441.24717160792335</v>
      </c>
      <c r="F1097" s="2">
        <f t="shared" si="452"/>
        <v>0</v>
      </c>
      <c r="G1097" s="3">
        <f t="shared" si="453"/>
        <v>0</v>
      </c>
      <c r="H1097" s="3">
        <f t="shared" si="454"/>
        <v>86.558252218652441</v>
      </c>
      <c r="I1097" s="3">
        <f t="shared" si="455"/>
        <v>-125.66763479755038</v>
      </c>
      <c r="J1097" s="2">
        <f t="shared" si="434"/>
        <v>152.59320254440675</v>
      </c>
      <c r="K1097" s="2">
        <f t="shared" si="456"/>
        <v>104.01717964853901</v>
      </c>
      <c r="L1097" s="5">
        <f t="shared" si="435"/>
        <v>22.932996050165926</v>
      </c>
      <c r="M1097" s="3">
        <f t="shared" si="436"/>
        <v>13.819460020442328</v>
      </c>
      <c r="N1097" s="2">
        <v>0</v>
      </c>
      <c r="O1097" s="2">
        <f t="shared" si="437"/>
        <v>152.59320254440675</v>
      </c>
      <c r="P1097" s="2">
        <f t="shared" si="438"/>
        <v>104.01717964853901</v>
      </c>
      <c r="Q1097" s="5">
        <f t="shared" si="439"/>
        <v>1.2860511876051837</v>
      </c>
      <c r="R1097" s="5">
        <f t="shared" si="440"/>
        <v>0.15138268479568506</v>
      </c>
      <c r="S1097" s="4">
        <f t="shared" si="457"/>
        <v>9.0564060456236065E-2</v>
      </c>
      <c r="T1097" s="5">
        <f t="shared" si="441"/>
        <v>8.7779652750066564E-2</v>
      </c>
      <c r="U1097" s="4">
        <f t="shared" si="442"/>
        <v>0</v>
      </c>
      <c r="V1097" s="4">
        <f t="shared" si="443"/>
        <v>0</v>
      </c>
      <c r="W1097" s="5">
        <f t="shared" si="444"/>
        <v>0</v>
      </c>
      <c r="X1097" s="5">
        <f t="shared" si="445"/>
        <v>-11.362102638652248</v>
      </c>
      <c r="Y1097" s="5">
        <f t="shared" si="446"/>
        <v>16.495810951907682</v>
      </c>
      <c r="Z1097" s="5">
        <f>1</f>
        <v>1</v>
      </c>
      <c r="AA1097" s="5">
        <f>IF(M1097=0,0,const*($T1097/omega)*O1097*(wy*I1097-wz*(H1097-V1097))/Z1097)</f>
        <v>0</v>
      </c>
      <c r="AB1097" s="5">
        <f>IF(M1097=0,0,const*($T1097/omega)*O1097*(wz*(G1097-U1097)-wx*I1097)/Z1097)</f>
        <v>9.5651398912861296</v>
      </c>
      <c r="AC1097" s="5">
        <f>IF(M1097=0,0,const*($T1097/omega)*O1097*(wx*(H1097-V1097)-wy*(G1097-U1097))/Z1097)</f>
        <v>6.5883454602328326</v>
      </c>
      <c r="AD1097" s="5">
        <f t="shared" si="459"/>
        <v>0</v>
      </c>
      <c r="AE1097" s="5">
        <f t="shared" si="459"/>
        <v>-1.7969627473661181</v>
      </c>
      <c r="AF1097" s="5">
        <f t="shared" si="447"/>
        <v>-9.0898435878594839</v>
      </c>
      <c r="AG1097">
        <f t="shared" si="458"/>
        <v>0</v>
      </c>
    </row>
    <row r="1098" spans="1:33" x14ac:dyDescent="0.2">
      <c r="A1098">
        <f t="shared" si="448"/>
        <v>10.659999999999817</v>
      </c>
      <c r="B1098" s="5">
        <f t="shared" si="449"/>
        <v>0</v>
      </c>
      <c r="C1098" s="5">
        <f t="shared" si="450"/>
        <v>1324.6070074978193</v>
      </c>
      <c r="D1098" s="5">
        <f t="shared" si="451"/>
        <v>-515.73622484205737</v>
      </c>
      <c r="E1098" s="2">
        <f t="shared" si="433"/>
        <v>441.53566916593974</v>
      </c>
      <c r="F1098" s="2">
        <f t="shared" si="452"/>
        <v>0</v>
      </c>
      <c r="G1098" s="3">
        <f t="shared" si="453"/>
        <v>0</v>
      </c>
      <c r="H1098" s="3">
        <f t="shared" si="454"/>
        <v>86.54028259117878</v>
      </c>
      <c r="I1098" s="3">
        <f t="shared" si="455"/>
        <v>-125.75853323342898</v>
      </c>
      <c r="J1098" s="2">
        <f t="shared" si="434"/>
        <v>152.65788283604795</v>
      </c>
      <c r="K1098" s="2">
        <f t="shared" si="456"/>
        <v>104.06126982689021</v>
      </c>
      <c r="L1098" s="5">
        <f t="shared" si="435"/>
        <v>22.92327946792874</v>
      </c>
      <c r="M1098" s="3">
        <f t="shared" si="436"/>
        <v>13.810713919851249</v>
      </c>
      <c r="N1098" s="2">
        <v>0</v>
      </c>
      <c r="O1098" s="2">
        <f t="shared" si="437"/>
        <v>152.65788283604795</v>
      </c>
      <c r="P1098" s="2">
        <f t="shared" si="438"/>
        <v>104.06126982689021</v>
      </c>
      <c r="Q1098" s="5">
        <f t="shared" si="439"/>
        <v>1.2865963112705425</v>
      </c>
      <c r="R1098" s="5">
        <f t="shared" si="440"/>
        <v>0.15136271771222315</v>
      </c>
      <c r="S1098" s="4">
        <f t="shared" si="457"/>
        <v>9.0468396805186466E-2</v>
      </c>
      <c r="T1098" s="5">
        <f t="shared" si="441"/>
        <v>8.7742552007991262E-2</v>
      </c>
      <c r="U1098" s="4">
        <f t="shared" si="442"/>
        <v>0</v>
      </c>
      <c r="V1098" s="4">
        <f t="shared" si="443"/>
        <v>0</v>
      </c>
      <c r="W1098" s="5">
        <f t="shared" si="444"/>
        <v>0</v>
      </c>
      <c r="X1098" s="5">
        <f t="shared" si="445"/>
        <v>-11.363059985260877</v>
      </c>
      <c r="Y1098" s="5">
        <f t="shared" si="446"/>
        <v>16.51256171118094</v>
      </c>
      <c r="Z1098" s="5">
        <f>1</f>
        <v>1</v>
      </c>
      <c r="AA1098" s="5">
        <f>IF(M1098=0,0,const*($T1098/omega)*O1098*(wy*I1098-wz*(H1098-V1098))/Z1098)</f>
        <v>0</v>
      </c>
      <c r="AB1098" s="5">
        <f>IF(M1098=0,0,const*($T1098/omega)*O1098*(wz*(G1098-U1098)-wx*I1098)/Z1098)</f>
        <v>9.5720685161261354</v>
      </c>
      <c r="AC1098" s="5">
        <f>IF(M1098=0,0,const*($T1098/omega)*O1098*(wx*(H1098-V1098)-wy*(G1098-U1098))/Z1098)</f>
        <v>6.5869845414790902</v>
      </c>
      <c r="AD1098" s="5">
        <f t="shared" si="459"/>
        <v>0</v>
      </c>
      <c r="AE1098" s="5">
        <f t="shared" si="459"/>
        <v>-1.7909914691347417</v>
      </c>
      <c r="AF1098" s="5">
        <f t="shared" si="447"/>
        <v>-9.0744537473399696</v>
      </c>
      <c r="AG1098">
        <f t="shared" si="458"/>
        <v>0</v>
      </c>
    </row>
    <row r="1099" spans="1:33" x14ac:dyDescent="0.2">
      <c r="A1099">
        <f t="shared" si="448"/>
        <v>10.669999999999817</v>
      </c>
      <c r="B1099" s="5">
        <f t="shared" si="449"/>
        <v>0</v>
      </c>
      <c r="C1099" s="5">
        <f t="shared" si="450"/>
        <v>1325.4723207741577</v>
      </c>
      <c r="D1099" s="5">
        <f t="shared" si="451"/>
        <v>-516.99426389707901</v>
      </c>
      <c r="E1099" s="2">
        <f t="shared" si="433"/>
        <v>441.82410692471922</v>
      </c>
      <c r="F1099" s="2">
        <f t="shared" si="452"/>
        <v>0</v>
      </c>
      <c r="G1099" s="3">
        <f t="shared" si="453"/>
        <v>0</v>
      </c>
      <c r="H1099" s="3">
        <f t="shared" si="454"/>
        <v>86.522372676487436</v>
      </c>
      <c r="I1099" s="3">
        <f t="shared" si="455"/>
        <v>-125.84927777090238</v>
      </c>
      <c r="J1099" s="2">
        <f t="shared" si="434"/>
        <v>152.72249896143896</v>
      </c>
      <c r="K1099" s="2">
        <f t="shared" si="456"/>
        <v>104.10531626546623</v>
      </c>
      <c r="L1099" s="5">
        <f t="shared" si="435"/>
        <v>22.91358074304835</v>
      </c>
      <c r="M1099" s="3">
        <f t="shared" si="436"/>
        <v>13.801970952765966</v>
      </c>
      <c r="N1099" s="2">
        <v>0</v>
      </c>
      <c r="O1099" s="2">
        <f t="shared" si="437"/>
        <v>152.72249896143896</v>
      </c>
      <c r="P1099" s="2">
        <f t="shared" si="438"/>
        <v>104.10531626546623</v>
      </c>
      <c r="Q1099" s="5">
        <f t="shared" si="439"/>
        <v>1.2871408941445623</v>
      </c>
      <c r="R1099" s="5">
        <f t="shared" si="440"/>
        <v>0.15134277974913676</v>
      </c>
      <c r="S1099" s="4">
        <f t="shared" si="457"/>
        <v>9.0372872671831014E-2</v>
      </c>
      <c r="T1099" s="5">
        <f t="shared" si="441"/>
        <v>8.7705481879598923E-2</v>
      </c>
      <c r="U1099" s="4">
        <f t="shared" si="442"/>
        <v>0</v>
      </c>
      <c r="V1099" s="4">
        <f t="shared" si="443"/>
        <v>0</v>
      </c>
      <c r="W1099" s="5">
        <f t="shared" si="444"/>
        <v>0</v>
      </c>
      <c r="X1099" s="5">
        <f t="shared" si="445"/>
        <v>-11.364019939574712</v>
      </c>
      <c r="Y1099" s="5">
        <f t="shared" si="446"/>
        <v>16.529293611919837</v>
      </c>
      <c r="Z1099" s="5">
        <f>1</f>
        <v>1</v>
      </c>
      <c r="AA1099" s="5">
        <f>IF(M1099=0,0,const*($T1099/omega)*O1099*(wy*I1099-wz*(H1099-V1099))/Z1099)</f>
        <v>0</v>
      </c>
      <c r="AB1099" s="5">
        <f>IF(M1099=0,0,const*($T1099/omega)*O1099*(wz*(G1099-U1099)-wx*I1099)/Z1099)</f>
        <v>9.5789813281203084</v>
      </c>
      <c r="AC1099" s="5">
        <f>IF(M1099=0,0,const*($T1099/omega)*O1099*(wx*(H1099-V1099)-wy*(G1099-U1099))/Z1099)</f>
        <v>6.5856253370121909</v>
      </c>
      <c r="AD1099" s="5">
        <f t="shared" si="459"/>
        <v>0</v>
      </c>
      <c r="AE1099" s="5">
        <f t="shared" si="459"/>
        <v>-1.7850386114544037</v>
      </c>
      <c r="AF1099" s="5">
        <f t="shared" si="447"/>
        <v>-9.0590810510679702</v>
      </c>
      <c r="AG1099">
        <f t="shared" si="458"/>
        <v>0</v>
      </c>
    </row>
    <row r="1100" spans="1:33" x14ac:dyDescent="0.2">
      <c r="A1100">
        <f t="shared" si="448"/>
        <v>10.679999999999817</v>
      </c>
      <c r="B1100" s="5">
        <f t="shared" si="449"/>
        <v>0</v>
      </c>
      <c r="C1100" s="5">
        <f t="shared" si="450"/>
        <v>1326.337455248992</v>
      </c>
      <c r="D1100" s="5">
        <f t="shared" si="451"/>
        <v>-518.25320962884064</v>
      </c>
      <c r="E1100" s="2">
        <f t="shared" si="433"/>
        <v>442.11248508299735</v>
      </c>
      <c r="F1100" s="2">
        <f t="shared" si="452"/>
        <v>0</v>
      </c>
      <c r="G1100" s="3">
        <f t="shared" si="453"/>
        <v>0</v>
      </c>
      <c r="H1100" s="3">
        <f t="shared" si="454"/>
        <v>86.50452229037289</v>
      </c>
      <c r="I1100" s="3">
        <f t="shared" si="455"/>
        <v>-125.93986858141305</v>
      </c>
      <c r="J1100" s="2">
        <f t="shared" si="434"/>
        <v>152.78705074380227</v>
      </c>
      <c r="K1100" s="2">
        <f t="shared" si="456"/>
        <v>104.14931884376432</v>
      </c>
      <c r="L1100" s="5">
        <f t="shared" si="435"/>
        <v>22.903899867148926</v>
      </c>
      <c r="M1100" s="3">
        <f t="shared" si="436"/>
        <v>13.793231135273771</v>
      </c>
      <c r="N1100" s="2">
        <v>0</v>
      </c>
      <c r="O1100" s="2">
        <f t="shared" si="437"/>
        <v>152.78705074380227</v>
      </c>
      <c r="P1100" s="2">
        <f t="shared" si="438"/>
        <v>104.14931884376432</v>
      </c>
      <c r="Q1100" s="5">
        <f t="shared" si="439"/>
        <v>1.2876849347373682</v>
      </c>
      <c r="R1100" s="5">
        <f t="shared" si="440"/>
        <v>0.15132287088813767</v>
      </c>
      <c r="S1100" s="4">
        <f t="shared" si="457"/>
        <v>9.0277487968549494E-2</v>
      </c>
      <c r="T1100" s="5">
        <f t="shared" si="441"/>
        <v>8.7668442394094048E-2</v>
      </c>
      <c r="U1100" s="4">
        <f t="shared" si="442"/>
        <v>0</v>
      </c>
      <c r="V1100" s="4">
        <f t="shared" si="443"/>
        <v>0</v>
      </c>
      <c r="W1100" s="5">
        <f t="shared" si="444"/>
        <v>0</v>
      </c>
      <c r="X1100" s="5">
        <f t="shared" si="445"/>
        <v>-11.364982476783387</v>
      </c>
      <c r="Y1100" s="5">
        <f t="shared" si="446"/>
        <v>16.5460066324816</v>
      </c>
      <c r="Z1100" s="5">
        <f>1</f>
        <v>1</v>
      </c>
      <c r="AA1100" s="5">
        <f>IF(M1100=0,0,const*($T1100/omega)*O1100*(wy*I1100-wz*(H1100-V1100))/Z1100)</f>
        <v>0</v>
      </c>
      <c r="AB1100" s="5">
        <f>IF(M1100=0,0,const*($T1100/omega)*O1100*(wz*(G1100-U1100)-wx*I1100)/Z1100)</f>
        <v>9.5858783328549855</v>
      </c>
      <c r="AC1100" s="5">
        <f>IF(M1100=0,0,const*($T1100/omega)*O1100*(wx*(H1100-V1100)-wy*(G1100-U1100))/Z1100)</f>
        <v>6.5842678355759219</v>
      </c>
      <c r="AD1100" s="5">
        <f t="shared" si="459"/>
        <v>0</v>
      </c>
      <c r="AE1100" s="5">
        <f t="shared" si="459"/>
        <v>-1.7791041439284019</v>
      </c>
      <c r="AF1100" s="5">
        <f t="shared" si="447"/>
        <v>-9.0437255319424779</v>
      </c>
      <c r="AG1100">
        <f t="shared" si="458"/>
        <v>0</v>
      </c>
    </row>
    <row r="1101" spans="1:33" x14ac:dyDescent="0.2">
      <c r="A1101">
        <f t="shared" si="448"/>
        <v>10.689999999999817</v>
      </c>
      <c r="B1101" s="5">
        <f t="shared" si="449"/>
        <v>0</v>
      </c>
      <c r="C1101" s="5">
        <f t="shared" si="450"/>
        <v>1327.2024115166885</v>
      </c>
      <c r="D1101" s="5">
        <f t="shared" si="451"/>
        <v>-519.51306050093137</v>
      </c>
      <c r="E1101" s="2">
        <f t="shared" si="433"/>
        <v>442.40080383889614</v>
      </c>
      <c r="F1101" s="2">
        <f t="shared" si="452"/>
        <v>0</v>
      </c>
      <c r="G1101" s="3">
        <f t="shared" si="453"/>
        <v>0</v>
      </c>
      <c r="H1101" s="3">
        <f t="shared" si="454"/>
        <v>86.486731248933609</v>
      </c>
      <c r="I1101" s="3">
        <f t="shared" si="455"/>
        <v>-126.03030583673248</v>
      </c>
      <c r="J1101" s="2">
        <f t="shared" si="434"/>
        <v>152.85153800804753</v>
      </c>
      <c r="K1101" s="2">
        <f t="shared" si="456"/>
        <v>104.19327744243185</v>
      </c>
      <c r="L1101" s="5">
        <f t="shared" si="435"/>
        <v>22.894236831616354</v>
      </c>
      <c r="M1101" s="3">
        <f t="shared" si="436"/>
        <v>13.784494483378372</v>
      </c>
      <c r="N1101" s="2">
        <v>0</v>
      </c>
      <c r="O1101" s="2">
        <f t="shared" si="437"/>
        <v>152.85153800804753</v>
      </c>
      <c r="P1101" s="2">
        <f t="shared" si="438"/>
        <v>104.19327744243185</v>
      </c>
      <c r="Q1101" s="5">
        <f t="shared" si="439"/>
        <v>1.2882284315733028</v>
      </c>
      <c r="R1101" s="5">
        <f t="shared" si="440"/>
        <v>0.15130299111062795</v>
      </c>
      <c r="S1101" s="4">
        <f t="shared" si="457"/>
        <v>9.0182242606238139E-2</v>
      </c>
      <c r="T1101" s="5">
        <f t="shared" si="441"/>
        <v>8.7631433580106735E-2</v>
      </c>
      <c r="U1101" s="4">
        <f t="shared" si="442"/>
        <v>0</v>
      </c>
      <c r="V1101" s="4">
        <f t="shared" si="443"/>
        <v>0</v>
      </c>
      <c r="W1101" s="5">
        <f t="shared" si="444"/>
        <v>0</v>
      </c>
      <c r="X1101" s="5">
        <f t="shared" si="445"/>
        <v>-11.365947572181776</v>
      </c>
      <c r="Y1101" s="5">
        <f t="shared" si="446"/>
        <v>16.562700751440396</v>
      </c>
      <c r="Z1101" s="5">
        <f>1</f>
        <v>1</v>
      </c>
      <c r="AA1101" s="5">
        <f>IF(M1101=0,0,const*($T1101/omega)*O1101*(wy*I1101-wz*(H1101-V1101))/Z1101)</f>
        <v>0</v>
      </c>
      <c r="AB1101" s="5">
        <f>IF(M1101=0,0,const*($T1101/omega)*O1101*(wz*(G1101-U1101)-wx*I1101)/Z1101)</f>
        <v>9.5927595360345901</v>
      </c>
      <c r="AC1101" s="5">
        <f>IF(M1101=0,0,const*($T1101/omega)*O1101*(wx*(H1101-V1101)-wy*(G1101-U1101))/Z1101)</f>
        <v>6.5829120259649638</v>
      </c>
      <c r="AD1101" s="5">
        <f t="shared" si="459"/>
        <v>0</v>
      </c>
      <c r="AE1101" s="5">
        <f t="shared" si="459"/>
        <v>-1.7731880361471859</v>
      </c>
      <c r="AF1101" s="5">
        <f t="shared" si="447"/>
        <v>-9.0283872225946382</v>
      </c>
      <c r="AG1101">
        <f t="shared" si="458"/>
        <v>0</v>
      </c>
    </row>
    <row r="1102" spans="1:33" x14ac:dyDescent="0.2">
      <c r="A1102">
        <f t="shared" si="448"/>
        <v>10.699999999999816</v>
      </c>
      <c r="B1102" s="5">
        <f t="shared" si="449"/>
        <v>0</v>
      </c>
      <c r="C1102" s="5">
        <f t="shared" si="450"/>
        <v>1328.067190169776</v>
      </c>
      <c r="D1102" s="5">
        <f t="shared" si="451"/>
        <v>-520.77381497865986</v>
      </c>
      <c r="E1102" s="2">
        <f t="shared" si="433"/>
        <v>442.68906338992537</v>
      </c>
      <c r="F1102" s="2">
        <f t="shared" si="452"/>
        <v>0</v>
      </c>
      <c r="G1102" s="3">
        <f t="shared" si="453"/>
        <v>0</v>
      </c>
      <c r="H1102" s="3">
        <f t="shared" si="454"/>
        <v>86.468999368572142</v>
      </c>
      <c r="I1102" s="3">
        <f t="shared" si="455"/>
        <v>-126.12058970895843</v>
      </c>
      <c r="J1102" s="2">
        <f t="shared" si="434"/>
        <v>152.91596058076331</v>
      </c>
      <c r="K1102" s="2">
        <f t="shared" si="456"/>
        <v>104.2371919432606</v>
      </c>
      <c r="L1102" s="5">
        <f t="shared" si="435"/>
        <v>22.884591627600663</v>
      </c>
      <c r="M1102" s="3">
        <f t="shared" si="436"/>
        <v>13.775761013000094</v>
      </c>
      <c r="N1102" s="2">
        <v>0</v>
      </c>
      <c r="O1102" s="2">
        <f t="shared" si="437"/>
        <v>152.91596058076331</v>
      </c>
      <c r="P1102" s="2">
        <f t="shared" si="438"/>
        <v>104.2371919432606</v>
      </c>
      <c r="Q1102" s="5">
        <f t="shared" si="439"/>
        <v>1.2887713831908598</v>
      </c>
      <c r="R1102" s="5">
        <f t="shared" si="440"/>
        <v>0.15128314039770338</v>
      </c>
      <c r="S1102" s="4">
        <f t="shared" si="457"/>
        <v>9.0087136494325315E-2</v>
      </c>
      <c r="T1102" s="5">
        <f t="shared" si="441"/>
        <v>8.7594455465696969E-2</v>
      </c>
      <c r="U1102" s="4">
        <f t="shared" si="442"/>
        <v>0</v>
      </c>
      <c r="V1102" s="4">
        <f t="shared" si="443"/>
        <v>0</v>
      </c>
      <c r="W1102" s="5">
        <f t="shared" si="444"/>
        <v>0</v>
      </c>
      <c r="X1102" s="5">
        <f t="shared" si="445"/>
        <v>-11.366915201169437</v>
      </c>
      <c r="Y1102" s="5">
        <f t="shared" si="446"/>
        <v>16.579375947586918</v>
      </c>
      <c r="Z1102" s="5">
        <f>1</f>
        <v>1</v>
      </c>
      <c r="AA1102" s="5">
        <f>IF(M1102=0,0,const*($T1102/omega)*O1102*(wy*I1102-wz*(H1102-V1102))/Z1102)</f>
        <v>0</v>
      </c>
      <c r="AB1102" s="5">
        <f>IF(M1102=0,0,const*($T1102/omega)*O1102*(wz*(G1102-U1102)-wx*I1102)/Z1102)</f>
        <v>9.5996249434811194</v>
      </c>
      <c r="AC1102" s="5">
        <f>IF(M1102=0,0,const*($T1102/omega)*O1102*(wx*(H1102-V1102)-wy*(G1102-U1102))/Z1102)</f>
        <v>6.5815578970246271</v>
      </c>
      <c r="AD1102" s="5">
        <f t="shared" si="459"/>
        <v>0</v>
      </c>
      <c r="AE1102" s="5">
        <f t="shared" si="459"/>
        <v>-1.7672902576883178</v>
      </c>
      <c r="AF1102" s="5">
        <f t="shared" si="447"/>
        <v>-9.0130661553884543</v>
      </c>
      <c r="AG1102">
        <f t="shared" si="458"/>
        <v>0</v>
      </c>
    </row>
    <row r="1103" spans="1:33" x14ac:dyDescent="0.2">
      <c r="A1103">
        <f t="shared" si="448"/>
        <v>10.709999999999816</v>
      </c>
      <c r="B1103" s="5">
        <f t="shared" si="449"/>
        <v>0</v>
      </c>
      <c r="C1103" s="5">
        <f t="shared" si="450"/>
        <v>1328.9317917989488</v>
      </c>
      <c r="D1103" s="5">
        <f t="shared" si="451"/>
        <v>-522.03547152905719</v>
      </c>
      <c r="E1103" s="2">
        <f t="shared" si="433"/>
        <v>442.97726393298291</v>
      </c>
      <c r="F1103" s="2">
        <f t="shared" si="452"/>
        <v>0</v>
      </c>
      <c r="G1103" s="3">
        <f t="shared" si="453"/>
        <v>0</v>
      </c>
      <c r="H1103" s="3">
        <f t="shared" si="454"/>
        <v>86.451326465995265</v>
      </c>
      <c r="I1103" s="3">
        <f t="shared" si="455"/>
        <v>-126.21072037051232</v>
      </c>
      <c r="J1103" s="2">
        <f t="shared" si="434"/>
        <v>152.98031829020931</v>
      </c>
      <c r="K1103" s="2">
        <f t="shared" si="456"/>
        <v>104.28106222918153</v>
      </c>
      <c r="L1103" s="5">
        <f t="shared" si="435"/>
        <v>22.874964246018376</v>
      </c>
      <c r="M1103" s="3">
        <f t="shared" si="436"/>
        <v>13.767030739976049</v>
      </c>
      <c r="N1103" s="2">
        <v>0</v>
      </c>
      <c r="O1103" s="2">
        <f t="shared" si="437"/>
        <v>152.98031829020931</v>
      </c>
      <c r="P1103" s="2">
        <f t="shared" si="438"/>
        <v>104.28106222918153</v>
      </c>
      <c r="Q1103" s="5">
        <f t="shared" si="439"/>
        <v>1.2893137881426171</v>
      </c>
      <c r="R1103" s="5">
        <f t="shared" si="440"/>
        <v>0.1512633187301565</v>
      </c>
      <c r="S1103" s="4">
        <f t="shared" si="457"/>
        <v>8.9992169540786829E-2</v>
      </c>
      <c r="T1103" s="5">
        <f t="shared" si="441"/>
        <v>8.7557508078358423E-2</v>
      </c>
      <c r="U1103" s="4">
        <f t="shared" si="442"/>
        <v>0</v>
      </c>
      <c r="V1103" s="4">
        <f t="shared" si="443"/>
        <v>0</v>
      </c>
      <c r="W1103" s="5">
        <f t="shared" si="444"/>
        <v>0</v>
      </c>
      <c r="X1103" s="5">
        <f t="shared" si="445"/>
        <v>-11.367885339250115</v>
      </c>
      <c r="Y1103" s="5">
        <f t="shared" si="446"/>
        <v>16.596032199927976</v>
      </c>
      <c r="Z1103" s="5">
        <f>1</f>
        <v>1</v>
      </c>
      <c r="AA1103" s="5">
        <f>IF(M1103=0,0,const*($T1103/omega)*O1103*(wy*I1103-wz*(H1103-V1103))/Z1103)</f>
        <v>0</v>
      </c>
      <c r="AB1103" s="5">
        <f>IF(M1103=0,0,const*($T1103/omega)*O1103*(wz*(G1103-U1103)-wx*I1103)/Z1103)</f>
        <v>9.6064745611335898</v>
      </c>
      <c r="AC1103" s="5">
        <f>IF(M1103=0,0,const*($T1103/omega)*O1103*(wx*(H1103-V1103)-wy*(G1103-U1103))/Z1103)</f>
        <v>6.5802054376505517</v>
      </c>
      <c r="AD1103" s="5">
        <f t="shared" si="459"/>
        <v>0</v>
      </c>
      <c r="AE1103" s="5">
        <f t="shared" si="459"/>
        <v>-1.7614107781165256</v>
      </c>
      <c r="AF1103" s="5">
        <f t="shared" si="447"/>
        <v>-8.9977623624214722</v>
      </c>
      <c r="AG1103">
        <f t="shared" si="458"/>
        <v>0</v>
      </c>
    </row>
    <row r="1104" spans="1:33" x14ac:dyDescent="0.2">
      <c r="A1104">
        <f t="shared" si="448"/>
        <v>10.719999999999816</v>
      </c>
      <c r="B1104" s="5">
        <f t="shared" si="449"/>
        <v>0</v>
      </c>
      <c r="C1104" s="5">
        <f t="shared" si="450"/>
        <v>1329.7962169930699</v>
      </c>
      <c r="D1104" s="5">
        <f t="shared" si="451"/>
        <v>-523.29802862088047</v>
      </c>
      <c r="E1104" s="2">
        <f t="shared" si="433"/>
        <v>443.26540566435665</v>
      </c>
      <c r="F1104" s="2">
        <f t="shared" si="452"/>
        <v>0</v>
      </c>
      <c r="G1104" s="3">
        <f t="shared" si="453"/>
        <v>0</v>
      </c>
      <c r="H1104" s="3">
        <f t="shared" si="454"/>
        <v>86.433712358214095</v>
      </c>
      <c r="I1104" s="3">
        <f t="shared" si="455"/>
        <v>-126.30069799413654</v>
      </c>
      <c r="J1104" s="2">
        <f t="shared" si="434"/>
        <v>153.04461096630806</v>
      </c>
      <c r="K1104" s="2">
        <f t="shared" si="456"/>
        <v>104.32488818425907</v>
      </c>
      <c r="L1104" s="5">
        <f t="shared" si="435"/>
        <v>22.865354677554944</v>
      </c>
      <c r="M1104" s="3">
        <f t="shared" si="436"/>
        <v>13.758303680060314</v>
      </c>
      <c r="N1104" s="2">
        <v>0</v>
      </c>
      <c r="O1104" s="2">
        <f t="shared" si="437"/>
        <v>153.04461096630806</v>
      </c>
      <c r="P1104" s="2">
        <f t="shared" si="438"/>
        <v>104.32488818425907</v>
      </c>
      <c r="Q1104" s="5">
        <f t="shared" si="439"/>
        <v>1.2898556449951664</v>
      </c>
      <c r="R1104" s="5">
        <f t="shared" si="440"/>
        <v>0.15124352608847985</v>
      </c>
      <c r="S1104" s="4">
        <f t="shared" si="457"/>
        <v>8.9897341652161344E-2</v>
      </c>
      <c r="T1104" s="5">
        <f t="shared" si="441"/>
        <v>8.752059144502268E-2</v>
      </c>
      <c r="U1104" s="4">
        <f t="shared" si="442"/>
        <v>0</v>
      </c>
      <c r="V1104" s="4">
        <f t="shared" si="443"/>
        <v>0</v>
      </c>
      <c r="W1104" s="5">
        <f t="shared" si="444"/>
        <v>0</v>
      </c>
      <c r="X1104" s="5">
        <f t="shared" si="445"/>
        <v>-11.368857962031223</v>
      </c>
      <c r="Y1104" s="5">
        <f t="shared" si="446"/>
        <v>16.612669487686098</v>
      </c>
      <c r="Z1104" s="5">
        <f>1</f>
        <v>1</v>
      </c>
      <c r="AA1104" s="5">
        <f>IF(M1104=0,0,const*($T1104/omega)*O1104*(wy*I1104-wz*(H1104-V1104))/Z1104)</f>
        <v>0</v>
      </c>
      <c r="AB1104" s="5">
        <f>IF(M1104=0,0,const*($T1104/omega)*O1104*(wz*(G1104-U1104)-wx*I1104)/Z1104)</f>
        <v>9.6133083950475005</v>
      </c>
      <c r="AC1104" s="5">
        <f>IF(M1104=0,0,const*($T1104/omega)*O1104*(wx*(H1104-V1104)-wy*(G1104-U1104))/Z1104)</f>
        <v>6.5788546367884315</v>
      </c>
      <c r="AD1104" s="5">
        <f t="shared" si="459"/>
        <v>0</v>
      </c>
      <c r="AE1104" s="5">
        <f t="shared" si="459"/>
        <v>-1.7555495669837224</v>
      </c>
      <c r="AF1104" s="5">
        <f t="shared" si="447"/>
        <v>-8.9824758755254699</v>
      </c>
      <c r="AG1104">
        <f t="shared" si="458"/>
        <v>0</v>
      </c>
    </row>
    <row r="1105" spans="1:33" x14ac:dyDescent="0.2">
      <c r="A1105">
        <f t="shared" si="448"/>
        <v>10.729999999999816</v>
      </c>
      <c r="B1105" s="5">
        <f t="shared" si="449"/>
        <v>0</v>
      </c>
      <c r="C1105" s="5">
        <f t="shared" si="450"/>
        <v>1330.6604663391738</v>
      </c>
      <c r="D1105" s="5">
        <f t="shared" si="451"/>
        <v>-524.56148472461564</v>
      </c>
      <c r="E1105" s="2">
        <f t="shared" si="433"/>
        <v>443.5534887797246</v>
      </c>
      <c r="F1105" s="2">
        <f t="shared" si="452"/>
        <v>0</v>
      </c>
      <c r="G1105" s="3">
        <f t="shared" si="453"/>
        <v>0</v>
      </c>
      <c r="H1105" s="3">
        <f t="shared" si="454"/>
        <v>86.416156862544256</v>
      </c>
      <c r="I1105" s="3">
        <f t="shared" si="455"/>
        <v>-126.3905227528918</v>
      </c>
      <c r="J1105" s="2">
        <f t="shared" si="434"/>
        <v>153.1088384406371</v>
      </c>
      <c r="K1105" s="2">
        <f t="shared" si="456"/>
        <v>104.36866969368582</v>
      </c>
      <c r="L1105" s="5">
        <f t="shared" si="435"/>
        <v>22.855762912667075</v>
      </c>
      <c r="M1105" s="3">
        <f t="shared" si="436"/>
        <v>13.749579848924128</v>
      </c>
      <c r="N1105" s="2">
        <v>0</v>
      </c>
      <c r="O1105" s="2">
        <f t="shared" si="437"/>
        <v>153.1088384406371</v>
      </c>
      <c r="P1105" s="2">
        <f t="shared" si="438"/>
        <v>104.36866969368582</v>
      </c>
      <c r="Q1105" s="5">
        <f t="shared" si="439"/>
        <v>1.2903969523290477</v>
      </c>
      <c r="R1105" s="5">
        <f t="shared" si="440"/>
        <v>0.15122376245286928</v>
      </c>
      <c r="S1105" s="4">
        <f t="shared" si="457"/>
        <v>8.9802652733565566E-2</v>
      </c>
      <c r="T1105" s="5">
        <f t="shared" si="441"/>
        <v>8.7483705592063199E-2</v>
      </c>
      <c r="U1105" s="4">
        <f t="shared" si="442"/>
        <v>0</v>
      </c>
      <c r="V1105" s="4">
        <f t="shared" si="443"/>
        <v>0</v>
      </c>
      <c r="W1105" s="5">
        <f t="shared" si="444"/>
        <v>0</v>
      </c>
      <c r="X1105" s="5">
        <f t="shared" si="445"/>
        <v>-11.369833045223329</v>
      </c>
      <c r="Y1105" s="5">
        <f t="shared" si="446"/>
        <v>16.629287790299117</v>
      </c>
      <c r="Z1105" s="5">
        <f>1</f>
        <v>1</v>
      </c>
      <c r="AA1105" s="5">
        <f>IF(M1105=0,0,const*($T1105/omega)*O1105*(wy*I1105-wz*(H1105-V1105))/Z1105)</f>
        <v>0</v>
      </c>
      <c r="AB1105" s="5">
        <f>IF(M1105=0,0,const*($T1105/omega)*O1105*(wz*(G1105-U1105)-wx*I1105)/Z1105)</f>
        <v>9.6201264513943201</v>
      </c>
      <c r="AC1105" s="5">
        <f>IF(M1105=0,0,const*($T1105/omega)*O1105*(wx*(H1105-V1105)-wy*(G1105-U1105))/Z1105)</f>
        <v>6.5775054834337414</v>
      </c>
      <c r="AD1105" s="5">
        <f t="shared" si="459"/>
        <v>0</v>
      </c>
      <c r="AE1105" s="5">
        <f t="shared" si="459"/>
        <v>-1.7497065938290088</v>
      </c>
      <c r="AF1105" s="5">
        <f t="shared" si="447"/>
        <v>-8.9672067262671433</v>
      </c>
      <c r="AG1105">
        <f t="shared" si="458"/>
        <v>0</v>
      </c>
    </row>
    <row r="1106" spans="1:33" x14ac:dyDescent="0.2">
      <c r="A1106">
        <f t="shared" si="448"/>
        <v>10.739999999999815</v>
      </c>
      <c r="B1106" s="5">
        <f t="shared" si="449"/>
        <v>0</v>
      </c>
      <c r="C1106" s="5">
        <f t="shared" si="450"/>
        <v>1331.5245404224695</v>
      </c>
      <c r="D1106" s="5">
        <f t="shared" si="451"/>
        <v>-525.82583831248087</v>
      </c>
      <c r="E1106" s="2">
        <f t="shared" si="433"/>
        <v>443.8415134741565</v>
      </c>
      <c r="F1106" s="2">
        <f t="shared" si="452"/>
        <v>0</v>
      </c>
      <c r="G1106" s="3">
        <f t="shared" si="453"/>
        <v>0</v>
      </c>
      <c r="H1106" s="3">
        <f t="shared" si="454"/>
        <v>86.398659796605969</v>
      </c>
      <c r="I1106" s="3">
        <f t="shared" si="455"/>
        <v>-126.48019482015447</v>
      </c>
      <c r="J1106" s="2">
        <f t="shared" si="434"/>
        <v>153.17300054642101</v>
      </c>
      <c r="K1106" s="2">
        <f t="shared" si="456"/>
        <v>104.41240664377709</v>
      </c>
      <c r="L1106" s="5">
        <f t="shared" si="435"/>
        <v>22.84618894158508</v>
      </c>
      <c r="M1106" s="3">
        <f t="shared" si="436"/>
        <v>13.740859262156059</v>
      </c>
      <c r="N1106" s="2">
        <v>0</v>
      </c>
      <c r="O1106" s="2">
        <f t="shared" si="437"/>
        <v>153.17300054642101</v>
      </c>
      <c r="P1106" s="2">
        <f t="shared" si="438"/>
        <v>104.41240664377709</v>
      </c>
      <c r="Q1106" s="5">
        <f t="shared" si="439"/>
        <v>1.2909377087386829</v>
      </c>
      <c r="R1106" s="5">
        <f t="shared" si="440"/>
        <v>0.15120402780322692</v>
      </c>
      <c r="S1106" s="4">
        <f t="shared" si="457"/>
        <v>8.9708102688709282E-2</v>
      </c>
      <c r="T1106" s="5">
        <f t="shared" si="441"/>
        <v>8.7446850545299257E-2</v>
      </c>
      <c r="U1106" s="4">
        <f t="shared" si="442"/>
        <v>0</v>
      </c>
      <c r="V1106" s="4">
        <f t="shared" si="443"/>
        <v>0</v>
      </c>
      <c r="W1106" s="5">
        <f t="shared" si="444"/>
        <v>0</v>
      </c>
      <c r="X1106" s="5">
        <f t="shared" si="445"/>
        <v>-11.370810564639664</v>
      </c>
      <c r="Y1106" s="5">
        <f t="shared" si="446"/>
        <v>16.645887087419752</v>
      </c>
      <c r="Z1106" s="5">
        <f>1</f>
        <v>1</v>
      </c>
      <c r="AA1106" s="5">
        <f>IF(M1106=0,0,const*($T1106/omega)*O1106*(wy*I1106-wz*(H1106-V1106))/Z1106)</f>
        <v>0</v>
      </c>
      <c r="AB1106" s="5">
        <f>IF(M1106=0,0,const*($T1106/omega)*O1106*(wz*(G1106-U1106)-wx*I1106)/Z1106)</f>
        <v>9.626928736460922</v>
      </c>
      <c r="AC1106" s="5">
        <f>IF(M1106=0,0,const*($T1106/omega)*O1106*(wx*(H1106-V1106)-wy*(G1106-U1106))/Z1106)</f>
        <v>6.5761579666314525</v>
      </c>
      <c r="AD1106" s="5">
        <f t="shared" si="459"/>
        <v>0</v>
      </c>
      <c r="AE1106" s="5">
        <f t="shared" si="459"/>
        <v>-1.7438818281787416</v>
      </c>
      <c r="AF1106" s="5">
        <f t="shared" si="447"/>
        <v>-8.9519549459487955</v>
      </c>
      <c r="AG1106">
        <f t="shared" si="458"/>
        <v>0</v>
      </c>
    </row>
    <row r="1107" spans="1:33" x14ac:dyDescent="0.2">
      <c r="A1107">
        <f t="shared" si="448"/>
        <v>10.749999999999815</v>
      </c>
      <c r="B1107" s="5">
        <f t="shared" si="449"/>
        <v>0</v>
      </c>
      <c r="C1107" s="5">
        <f t="shared" si="450"/>
        <v>1332.388439826344</v>
      </c>
      <c r="D1107" s="5">
        <f t="shared" si="451"/>
        <v>-527.09108785842977</v>
      </c>
      <c r="E1107" s="2">
        <f t="shared" si="433"/>
        <v>444.12947994211464</v>
      </c>
      <c r="F1107" s="2">
        <f t="shared" si="452"/>
        <v>0</v>
      </c>
      <c r="G1107" s="3">
        <f t="shared" si="453"/>
        <v>0</v>
      </c>
      <c r="H1107" s="3">
        <f t="shared" si="454"/>
        <v>86.38122097832418</v>
      </c>
      <c r="I1107" s="3">
        <f t="shared" si="455"/>
        <v>-126.56971436961395</v>
      </c>
      <c r="J1107" s="2">
        <f t="shared" si="434"/>
        <v>153.23709711852325</v>
      </c>
      <c r="K1107" s="2">
        <f t="shared" si="456"/>
        <v>104.45609892196541</v>
      </c>
      <c r="L1107" s="5">
        <f t="shared" si="435"/>
        <v>22.836632754315211</v>
      </c>
      <c r="M1107" s="3">
        <f t="shared" si="436"/>
        <v>13.732141935262204</v>
      </c>
      <c r="N1107" s="2">
        <v>0</v>
      </c>
      <c r="O1107" s="2">
        <f t="shared" si="437"/>
        <v>153.23709711852325</v>
      </c>
      <c r="P1107" s="2">
        <f t="shared" si="438"/>
        <v>104.45609892196541</v>
      </c>
      <c r="Q1107" s="5">
        <f t="shared" si="439"/>
        <v>1.291477912832306</v>
      </c>
      <c r="R1107" s="5">
        <f t="shared" si="440"/>
        <v>0.15118432211916438</v>
      </c>
      <c r="S1107" s="4">
        <f t="shared" si="457"/>
        <v>8.9613691419910532E-2</v>
      </c>
      <c r="T1107" s="5">
        <f t="shared" si="441"/>
        <v>8.741002632999996E-2</v>
      </c>
      <c r="U1107" s="4">
        <f t="shared" si="442"/>
        <v>0</v>
      </c>
      <c r="V1107" s="4">
        <f t="shared" si="443"/>
        <v>0</v>
      </c>
      <c r="W1107" s="5">
        <f t="shared" si="444"/>
        <v>0</v>
      </c>
      <c r="X1107" s="5">
        <f t="shared" si="445"/>
        <v>-11.371790496195581</v>
      </c>
      <c r="Y1107" s="5">
        <f t="shared" si="446"/>
        <v>16.662467358915173</v>
      </c>
      <c r="Z1107" s="5">
        <f>1</f>
        <v>1</v>
      </c>
      <c r="AA1107" s="5">
        <f>IF(M1107=0,0,const*($T1107/omega)*O1107*(wy*I1107-wz*(H1107-V1107))/Z1107)</f>
        <v>0</v>
      </c>
      <c r="AB1107" s="5">
        <f>IF(M1107=0,0,const*($T1107/omega)*O1107*(wz*(G1107-U1107)-wx*I1107)/Z1107)</f>
        <v>9.6337152566490598</v>
      </c>
      <c r="AC1107" s="5">
        <f>IF(M1107=0,0,const*($T1107/omega)*O1107*(wx*(H1107-V1107)-wy*(G1107-U1107))/Z1107)</f>
        <v>6.5748120754757586</v>
      </c>
      <c r="AD1107" s="5">
        <f t="shared" si="459"/>
        <v>0</v>
      </c>
      <c r="AE1107" s="5">
        <f t="shared" si="459"/>
        <v>-1.7380752395465215</v>
      </c>
      <c r="AF1107" s="5">
        <f t="shared" si="447"/>
        <v>-8.9367205656090682</v>
      </c>
      <c r="AG1107">
        <f t="shared" si="458"/>
        <v>0</v>
      </c>
    </row>
    <row r="1108" spans="1:33" x14ac:dyDescent="0.2">
      <c r="A1108">
        <f t="shared" si="448"/>
        <v>10.759999999999815</v>
      </c>
      <c r="B1108" s="5">
        <f t="shared" si="449"/>
        <v>0</v>
      </c>
      <c r="C1108" s="5">
        <f t="shared" si="450"/>
        <v>1333.2521651323652</v>
      </c>
      <c r="D1108" s="5">
        <f t="shared" si="451"/>
        <v>-528.35723183815412</v>
      </c>
      <c r="E1108" s="2">
        <f t="shared" si="433"/>
        <v>444.4173883774551</v>
      </c>
      <c r="F1108" s="2">
        <f t="shared" si="452"/>
        <v>0</v>
      </c>
      <c r="G1108" s="3">
        <f t="shared" si="453"/>
        <v>0</v>
      </c>
      <c r="H1108" s="3">
        <f t="shared" si="454"/>
        <v>86.363840225928712</v>
      </c>
      <c r="I1108" s="3">
        <f t="shared" si="455"/>
        <v>-126.65908157527004</v>
      </c>
      <c r="J1108" s="2">
        <f t="shared" si="434"/>
        <v>153.30112799343863</v>
      </c>
      <c r="K1108" s="2">
        <f t="shared" si="456"/>
        <v>104.49974641679525</v>
      </c>
      <c r="L1108" s="5">
        <f t="shared" si="435"/>
        <v>22.827094340641946</v>
      </c>
      <c r="M1108" s="3">
        <f t="shared" si="436"/>
        <v>13.72342788366635</v>
      </c>
      <c r="N1108" s="2">
        <v>0</v>
      </c>
      <c r="O1108" s="2">
        <f t="shared" si="437"/>
        <v>153.30112799343863</v>
      </c>
      <c r="P1108" s="2">
        <f t="shared" si="438"/>
        <v>104.49974641679525</v>
      </c>
      <c r="Q1108" s="5">
        <f t="shared" si="439"/>
        <v>1.2920175632318993</v>
      </c>
      <c r="R1108" s="5">
        <f t="shared" si="440"/>
        <v>0.15116464538000593</v>
      </c>
      <c r="S1108" s="4">
        <f t="shared" si="457"/>
        <v>8.9519418828110126E-2</v>
      </c>
      <c r="T1108" s="5">
        <f t="shared" si="441"/>
        <v>8.7373232970888184E-2</v>
      </c>
      <c r="U1108" s="4">
        <f t="shared" si="442"/>
        <v>0</v>
      </c>
      <c r="V1108" s="4">
        <f t="shared" si="443"/>
        <v>0</v>
      </c>
      <c r="W1108" s="5">
        <f t="shared" si="444"/>
        <v>0</v>
      </c>
      <c r="X1108" s="5">
        <f t="shared" si="445"/>
        <v>-11.372772815908103</v>
      </c>
      <c r="Y1108" s="5">
        <f t="shared" si="446"/>
        <v>16.679028584866611</v>
      </c>
      <c r="Z1108" s="5">
        <f>1</f>
        <v>1</v>
      </c>
      <c r="AA1108" s="5">
        <f>IF(M1108=0,0,const*($T1108/omega)*O1108*(wy*I1108-wz*(H1108-V1108))/Z1108)</f>
        <v>0</v>
      </c>
      <c r="AB1108" s="5">
        <f>IF(M1108=0,0,const*($T1108/omega)*O1108*(wz*(G1108-U1108)-wx*I1108)/Z1108)</f>
        <v>9.6404860184748369</v>
      </c>
      <c r="AC1108" s="5">
        <f>IF(M1108=0,0,const*($T1108/omega)*O1108*(wx*(H1108-V1108)-wy*(G1108-U1108))/Z1108)</f>
        <v>6.573467799109812</v>
      </c>
      <c r="AD1108" s="5">
        <f t="shared" si="459"/>
        <v>0</v>
      </c>
      <c r="AE1108" s="5">
        <f t="shared" si="459"/>
        <v>-1.7322867974332663</v>
      </c>
      <c r="AF1108" s="5">
        <f t="shared" si="447"/>
        <v>-8.9215036160235783</v>
      </c>
      <c r="AG1108">
        <f t="shared" si="458"/>
        <v>0</v>
      </c>
    </row>
    <row r="1109" spans="1:33" x14ac:dyDescent="0.2">
      <c r="A1109">
        <f t="shared" si="448"/>
        <v>10.769999999999815</v>
      </c>
      <c r="B1109" s="5">
        <f t="shared" si="449"/>
        <v>0</v>
      </c>
      <c r="C1109" s="5">
        <f t="shared" si="450"/>
        <v>1334.1157169202847</v>
      </c>
      <c r="D1109" s="5">
        <f t="shared" si="451"/>
        <v>-529.62426872908759</v>
      </c>
      <c r="E1109" s="2">
        <f t="shared" si="433"/>
        <v>444.70523897342827</v>
      </c>
      <c r="F1109" s="2">
        <f t="shared" si="452"/>
        <v>0</v>
      </c>
      <c r="G1109" s="3">
        <f t="shared" si="453"/>
        <v>0</v>
      </c>
      <c r="H1109" s="3">
        <f t="shared" si="454"/>
        <v>86.346517357954383</v>
      </c>
      <c r="I1109" s="3">
        <f t="shared" si="455"/>
        <v>-126.74829661143028</v>
      </c>
      <c r="J1109" s="2">
        <f t="shared" si="434"/>
        <v>153.36509300928495</v>
      </c>
      <c r="K1109" s="2">
        <f t="shared" si="456"/>
        <v>104.54334901791748</v>
      </c>
      <c r="L1109" s="5">
        <f t="shared" si="435"/>
        <v>22.817573690130317</v>
      </c>
      <c r="M1109" s="3">
        <f t="shared" si="436"/>
        <v>13.714717122710189</v>
      </c>
      <c r="N1109" s="2">
        <v>0</v>
      </c>
      <c r="O1109" s="2">
        <f t="shared" si="437"/>
        <v>153.36509300928495</v>
      </c>
      <c r="P1109" s="2">
        <f t="shared" si="438"/>
        <v>104.54334901791748</v>
      </c>
      <c r="Q1109" s="5">
        <f t="shared" si="439"/>
        <v>1.2925566585731247</v>
      </c>
      <c r="R1109" s="5">
        <f t="shared" si="440"/>
        <v>0.15114499756479138</v>
      </c>
      <c r="S1109" s="4">
        <f t="shared" si="457"/>
        <v>8.9425284812886849E-2</v>
      </c>
      <c r="T1109" s="5">
        <f t="shared" si="441"/>
        <v>8.7336470492144463E-2</v>
      </c>
      <c r="U1109" s="4">
        <f t="shared" si="442"/>
        <v>0</v>
      </c>
      <c r="V1109" s="4">
        <f t="shared" si="443"/>
        <v>0</v>
      </c>
      <c r="W1109" s="5">
        <f t="shared" si="444"/>
        <v>0</v>
      </c>
      <c r="X1109" s="5">
        <f t="shared" si="445"/>
        <v>-11.37375749989539</v>
      </c>
      <c r="Y1109" s="5">
        <f t="shared" si="446"/>
        <v>16.695570745568901</v>
      </c>
      <c r="Z1109" s="5">
        <f>1</f>
        <v>1</v>
      </c>
      <c r="AA1109" s="5">
        <f>IF(M1109=0,0,const*($T1109/omega)*O1109*(wy*I1109-wz*(H1109-V1109))/Z1109)</f>
        <v>0</v>
      </c>
      <c r="AB1109" s="5">
        <f>IF(M1109=0,0,const*($T1109/omega)*O1109*(wz*(G1109-U1109)-wx*I1109)/Z1109)</f>
        <v>9.6472410285681498</v>
      </c>
      <c r="AC1109" s="5">
        <f>IF(M1109=0,0,const*($T1109/omega)*O1109*(wx*(H1109-V1109)-wy*(G1109-U1109))/Z1109)</f>
        <v>6.572125126725437</v>
      </c>
      <c r="AD1109" s="5">
        <f t="shared" si="459"/>
        <v>0</v>
      </c>
      <c r="AE1109" s="5">
        <f t="shared" si="459"/>
        <v>-1.7265164713272405</v>
      </c>
      <c r="AF1109" s="5">
        <f t="shared" si="447"/>
        <v>-8.9063041277056598</v>
      </c>
      <c r="AG1109">
        <f t="shared" si="458"/>
        <v>0</v>
      </c>
    </row>
    <row r="1110" spans="1:33" x14ac:dyDescent="0.2">
      <c r="A1110">
        <f t="shared" si="448"/>
        <v>10.779999999999815</v>
      </c>
      <c r="B1110" s="5">
        <f t="shared" si="449"/>
        <v>0</v>
      </c>
      <c r="C1110" s="5">
        <f t="shared" si="450"/>
        <v>1334.9790957680407</v>
      </c>
      <c r="D1110" s="5">
        <f t="shared" si="451"/>
        <v>-530.89219701040838</v>
      </c>
      <c r="E1110" s="2">
        <f t="shared" si="433"/>
        <v>444.99303192268025</v>
      </c>
      <c r="F1110" s="2">
        <f t="shared" si="452"/>
        <v>0</v>
      </c>
      <c r="G1110" s="3">
        <f t="shared" si="453"/>
        <v>0</v>
      </c>
      <c r="H1110" s="3">
        <f t="shared" si="454"/>
        <v>86.329252193241118</v>
      </c>
      <c r="I1110" s="3">
        <f t="shared" si="455"/>
        <v>-126.83735965270733</v>
      </c>
      <c r="J1110" s="2">
        <f t="shared" si="434"/>
        <v>153.42899200579549</v>
      </c>
      <c r="K1110" s="2">
        <f t="shared" si="456"/>
        <v>104.58690661608418</v>
      </c>
      <c r="L1110" s="5">
        <f t="shared" si="435"/>
        <v>22.808070792128159</v>
      </c>
      <c r="M1110" s="3">
        <f t="shared" si="436"/>
        <v>13.706009667653481</v>
      </c>
      <c r="N1110" s="2">
        <v>0</v>
      </c>
      <c r="O1110" s="2">
        <f t="shared" si="437"/>
        <v>153.42899200579549</v>
      </c>
      <c r="P1110" s="2">
        <f t="shared" si="438"/>
        <v>104.58690661608418</v>
      </c>
      <c r="Q1110" s="5">
        <f t="shared" si="439"/>
        <v>1.2930951975052587</v>
      </c>
      <c r="R1110" s="5">
        <f t="shared" si="440"/>
        <v>0.15112537865227946</v>
      </c>
      <c r="S1110" s="4">
        <f t="shared" si="457"/>
        <v>8.9331289272471803E-2</v>
      </c>
      <c r="T1110" s="5">
        <f t="shared" si="441"/>
        <v>8.7299738917410913E-2</v>
      </c>
      <c r="U1110" s="4">
        <f t="shared" si="442"/>
        <v>0</v>
      </c>
      <c r="V1110" s="4">
        <f t="shared" si="443"/>
        <v>0</v>
      </c>
      <c r="W1110" s="5">
        <f t="shared" si="444"/>
        <v>0</v>
      </c>
      <c r="X1110" s="5">
        <f t="shared" si="445"/>
        <v>-11.374744524376268</v>
      </c>
      <c r="Y1110" s="5">
        <f t="shared" si="446"/>
        <v>16.712093821530072</v>
      </c>
      <c r="Z1110" s="5">
        <f>1</f>
        <v>1</v>
      </c>
      <c r="AA1110" s="5">
        <f>IF(M1110=0,0,const*($T1110/omega)*O1110*(wy*I1110-wz*(H1110-V1110))/Z1110)</f>
        <v>0</v>
      </c>
      <c r="AB1110" s="5">
        <f>IF(M1110=0,0,const*($T1110/omega)*O1110*(wz*(G1110-U1110)-wx*I1110)/Z1110)</f>
        <v>9.6539802936721753</v>
      </c>
      <c r="AC1110" s="5">
        <f>IF(M1110=0,0,const*($T1110/omega)*O1110*(wx*(H1110-V1110)-wy*(G1110-U1110))/Z1110)</f>
        <v>6.5707840475628805</v>
      </c>
      <c r="AD1110" s="5">
        <f t="shared" si="459"/>
        <v>0</v>
      </c>
      <c r="AE1110" s="5">
        <f t="shared" si="459"/>
        <v>-1.7207642307040931</v>
      </c>
      <c r="AF1110" s="5">
        <f t="shared" si="447"/>
        <v>-8.8911221309070463</v>
      </c>
      <c r="AG1110">
        <f t="shared" si="458"/>
        <v>0</v>
      </c>
    </row>
    <row r="1111" spans="1:33" x14ac:dyDescent="0.2">
      <c r="A1111">
        <f t="shared" si="448"/>
        <v>10.789999999999814</v>
      </c>
      <c r="B1111" s="5">
        <f t="shared" si="449"/>
        <v>0</v>
      </c>
      <c r="C1111" s="5">
        <f t="shared" si="450"/>
        <v>1335.8423022517616</v>
      </c>
      <c r="D1111" s="5">
        <f t="shared" si="451"/>
        <v>-532.16101516304207</v>
      </c>
      <c r="E1111" s="2">
        <f t="shared" si="433"/>
        <v>445.28076741725386</v>
      </c>
      <c r="F1111" s="2">
        <f t="shared" si="452"/>
        <v>0</v>
      </c>
      <c r="G1111" s="3">
        <f t="shared" si="453"/>
        <v>0</v>
      </c>
      <c r="H1111" s="3">
        <f t="shared" si="454"/>
        <v>86.312044550934075</v>
      </c>
      <c r="I1111" s="3">
        <f t="shared" si="455"/>
        <v>-126.92627087401641</v>
      </c>
      <c r="J1111" s="2">
        <f t="shared" si="434"/>
        <v>153.49282482431099</v>
      </c>
      <c r="K1111" s="2">
        <f t="shared" si="456"/>
        <v>104.63041910314314</v>
      </c>
      <c r="L1111" s="5">
        <f t="shared" si="435"/>
        <v>22.798585635768383</v>
      </c>
      <c r="M1111" s="3">
        <f t="shared" si="436"/>
        <v>13.697305533674262</v>
      </c>
      <c r="N1111" s="2">
        <v>0</v>
      </c>
      <c r="O1111" s="2">
        <f t="shared" si="437"/>
        <v>153.49282482431099</v>
      </c>
      <c r="P1111" s="2">
        <f t="shared" si="438"/>
        <v>104.63041910314314</v>
      </c>
      <c r="Q1111" s="5">
        <f t="shared" si="439"/>
        <v>1.2936331786911253</v>
      </c>
      <c r="R1111" s="5">
        <f t="shared" si="440"/>
        <v>0.15110578862095048</v>
      </c>
      <c r="S1111" s="4">
        <f t="shared" si="457"/>
        <v>8.9237432103763142E-2</v>
      </c>
      <c r="T1111" s="5">
        <f t="shared" si="441"/>
        <v>8.7263038269795132E-2</v>
      </c>
      <c r="U1111" s="4">
        <f t="shared" si="442"/>
        <v>0</v>
      </c>
      <c r="V1111" s="4">
        <f t="shared" si="443"/>
        <v>0</v>
      </c>
      <c r="W1111" s="5">
        <f t="shared" si="444"/>
        <v>0</v>
      </c>
      <c r="X1111" s="5">
        <f t="shared" si="445"/>
        <v>-11.375733865669719</v>
      </c>
      <c r="Y1111" s="5">
        <f t="shared" si="446"/>
        <v>16.728597793470886</v>
      </c>
      <c r="Z1111" s="5">
        <f>1</f>
        <v>1</v>
      </c>
      <c r="AA1111" s="5">
        <f>IF(M1111=0,0,const*($T1111/omega)*O1111*(wy*I1111-wz*(H1111-V1111))/Z1111)</f>
        <v>0</v>
      </c>
      <c r="AB1111" s="5">
        <f>IF(M1111=0,0,const*($T1111/omega)*O1111*(wz*(G1111-U1111)-wx*I1111)/Z1111)</f>
        <v>9.6607038206428051</v>
      </c>
      <c r="AC1111" s="5">
        <f>IF(M1111=0,0,const*($T1111/omega)*O1111*(wx*(H1111-V1111)-wy*(G1111-U1111))/Z1111)</f>
        <v>6.5694445509105286</v>
      </c>
      <c r="AD1111" s="5">
        <f t="shared" si="459"/>
        <v>0</v>
      </c>
      <c r="AE1111" s="5">
        <f t="shared" si="459"/>
        <v>-1.7150300450269143</v>
      </c>
      <c r="AF1111" s="5">
        <f t="shared" si="447"/>
        <v>-8.8759576556185849</v>
      </c>
      <c r="AG1111">
        <f t="shared" si="458"/>
        <v>0</v>
      </c>
    </row>
    <row r="1112" spans="1:33" x14ac:dyDescent="0.2">
      <c r="A1112">
        <f t="shared" si="448"/>
        <v>10.799999999999814</v>
      </c>
      <c r="B1112" s="5">
        <f t="shared" si="449"/>
        <v>0</v>
      </c>
      <c r="C1112" s="5">
        <f t="shared" si="450"/>
        <v>1336.7053369457687</v>
      </c>
      <c r="D1112" s="5">
        <f t="shared" si="451"/>
        <v>-533.43072166966499</v>
      </c>
      <c r="E1112" s="2">
        <f t="shared" si="433"/>
        <v>445.5684456485896</v>
      </c>
      <c r="F1112" s="2">
        <f t="shared" si="452"/>
        <v>0</v>
      </c>
      <c r="G1112" s="3">
        <f t="shared" si="453"/>
        <v>0</v>
      </c>
      <c r="H1112" s="3">
        <f t="shared" si="454"/>
        <v>86.294894250483807</v>
      </c>
      <c r="I1112" s="3">
        <f t="shared" si="455"/>
        <v>-127.0150304505726</v>
      </c>
      <c r="J1112" s="2">
        <f t="shared" si="434"/>
        <v>153.55659130777184</v>
      </c>
      <c r="K1112" s="2">
        <f t="shared" si="456"/>
        <v>104.6738863720326</v>
      </c>
      <c r="L1112" s="5">
        <f t="shared" si="435"/>
        <v>22.789118209971203</v>
      </c>
      <c r="M1112" s="3">
        <f t="shared" si="436"/>
        <v>13.688604735869006</v>
      </c>
      <c r="N1112" s="2">
        <v>0</v>
      </c>
      <c r="O1112" s="2">
        <f t="shared" si="437"/>
        <v>153.55659130777184</v>
      </c>
      <c r="P1112" s="2">
        <f t="shared" si="438"/>
        <v>104.6738863720326</v>
      </c>
      <c r="Q1112" s="5">
        <f t="shared" si="439"/>
        <v>1.2941706008070306</v>
      </c>
      <c r="R1112" s="5">
        <f t="shared" si="440"/>
        <v>0.15108622744900965</v>
      </c>
      <c r="S1112" s="4">
        <f t="shared" si="457"/>
        <v>8.914371320234038E-2</v>
      </c>
      <c r="T1112" s="5">
        <f t="shared" si="441"/>
        <v>8.7226368571873991E-2</v>
      </c>
      <c r="U1112" s="4">
        <f t="shared" si="442"/>
        <v>0</v>
      </c>
      <c r="V1112" s="4">
        <f t="shared" si="443"/>
        <v>0</v>
      </c>
      <c r="W1112" s="5">
        <f t="shared" si="444"/>
        <v>0</v>
      </c>
      <c r="X1112" s="5">
        <f t="shared" si="445"/>
        <v>-11.376725500194409</v>
      </c>
      <c r="Y1112" s="5">
        <f t="shared" si="446"/>
        <v>16.74508264232443</v>
      </c>
      <c r="Z1112" s="5">
        <f>1</f>
        <v>1</v>
      </c>
      <c r="AA1112" s="5">
        <f>IF(M1112=0,0,const*($T1112/omega)*O1112*(wy*I1112-wz*(H1112-V1112))/Z1112)</f>
        <v>0</v>
      </c>
      <c r="AB1112" s="5">
        <f>IF(M1112=0,0,const*($T1112/omega)*O1112*(wz*(G1112-U1112)-wx*I1112)/Z1112)</f>
        <v>9.6674116164481312</v>
      </c>
      <c r="AC1112" s="5">
        <f>IF(M1112=0,0,const*($T1112/omega)*O1112*(wx*(H1112-V1112)-wy*(G1112-U1112))/Z1112)</f>
        <v>6.5681066261046537</v>
      </c>
      <c r="AD1112" s="5">
        <f t="shared" si="459"/>
        <v>0</v>
      </c>
      <c r="AE1112" s="5">
        <f t="shared" si="459"/>
        <v>-1.7093138837462778</v>
      </c>
      <c r="AF1112" s="5">
        <f t="shared" si="447"/>
        <v>-8.8608107315709148</v>
      </c>
      <c r="AG1112">
        <f t="shared" si="458"/>
        <v>0</v>
      </c>
    </row>
    <row r="1113" spans="1:33" x14ac:dyDescent="0.2">
      <c r="A1113">
        <f t="shared" si="448"/>
        <v>10.809999999999814</v>
      </c>
      <c r="B1113" s="5">
        <f t="shared" si="449"/>
        <v>0</v>
      </c>
      <c r="C1113" s="5">
        <f t="shared" si="450"/>
        <v>1337.5682004225794</v>
      </c>
      <c r="D1113" s="5">
        <f t="shared" si="451"/>
        <v>-534.70131501470723</v>
      </c>
      <c r="E1113" s="2">
        <f t="shared" si="433"/>
        <v>445.85606680752647</v>
      </c>
      <c r="F1113" s="2">
        <f t="shared" si="452"/>
        <v>0</v>
      </c>
      <c r="G1113" s="3">
        <f t="shared" si="453"/>
        <v>0</v>
      </c>
      <c r="H1113" s="3">
        <f t="shared" si="454"/>
        <v>86.27780111164634</v>
      </c>
      <c r="I1113" s="3">
        <f t="shared" si="455"/>
        <v>-127.1036385578883</v>
      </c>
      <c r="J1113" s="2">
        <f t="shared" si="434"/>
        <v>153.62029130071039</v>
      </c>
      <c r="K1113" s="2">
        <f t="shared" si="456"/>
        <v>104.717308316776</v>
      </c>
      <c r="L1113" s="5">
        <f t="shared" si="435"/>
        <v>22.77966850344637</v>
      </c>
      <c r="M1113" s="3">
        <f t="shared" si="436"/>
        <v>13.679907289252839</v>
      </c>
      <c r="N1113" s="2">
        <v>0</v>
      </c>
      <c r="O1113" s="2">
        <f t="shared" si="437"/>
        <v>153.62029130071039</v>
      </c>
      <c r="P1113" s="2">
        <f t="shared" si="438"/>
        <v>104.717308316776</v>
      </c>
      <c r="Q1113" s="5">
        <f t="shared" si="439"/>
        <v>1.2947074625426984</v>
      </c>
      <c r="R1113" s="5">
        <f t="shared" si="440"/>
        <v>0.15106669511438994</v>
      </c>
      <c r="S1113" s="4">
        <f t="shared" si="457"/>
        <v>8.9050132462478795E-2</v>
      </c>
      <c r="T1113" s="5">
        <f t="shared" si="441"/>
        <v>8.7189729845697533E-2</v>
      </c>
      <c r="U1113" s="4">
        <f t="shared" si="442"/>
        <v>0</v>
      </c>
      <c r="V1113" s="4">
        <f t="shared" si="443"/>
        <v>0</v>
      </c>
      <c r="W1113" s="5">
        <f t="shared" si="444"/>
        <v>0</v>
      </c>
      <c r="X1113" s="5">
        <f t="shared" si="445"/>
        <v>-11.377719404468214</v>
      </c>
      <c r="Y1113" s="5">
        <f t="shared" si="446"/>
        <v>16.761548349235682</v>
      </c>
      <c r="Z1113" s="5">
        <f>1</f>
        <v>1</v>
      </c>
      <c r="AA1113" s="5">
        <f>IF(M1113=0,0,const*($T1113/omega)*O1113*(wy*I1113-wz*(H1113-V1113))/Z1113)</f>
        <v>0</v>
      </c>
      <c r="AB1113" s="5">
        <f>IF(M1113=0,0,const*($T1113/omega)*O1113*(wz*(G1113-U1113)-wx*I1113)/Z1113)</f>
        <v>9.6741036881679054</v>
      </c>
      <c r="AC1113" s="5">
        <f>IF(M1113=0,0,const*($T1113/omega)*O1113*(wx*(H1113-V1113)-wy*(G1113-U1113))/Z1113)</f>
        <v>6.5667702625291531</v>
      </c>
      <c r="AD1113" s="5">
        <f t="shared" si="459"/>
        <v>0</v>
      </c>
      <c r="AE1113" s="5">
        <f t="shared" si="459"/>
        <v>-1.7036157163003089</v>
      </c>
      <c r="AF1113" s="5">
        <f t="shared" si="447"/>
        <v>-8.8456813882351639</v>
      </c>
      <c r="AG1113">
        <f t="shared" si="458"/>
        <v>0</v>
      </c>
    </row>
    <row r="1114" spans="1:33" x14ac:dyDescent="0.2">
      <c r="A1114">
        <f t="shared" si="448"/>
        <v>10.819999999999814</v>
      </c>
      <c r="B1114" s="5">
        <f t="shared" si="449"/>
        <v>0</v>
      </c>
      <c r="C1114" s="5">
        <f t="shared" si="450"/>
        <v>1338.43089325291</v>
      </c>
      <c r="D1114" s="5">
        <f t="shared" si="451"/>
        <v>-535.97279368435557</v>
      </c>
      <c r="E1114" s="2">
        <f t="shared" si="433"/>
        <v>446.14363108430331</v>
      </c>
      <c r="F1114" s="2">
        <f t="shared" si="452"/>
        <v>0</v>
      </c>
      <c r="G1114" s="3">
        <f t="shared" si="453"/>
        <v>0</v>
      </c>
      <c r="H1114" s="3">
        <f t="shared" si="454"/>
        <v>86.260764954483335</v>
      </c>
      <c r="I1114" s="3">
        <f t="shared" si="455"/>
        <v>-127.19209537177065</v>
      </c>
      <c r="J1114" s="2">
        <f t="shared" si="434"/>
        <v>153.68392464924307</v>
      </c>
      <c r="K1114" s="2">
        <f t="shared" si="456"/>
        <v>104.76068483247653</v>
      </c>
      <c r="L1114" s="5">
        <f t="shared" si="435"/>
        <v>22.770236504695383</v>
      </c>
      <c r="M1114" s="3">
        <f t="shared" si="436"/>
        <v>13.671213208759708</v>
      </c>
      <c r="N1114" s="2">
        <v>0</v>
      </c>
      <c r="O1114" s="2">
        <f t="shared" si="437"/>
        <v>153.68392464924307</v>
      </c>
      <c r="P1114" s="2">
        <f t="shared" si="438"/>
        <v>104.76068483247653</v>
      </c>
      <c r="Q1114" s="5">
        <f t="shared" si="439"/>
        <v>1.2952437626012017</v>
      </c>
      <c r="R1114" s="5">
        <f t="shared" si="440"/>
        <v>0.15104719159475502</v>
      </c>
      <c r="S1114" s="4">
        <f t="shared" si="457"/>
        <v>8.8956689777163644E-2</v>
      </c>
      <c r="T1114" s="5">
        <f t="shared" si="441"/>
        <v>8.7153122112792678E-2</v>
      </c>
      <c r="U1114" s="4">
        <f t="shared" si="442"/>
        <v>0</v>
      </c>
      <c r="V1114" s="4">
        <f t="shared" si="443"/>
        <v>0</v>
      </c>
      <c r="W1114" s="5">
        <f t="shared" si="444"/>
        <v>0</v>
      </c>
      <c r="X1114" s="5">
        <f t="shared" si="445"/>
        <v>-11.378715555107711</v>
      </c>
      <c r="Y1114" s="5">
        <f t="shared" si="446"/>
        <v>16.777994895561019</v>
      </c>
      <c r="Z1114" s="5">
        <f>1</f>
        <v>1</v>
      </c>
      <c r="AA1114" s="5">
        <f>IF(M1114=0,0,const*($T1114/omega)*O1114*(wy*I1114-wz*(H1114-V1114))/Z1114)</f>
        <v>0</v>
      </c>
      <c r="AB1114" s="5">
        <f>IF(M1114=0,0,const*($T1114/omega)*O1114*(wz*(G1114-U1114)-wx*I1114)/Z1114)</f>
        <v>9.680780042992982</v>
      </c>
      <c r="AC1114" s="5">
        <f>IF(M1114=0,0,const*($T1114/omega)*O1114*(wx*(H1114-V1114)-wy*(G1114-U1114))/Z1114)</f>
        <v>6.5654354496152818</v>
      </c>
      <c r="AD1114" s="5">
        <f t="shared" si="459"/>
        <v>0</v>
      </c>
      <c r="AE1114" s="5">
        <f t="shared" si="459"/>
        <v>-1.6979355121147286</v>
      </c>
      <c r="AF1114" s="5">
        <f t="shared" si="447"/>
        <v>-8.830569654823698</v>
      </c>
      <c r="AG1114">
        <f t="shared" si="458"/>
        <v>0</v>
      </c>
    </row>
    <row r="1115" spans="1:33" x14ac:dyDescent="0.2">
      <c r="A1115">
        <f t="shared" si="448"/>
        <v>10.829999999999814</v>
      </c>
      <c r="B1115" s="5">
        <f t="shared" si="449"/>
        <v>0</v>
      </c>
      <c r="C1115" s="5">
        <f t="shared" si="450"/>
        <v>1339.2934160056791</v>
      </c>
      <c r="D1115" s="5">
        <f t="shared" si="451"/>
        <v>-537.24515616655594</v>
      </c>
      <c r="E1115" s="2">
        <f t="shared" si="433"/>
        <v>446.4311386685597</v>
      </c>
      <c r="F1115" s="2">
        <f t="shared" si="452"/>
        <v>0</v>
      </c>
      <c r="G1115" s="3">
        <f t="shared" si="453"/>
        <v>0</v>
      </c>
      <c r="H1115" s="3">
        <f t="shared" si="454"/>
        <v>86.243785599362184</v>
      </c>
      <c r="I1115" s="3">
        <f t="shared" si="455"/>
        <v>-127.28040106831888</v>
      </c>
      <c r="J1115" s="2">
        <f t="shared" si="434"/>
        <v>153.74749120106273</v>
      </c>
      <c r="K1115" s="2">
        <f t="shared" si="456"/>
        <v>104.80401581531201</v>
      </c>
      <c r="L1115" s="5">
        <f t="shared" si="435"/>
        <v>22.760822202013664</v>
      </c>
      <c r="M1115" s="3">
        <f t="shared" si="436"/>
        <v>13.662522509242585</v>
      </c>
      <c r="N1115" s="2">
        <v>0</v>
      </c>
      <c r="O1115" s="2">
        <f t="shared" si="437"/>
        <v>153.74749120106273</v>
      </c>
      <c r="P1115" s="2">
        <f t="shared" si="438"/>
        <v>104.80401581531201</v>
      </c>
      <c r="Q1115" s="5">
        <f t="shared" si="439"/>
        <v>1.2957794996989001</v>
      </c>
      <c r="R1115" s="5">
        <f t="shared" si="440"/>
        <v>0.15102771686750227</v>
      </c>
      <c r="S1115" s="4">
        <f t="shared" si="457"/>
        <v>8.8863385038104273E-2</v>
      </c>
      <c r="T1115" s="5">
        <f t="shared" si="441"/>
        <v>8.7116545394167147E-2</v>
      </c>
      <c r="U1115" s="4">
        <f t="shared" si="442"/>
        <v>0</v>
      </c>
      <c r="V1115" s="4">
        <f t="shared" si="443"/>
        <v>0</v>
      </c>
      <c r="W1115" s="5">
        <f t="shared" si="444"/>
        <v>0</v>
      </c>
      <c r="X1115" s="5">
        <f t="shared" si="445"/>
        <v>-11.379713928827737</v>
      </c>
      <c r="Y1115" s="5">
        <f t="shared" si="446"/>
        <v>16.79442226286784</v>
      </c>
      <c r="Z1115" s="5">
        <f>1</f>
        <v>1</v>
      </c>
      <c r="AA1115" s="5">
        <f>IF(M1115=0,0,const*($T1115/omega)*O1115*(wy*I1115-wz*(H1115-V1115))/Z1115)</f>
        <v>0</v>
      </c>
      <c r="AB1115" s="5">
        <f>IF(M1115=0,0,const*($T1115/omega)*O1115*(wz*(G1115-U1115)-wx*I1115)/Z1115)</f>
        <v>9.6874406882248074</v>
      </c>
      <c r="AC1115" s="5">
        <f>IF(M1115=0,0,const*($T1115/omega)*O1115*(wx*(H1115-V1115)-wy*(G1115-U1115))/Z1115)</f>
        <v>6.5641021768413959</v>
      </c>
      <c r="AD1115" s="5">
        <f t="shared" si="459"/>
        <v>0</v>
      </c>
      <c r="AE1115" s="5">
        <f t="shared" si="459"/>
        <v>-1.6922732406029297</v>
      </c>
      <c r="AF1115" s="5">
        <f t="shared" si="447"/>
        <v>-8.8154755602907642</v>
      </c>
      <c r="AG1115">
        <f t="shared" si="458"/>
        <v>0</v>
      </c>
    </row>
    <row r="1116" spans="1:33" x14ac:dyDescent="0.2">
      <c r="A1116">
        <f t="shared" si="448"/>
        <v>10.839999999999813</v>
      </c>
      <c r="B1116" s="5">
        <f t="shared" si="449"/>
        <v>0</v>
      </c>
      <c r="C1116" s="5">
        <f t="shared" si="450"/>
        <v>1340.1557692480108</v>
      </c>
      <c r="D1116" s="5">
        <f t="shared" si="451"/>
        <v>-538.51840095101716</v>
      </c>
      <c r="E1116" s="2">
        <f t="shared" si="433"/>
        <v>446.7185897493369</v>
      </c>
      <c r="F1116" s="2">
        <f t="shared" si="452"/>
        <v>0</v>
      </c>
      <c r="G1116" s="3">
        <f t="shared" si="453"/>
        <v>0</v>
      </c>
      <c r="H1116" s="3">
        <f t="shared" si="454"/>
        <v>86.226862866956154</v>
      </c>
      <c r="I1116" s="3">
        <f t="shared" si="455"/>
        <v>-127.36855582392178</v>
      </c>
      <c r="J1116" s="2">
        <f t="shared" si="434"/>
        <v>153.81099080543086</v>
      </c>
      <c r="K1116" s="2">
        <f t="shared" si="456"/>
        <v>104.84730116252955</v>
      </c>
      <c r="L1116" s="5">
        <f t="shared" si="435"/>
        <v>22.751425583492754</v>
      </c>
      <c r="M1116" s="3">
        <f t="shared" si="436"/>
        <v>13.653835205473646</v>
      </c>
      <c r="N1116" s="2">
        <v>0</v>
      </c>
      <c r="O1116" s="2">
        <f t="shared" si="437"/>
        <v>153.81099080543086</v>
      </c>
      <c r="P1116" s="2">
        <f t="shared" si="438"/>
        <v>104.84730116252955</v>
      </c>
      <c r="Q1116" s="5">
        <f t="shared" si="439"/>
        <v>1.2963146725653734</v>
      </c>
      <c r="R1116" s="5">
        <f t="shared" si="440"/>
        <v>0.15100827090976573</v>
      </c>
      <c r="S1116" s="4">
        <f t="shared" si="457"/>
        <v>8.8770218135748119E-2</v>
      </c>
      <c r="T1116" s="5">
        <f t="shared" si="441"/>
        <v>8.7079999710313161E-2</v>
      </c>
      <c r="U1116" s="4">
        <f t="shared" si="442"/>
        <v>0</v>
      </c>
      <c r="V1116" s="4">
        <f t="shared" si="443"/>
        <v>0</v>
      </c>
      <c r="W1116" s="5">
        <f t="shared" si="444"/>
        <v>0</v>
      </c>
      <c r="X1116" s="5">
        <f t="shared" si="445"/>
        <v>-11.380714502440892</v>
      </c>
      <c r="Y1116" s="5">
        <f t="shared" si="446"/>
        <v>16.810830432934065</v>
      </c>
      <c r="Z1116" s="5">
        <f>1</f>
        <v>1</v>
      </c>
      <c r="AA1116" s="5">
        <f>IF(M1116=0,0,const*($T1116/omega)*O1116*(wy*I1116-wz*(H1116-V1116))/Z1116)</f>
        <v>0</v>
      </c>
      <c r="AB1116" s="5">
        <f>IF(M1116=0,0,const*($T1116/omega)*O1116*(wz*(G1116-U1116)-wx*I1116)/Z1116)</f>
        <v>9.6940856312748629</v>
      </c>
      <c r="AC1116" s="5">
        <f>IF(M1116=0,0,const*($T1116/omega)*O1116*(wx*(H1116-V1116)-wy*(G1116-U1116))/Z1116)</f>
        <v>6.5627704337327071</v>
      </c>
      <c r="AD1116" s="5">
        <f t="shared" si="459"/>
        <v>0</v>
      </c>
      <c r="AE1116" s="5">
        <f t="shared" si="459"/>
        <v>-1.6866288711660289</v>
      </c>
      <c r="AF1116" s="5">
        <f t="shared" si="447"/>
        <v>-8.8003991333332294</v>
      </c>
      <c r="AG1116">
        <f t="shared" si="458"/>
        <v>0</v>
      </c>
    </row>
    <row r="1117" spans="1:33" x14ac:dyDescent="0.2">
      <c r="A1117">
        <f t="shared" si="448"/>
        <v>10.849999999999813</v>
      </c>
      <c r="B1117" s="5">
        <f t="shared" si="449"/>
        <v>0</v>
      </c>
      <c r="C1117" s="5">
        <f t="shared" si="450"/>
        <v>1341.0179535452369</v>
      </c>
      <c r="D1117" s="5">
        <f t="shared" si="451"/>
        <v>-539.79252652921298</v>
      </c>
      <c r="E1117" s="2">
        <f t="shared" si="433"/>
        <v>447.00598451507898</v>
      </c>
      <c r="F1117" s="2">
        <f t="shared" si="452"/>
        <v>0</v>
      </c>
      <c r="G1117" s="3">
        <f t="shared" si="453"/>
        <v>0</v>
      </c>
      <c r="H1117" s="3">
        <f t="shared" si="454"/>
        <v>86.2099965782445</v>
      </c>
      <c r="I1117" s="3">
        <f t="shared" si="455"/>
        <v>-127.45655981525512</v>
      </c>
      <c r="J1117" s="2">
        <f t="shared" si="434"/>
        <v>153.87442331316998</v>
      </c>
      <c r="K1117" s="2">
        <f t="shared" si="456"/>
        <v>104.89054077244033</v>
      </c>
      <c r="L1117" s="5">
        <f t="shared" si="435"/>
        <v>22.742046637022465</v>
      </c>
      <c r="M1117" s="3">
        <f t="shared" si="436"/>
        <v>13.645151312144474</v>
      </c>
      <c r="N1117" s="2">
        <v>0</v>
      </c>
      <c r="O1117" s="2">
        <f t="shared" si="437"/>
        <v>153.87442331316998</v>
      </c>
      <c r="P1117" s="2">
        <f t="shared" si="438"/>
        <v>104.89054077244033</v>
      </c>
      <c r="Q1117" s="5">
        <f t="shared" si="439"/>
        <v>1.2968492799433591</v>
      </c>
      <c r="R1117" s="5">
        <f t="shared" si="440"/>
        <v>0.15098885369841891</v>
      </c>
      <c r="S1117" s="4">
        <f t="shared" si="457"/>
        <v>8.8677188959294689E-2</v>
      </c>
      <c r="T1117" s="5">
        <f t="shared" si="441"/>
        <v>8.7043485081211139E-2</v>
      </c>
      <c r="U1117" s="4">
        <f t="shared" si="442"/>
        <v>0</v>
      </c>
      <c r="V1117" s="4">
        <f t="shared" si="443"/>
        <v>0</v>
      </c>
      <c r="W1117" s="5">
        <f t="shared" si="444"/>
        <v>0</v>
      </c>
      <c r="X1117" s="5">
        <f t="shared" si="445"/>
        <v>-11.381717252857078</v>
      </c>
      <c r="Y1117" s="5">
        <f t="shared" si="446"/>
        <v>16.827219387747707</v>
      </c>
      <c r="Z1117" s="5">
        <f>1</f>
        <v>1</v>
      </c>
      <c r="AA1117" s="5">
        <f>IF(M1117=0,0,const*($T1117/omega)*O1117*(wy*I1117-wz*(H1117-V1117))/Z1117)</f>
        <v>0</v>
      </c>
      <c r="AB1117" s="5">
        <f>IF(M1117=0,0,const*($T1117/omega)*O1117*(wz*(G1117-U1117)-wx*I1117)/Z1117)</f>
        <v>9.700714879664142</v>
      </c>
      <c r="AC1117" s="5">
        <f>IF(M1117=0,0,const*($T1117/omega)*O1117*(wx*(H1117-V1117)-wy*(G1117-U1117))/Z1117)</f>
        <v>6.5614402098610194</v>
      </c>
      <c r="AD1117" s="5">
        <f t="shared" si="459"/>
        <v>0</v>
      </c>
      <c r="AE1117" s="5">
        <f t="shared" si="459"/>
        <v>-1.6810023731929356</v>
      </c>
      <c r="AF1117" s="5">
        <f t="shared" si="447"/>
        <v>-8.7853404023912738</v>
      </c>
      <c r="AG1117">
        <f t="shared" si="458"/>
        <v>0</v>
      </c>
    </row>
    <row r="1118" spans="1:33" x14ac:dyDescent="0.2">
      <c r="A1118">
        <f t="shared" si="448"/>
        <v>10.859999999999813</v>
      </c>
      <c r="B1118" s="5">
        <f t="shared" si="449"/>
        <v>0</v>
      </c>
      <c r="C1118" s="5">
        <f t="shared" si="450"/>
        <v>1341.8799694609006</v>
      </c>
      <c r="D1118" s="5">
        <f t="shared" si="451"/>
        <v>-541.0675313943857</v>
      </c>
      <c r="E1118" s="2">
        <f t="shared" si="433"/>
        <v>447.29332315363354</v>
      </c>
      <c r="F1118" s="2">
        <f t="shared" si="452"/>
        <v>0</v>
      </c>
      <c r="G1118" s="3">
        <f t="shared" si="453"/>
        <v>0</v>
      </c>
      <c r="H1118" s="3">
        <f t="shared" si="454"/>
        <v>86.193186554512565</v>
      </c>
      <c r="I1118" s="3">
        <f t="shared" si="455"/>
        <v>-127.54441321927904</v>
      </c>
      <c r="J1118" s="2">
        <f t="shared" si="434"/>
        <v>153.93778857665589</v>
      </c>
      <c r="K1118" s="2">
        <f t="shared" si="456"/>
        <v>104.93373454441436</v>
      </c>
      <c r="L1118" s="5">
        <f t="shared" si="435"/>
        <v>22.732685350293014</v>
      </c>
      <c r="M1118" s="3">
        <f t="shared" si="436"/>
        <v>13.636470843866238</v>
      </c>
      <c r="N1118" s="2">
        <v>0</v>
      </c>
      <c r="O1118" s="2">
        <f t="shared" si="437"/>
        <v>153.93778857665589</v>
      </c>
      <c r="P1118" s="2">
        <f t="shared" si="438"/>
        <v>104.93373454441436</v>
      </c>
      <c r="Q1118" s="5">
        <f t="shared" si="439"/>
        <v>1.2973833205886838</v>
      </c>
      <c r="R1118" s="5">
        <f t="shared" si="440"/>
        <v>0.1509694652100777</v>
      </c>
      <c r="S1118" s="4">
        <f t="shared" si="457"/>
        <v>8.8584297396709255E-2</v>
      </c>
      <c r="T1118" s="5">
        <f t="shared" si="441"/>
        <v>8.7007001526333491E-2</v>
      </c>
      <c r="U1118" s="4">
        <f t="shared" si="442"/>
        <v>0</v>
      </c>
      <c r="V1118" s="4">
        <f t="shared" si="443"/>
        <v>0</v>
      </c>
      <c r="W1118" s="5">
        <f t="shared" si="444"/>
        <v>0</v>
      </c>
      <c r="X1118" s="5">
        <f t="shared" si="445"/>
        <v>-11.382722157083027</v>
      </c>
      <c r="Y1118" s="5">
        <f t="shared" si="446"/>
        <v>16.843589109506393</v>
      </c>
      <c r="Z1118" s="5">
        <f>1</f>
        <v>1</v>
      </c>
      <c r="AA1118" s="5">
        <f>IF(M1118=0,0,const*($T1118/omega)*O1118*(wy*I1118-wz*(H1118-V1118))/Z1118)</f>
        <v>0</v>
      </c>
      <c r="AB1118" s="5">
        <f>IF(M1118=0,0,const*($T1118/omega)*O1118*(wz*(G1118-U1118)-wx*I1118)/Z1118)</f>
        <v>9.707328441022586</v>
      </c>
      <c r="AC1118" s="5">
        <f>IF(M1118=0,0,const*($T1118/omega)*O1118*(wx*(H1118-V1118)-wy*(G1118-U1118))/Z1118)</f>
        <v>6.5601114948444703</v>
      </c>
      <c r="AD1118" s="5">
        <f t="shared" si="459"/>
        <v>0</v>
      </c>
      <c r="AE1118" s="5">
        <f t="shared" si="459"/>
        <v>-1.6753937160604409</v>
      </c>
      <c r="AF1118" s="5">
        <f t="shared" si="447"/>
        <v>-8.7702993956491362</v>
      </c>
      <c r="AG1118">
        <f t="shared" si="458"/>
        <v>0</v>
      </c>
    </row>
    <row r="1119" spans="1:33" x14ac:dyDescent="0.2">
      <c r="A1119">
        <f t="shared" si="448"/>
        <v>10.869999999999813</v>
      </c>
      <c r="B1119" s="5">
        <f t="shared" si="449"/>
        <v>0</v>
      </c>
      <c r="C1119" s="5">
        <f t="shared" si="450"/>
        <v>1342.74181755676</v>
      </c>
      <c r="D1119" s="5">
        <f t="shared" si="451"/>
        <v>-542.34341404154827</v>
      </c>
      <c r="E1119" s="2">
        <f t="shared" si="433"/>
        <v>447.58060585225331</v>
      </c>
      <c r="F1119" s="2">
        <f t="shared" si="452"/>
        <v>0</v>
      </c>
      <c r="G1119" s="3">
        <f t="shared" si="453"/>
        <v>0</v>
      </c>
      <c r="H1119" s="3">
        <f t="shared" si="454"/>
        <v>86.176432617351963</v>
      </c>
      <c r="I1119" s="3">
        <f t="shared" si="455"/>
        <v>-127.63211621323553</v>
      </c>
      <c r="J1119" s="2">
        <f t="shared" si="434"/>
        <v>154.00108644981003</v>
      </c>
      <c r="K1119" s="2">
        <f t="shared" si="456"/>
        <v>104.97688237887527</v>
      </c>
      <c r="L1119" s="5">
        <f t="shared" si="435"/>
        <v>22.723341710797172</v>
      </c>
      <c r="M1119" s="3">
        <f t="shared" si="436"/>
        <v>13.627793815169902</v>
      </c>
      <c r="N1119" s="2">
        <v>0</v>
      </c>
      <c r="O1119" s="2">
        <f t="shared" si="437"/>
        <v>154.00108644981003</v>
      </c>
      <c r="P1119" s="2">
        <f t="shared" si="438"/>
        <v>104.97688237887527</v>
      </c>
      <c r="Q1119" s="5">
        <f t="shared" si="439"/>
        <v>1.2979167932702016</v>
      </c>
      <c r="R1119" s="5">
        <f t="shared" si="440"/>
        <v>0.15095010542110335</v>
      </c>
      <c r="S1119" s="4">
        <f t="shared" si="457"/>
        <v>8.849154333473673E-2</v>
      </c>
      <c r="T1119" s="5">
        <f t="shared" si="441"/>
        <v>8.6970549064648309E-2</v>
      </c>
      <c r="U1119" s="4">
        <f t="shared" si="442"/>
        <v>0</v>
      </c>
      <c r="V1119" s="4">
        <f t="shared" si="443"/>
        <v>0</v>
      </c>
      <c r="W1119" s="5">
        <f t="shared" si="444"/>
        <v>0</v>
      </c>
      <c r="X1119" s="5">
        <f t="shared" si="445"/>
        <v>-11.383729192221855</v>
      </c>
      <c r="Y1119" s="5">
        <f t="shared" si="446"/>
        <v>16.859939580616949</v>
      </c>
      <c r="Z1119" s="5">
        <f>1</f>
        <v>1</v>
      </c>
      <c r="AA1119" s="5">
        <f>IF(M1119=0,0,const*($T1119/omega)*O1119*(wy*I1119-wz*(H1119-V1119))/Z1119)</f>
        <v>0</v>
      </c>
      <c r="AB1119" s="5">
        <f>IF(M1119=0,0,const*($T1119/omega)*O1119*(wz*(G1119-U1119)-wx*I1119)/Z1119)</f>
        <v>9.7139263230885824</v>
      </c>
      <c r="AC1119" s="5">
        <f>IF(M1119=0,0,const*($T1119/omega)*O1119*(wx*(H1119-V1119)-wy*(G1119-U1119))/Z1119)</f>
        <v>6.5587842783473</v>
      </c>
      <c r="AD1119" s="5">
        <f t="shared" si="459"/>
        <v>0</v>
      </c>
      <c r="AE1119" s="5">
        <f t="shared" si="459"/>
        <v>-1.6698028691332727</v>
      </c>
      <c r="AF1119" s="5">
        <f t="shared" si="447"/>
        <v>-8.7552761410357505</v>
      </c>
      <c r="AG1119">
        <f t="shared" si="458"/>
        <v>0</v>
      </c>
    </row>
    <row r="1120" spans="1:33" x14ac:dyDescent="0.2">
      <c r="A1120">
        <f t="shared" si="448"/>
        <v>10.879999999999812</v>
      </c>
      <c r="B1120" s="5">
        <f t="shared" si="449"/>
        <v>0</v>
      </c>
      <c r="C1120" s="5">
        <f t="shared" si="450"/>
        <v>1343.60349839279</v>
      </c>
      <c r="D1120" s="5">
        <f t="shared" si="451"/>
        <v>-543.62017296748775</v>
      </c>
      <c r="E1120" s="2">
        <f t="shared" ref="E1120:E1158" si="460">SQRT(B1120^2+C1120^2)/3</f>
        <v>447.86783279759669</v>
      </c>
      <c r="F1120" s="2">
        <f t="shared" si="452"/>
        <v>0</v>
      </c>
      <c r="G1120" s="3">
        <f t="shared" si="453"/>
        <v>0</v>
      </c>
      <c r="H1120" s="3">
        <f t="shared" si="454"/>
        <v>86.159734588660626</v>
      </c>
      <c r="I1120" s="3">
        <f t="shared" si="455"/>
        <v>-127.71966897464588</v>
      </c>
      <c r="J1120" s="2">
        <f t="shared" ref="J1120:J1158" si="461">SQRT(G1120^2+H1120^2+I1120^2)</f>
        <v>154.06431678809199</v>
      </c>
      <c r="K1120" s="2">
        <f t="shared" si="456"/>
        <v>105.01998417729514</v>
      </c>
      <c r="L1120" s="5">
        <f t="shared" ref="L1120:L1158" si="462">1/(0.00002*J1120/(circ/(2*PI()*12)))</f>
        <v>22.714015705832331</v>
      </c>
      <c r="M1120" s="3">
        <f t="shared" ref="M1120:M1158" si="463">romega*EXP(-A1120/L1120)</f>
        <v>13.619120240506394</v>
      </c>
      <c r="N1120" s="2">
        <v>0</v>
      </c>
      <c r="O1120" s="2">
        <f t="shared" ref="O1120:O1158" si="464">IF(D1120&gt;=hwind,SQRT((G1120-vxw)^2+(H1120-vyw)^2+I1120^2),J1120)</f>
        <v>154.06431678809199</v>
      </c>
      <c r="P1120" s="2">
        <f t="shared" ref="P1120:P1158" si="465">J1120/1.467</f>
        <v>105.01998417729514</v>
      </c>
      <c r="Q1120" s="5">
        <f t="shared" ref="Q1120:Q1183" si="466">(P1120/100)*Re_100*0.00001</f>
        <v>1.2984496967697301</v>
      </c>
      <c r="R1120" s="5">
        <f t="shared" ref="R1120:R1158" si="467">IF(Q1120&lt;=ReLow,CdL,IF(Q1120&lt;ReHigh,CdL+(CdH-CdL)*(Q1120-ReLow)/(ReHigh-ReLow),CdH))+CdS*S1120</f>
        <v>0.15093077430760507</v>
      </c>
      <c r="S1120" s="4">
        <f t="shared" si="457"/>
        <v>8.8398926658915022E-2</v>
      </c>
      <c r="T1120" s="5">
        <f t="shared" ref="T1120:T1158" si="468">ClAmp*S1120^0.4</f>
        <v>8.6934127714623E-2</v>
      </c>
      <c r="U1120" s="4">
        <f t="shared" ref="U1120:U1158" si="469">IF(D1120&gt;=hwind,vxw,0)</f>
        <v>0</v>
      </c>
      <c r="V1120" s="4">
        <f t="shared" ref="V1120:V1158" si="470">IF(D1120&gt;=hwind,vyw,0)</f>
        <v>0</v>
      </c>
      <c r="W1120" s="5">
        <f t="shared" ref="W1120:W1158" si="471">-const*$R1120*$O1120*(G1120-U1120)</f>
        <v>0</v>
      </c>
      <c r="X1120" s="5">
        <f t="shared" ref="X1120:X1158" si="472">-const*$R1120*$O1120*(H1120-V1120)</f>
        <v>-11.384738335472576</v>
      </c>
      <c r="Y1120" s="5">
        <f t="shared" ref="Y1120:Y1158" si="473">-const*$R1120*$O1120*I1120</f>
        <v>16.876270783694878</v>
      </c>
      <c r="Z1120" s="5">
        <f>1</f>
        <v>1</v>
      </c>
      <c r="AA1120" s="5">
        <f>IF(M1120=0,0,const*($T1120/omega)*O1120*(wy*I1120-wz*(H1120-V1120))/Z1120)</f>
        <v>0</v>
      </c>
      <c r="AB1120" s="5">
        <f>IF(M1120=0,0,const*($T1120/omega)*O1120*(wz*(G1120-U1120)-wx*I1120)/Z1120)</f>
        <v>9.720508533708399</v>
      </c>
      <c r="AC1120" s="5">
        <f>IF(M1120=0,0,const*($T1120/omega)*O1120*(wx*(H1120-V1120)-wy*(G1120-U1120))/Z1120)</f>
        <v>6.5574585500795877</v>
      </c>
      <c r="AD1120" s="5">
        <f t="shared" si="459"/>
        <v>0</v>
      </c>
      <c r="AE1120" s="5">
        <f t="shared" si="459"/>
        <v>-1.6642298017641775</v>
      </c>
      <c r="AF1120" s="5">
        <f t="shared" ref="AF1120:AF1158" si="474">Y1120+AC1120-32.174</f>
        <v>-8.7402706662255341</v>
      </c>
      <c r="AG1120">
        <f t="shared" si="458"/>
        <v>0</v>
      </c>
    </row>
    <row r="1121" spans="1:33" x14ac:dyDescent="0.2">
      <c r="A1121">
        <f t="shared" ref="A1121:A1158" si="475">A1120+dt</f>
        <v>10.889999999999812</v>
      </c>
      <c r="B1121" s="5">
        <f t="shared" ref="B1121:B1158" si="476">B1120+G1120*dt+0.5*AD1120*dt*dt</f>
        <v>0</v>
      </c>
      <c r="C1121" s="5">
        <f t="shared" ref="C1121:C1158" si="477">C1120+H1120*dt+0.5*AE1120*dt*dt</f>
        <v>1344.4650125271864</v>
      </c>
      <c r="D1121" s="5">
        <f t="shared" ref="D1121:D1158" si="478">D1120+I1120*dt+0.5*AF1120*dt*dt</f>
        <v>-544.89780667076752</v>
      </c>
      <c r="E1121" s="2">
        <f t="shared" si="460"/>
        <v>448.15500417572883</v>
      </c>
      <c r="F1121" s="2">
        <f t="shared" ref="F1121:F1158" si="479">ATAN2(C1121,B1121)*180/PI()</f>
        <v>0</v>
      </c>
      <c r="G1121" s="3">
        <f t="shared" ref="G1121:G1158" si="480">G1120+AD1120*dt</f>
        <v>0</v>
      </c>
      <c r="H1121" s="3">
        <f t="shared" ref="H1121:H1158" si="481">H1120+AE1120*dt</f>
        <v>86.143092290642983</v>
      </c>
      <c r="I1121" s="3">
        <f t="shared" ref="I1121:I1158" si="482">I1120+AF1120*dt</f>
        <v>-127.80707168130814</v>
      </c>
      <c r="J1121" s="2">
        <f t="shared" si="461"/>
        <v>154.12747944849184</v>
      </c>
      <c r="K1121" s="2">
        <f t="shared" ref="K1121:K1158" si="483">J1121/1.467</f>
        <v>105.06303984218938</v>
      </c>
      <c r="L1121" s="5">
        <f t="shared" si="462"/>
        <v>22.704707322502649</v>
      </c>
      <c r="M1121" s="3">
        <f t="shared" si="463"/>
        <v>13.610450134246822</v>
      </c>
      <c r="N1121" s="2">
        <v>0</v>
      </c>
      <c r="O1121" s="2">
        <f t="shared" si="464"/>
        <v>154.12747944849184</v>
      </c>
      <c r="P1121" s="2">
        <f t="shared" si="465"/>
        <v>105.06303984218938</v>
      </c>
      <c r="Q1121" s="5">
        <f t="shared" si="466"/>
        <v>1.2989820298819859</v>
      </c>
      <c r="R1121" s="5">
        <f t="shared" si="467"/>
        <v>0.15091147184544312</v>
      </c>
      <c r="S1121" s="4">
        <f t="shared" ref="S1121:S1158" si="484">(M1121/O1121)</f>
        <v>8.8306447253588702E-2</v>
      </c>
      <c r="T1121" s="5">
        <f t="shared" si="468"/>
        <v>8.6897737494227939E-2</v>
      </c>
      <c r="U1121" s="4">
        <f t="shared" si="469"/>
        <v>0</v>
      </c>
      <c r="V1121" s="4">
        <f t="shared" si="470"/>
        <v>0</v>
      </c>
      <c r="W1121" s="5">
        <f t="shared" si="471"/>
        <v>0</v>
      </c>
      <c r="X1121" s="5">
        <f t="shared" si="472"/>
        <v>-11.38574956412968</v>
      </c>
      <c r="Y1121" s="5">
        <f t="shared" si="473"/>
        <v>16.892582701563981</v>
      </c>
      <c r="Z1121" s="5">
        <f>1</f>
        <v>1</v>
      </c>
      <c r="AA1121" s="5">
        <f>IF(M1121=0,0,const*($T1121/omega)*O1121*(wy*I1121-wz*(H1121-V1121))/Z1121)</f>
        <v>0</v>
      </c>
      <c r="AB1121" s="5">
        <f>IF(M1121=0,0,const*($T1121/omega)*O1121*(wz*(G1121-U1121)-wx*I1121)/Z1121)</f>
        <v>9.7270750808356627</v>
      </c>
      <c r="AC1121" s="5">
        <f>IF(M1121=0,0,const*($T1121/omega)*O1121*(wx*(H1121-V1121)-wy*(G1121-U1121))/Z1121)</f>
        <v>6.5561342997970149</v>
      </c>
      <c r="AD1121" s="5">
        <f t="shared" si="459"/>
        <v>0</v>
      </c>
      <c r="AE1121" s="5">
        <f t="shared" si="459"/>
        <v>-1.6586744832940177</v>
      </c>
      <c r="AF1121" s="5">
        <f t="shared" si="474"/>
        <v>-8.7252829986390026</v>
      </c>
      <c r="AG1121">
        <f t="shared" si="458"/>
        <v>0</v>
      </c>
    </row>
    <row r="1122" spans="1:33" x14ac:dyDescent="0.2">
      <c r="A1122">
        <f t="shared" si="475"/>
        <v>10.899999999999812</v>
      </c>
      <c r="B1122" s="5">
        <f t="shared" si="476"/>
        <v>0</v>
      </c>
      <c r="C1122" s="5">
        <f t="shared" si="477"/>
        <v>1345.3263605163688</v>
      </c>
      <c r="D1122" s="5">
        <f t="shared" si="478"/>
        <v>-546.17631365173054</v>
      </c>
      <c r="E1122" s="2">
        <f t="shared" si="460"/>
        <v>448.44212017212294</v>
      </c>
      <c r="F1122" s="2">
        <f t="shared" si="479"/>
        <v>0</v>
      </c>
      <c r="G1122" s="3">
        <f t="shared" si="480"/>
        <v>0</v>
      </c>
      <c r="H1122" s="3">
        <f t="shared" si="481"/>
        <v>86.126505545810048</v>
      </c>
      <c r="I1122" s="3">
        <f t="shared" si="482"/>
        <v>-127.89432451129453</v>
      </c>
      <c r="J1122" s="2">
        <f t="shared" si="461"/>
        <v>154.19057428952252</v>
      </c>
      <c r="K1122" s="2">
        <f t="shared" si="483"/>
        <v>105.10604927711145</v>
      </c>
      <c r="L1122" s="5">
        <f t="shared" si="462"/>
        <v>22.695416547721102</v>
      </c>
      <c r="M1122" s="3">
        <f t="shared" si="463"/>
        <v>13.601783510682662</v>
      </c>
      <c r="N1122" s="2">
        <v>0</v>
      </c>
      <c r="O1122" s="2">
        <f t="shared" si="464"/>
        <v>154.19057428952252</v>
      </c>
      <c r="P1122" s="2">
        <f t="shared" si="465"/>
        <v>105.10604927711145</v>
      </c>
      <c r="Q1122" s="5">
        <f t="shared" si="466"/>
        <v>1.2995137914145196</v>
      </c>
      <c r="R1122" s="5">
        <f t="shared" si="467"/>
        <v>0.1508921980102314</v>
      </c>
      <c r="S1122" s="4">
        <f t="shared" si="484"/>
        <v>8.8214105001922435E-2</v>
      </c>
      <c r="T1122" s="5">
        <f t="shared" si="468"/>
        <v>8.6861378420940244E-2</v>
      </c>
      <c r="U1122" s="4">
        <f t="shared" si="469"/>
        <v>0</v>
      </c>
      <c r="V1122" s="4">
        <f t="shared" si="470"/>
        <v>0</v>
      </c>
      <c r="W1122" s="5">
        <f t="shared" si="471"/>
        <v>0</v>
      </c>
      <c r="X1122" s="5">
        <f t="shared" si="472"/>
        <v>-11.386762855582642</v>
      </c>
      <c r="Y1122" s="5">
        <f t="shared" si="473"/>
        <v>16.908875317255788</v>
      </c>
      <c r="Z1122" s="5">
        <f>1</f>
        <v>1</v>
      </c>
      <c r="AA1122" s="5">
        <f>IF(M1122=0,0,const*($T1122/omega)*O1122*(wy*I1122-wz*(H1122-V1122))/Z1122)</f>
        <v>0</v>
      </c>
      <c r="AB1122" s="5">
        <f>IF(M1122=0,0,const*($T1122/omega)*O1122*(wz*(G1122-U1122)-wx*I1122)/Z1122)</f>
        <v>9.7336259725308132</v>
      </c>
      <c r="AC1122" s="5">
        <f>IF(M1122=0,0,const*($T1122/omega)*O1122*(wx*(H1122-V1122)-wy*(G1122-U1122))/Z1122)</f>
        <v>6.5548115173006165</v>
      </c>
      <c r="AD1122" s="5">
        <f t="shared" si="459"/>
        <v>0</v>
      </c>
      <c r="AE1122" s="5">
        <f t="shared" si="459"/>
        <v>-1.6531368830518289</v>
      </c>
      <c r="AF1122" s="5">
        <f t="shared" si="474"/>
        <v>-8.7103131654435941</v>
      </c>
      <c r="AG1122">
        <f t="shared" ref="AG1122:AG1158" si="485">IF($D1122*$D1123&lt;0,1,0)</f>
        <v>0</v>
      </c>
    </row>
    <row r="1123" spans="1:33" x14ac:dyDescent="0.2">
      <c r="A1123">
        <f t="shared" si="475"/>
        <v>10.909999999999812</v>
      </c>
      <c r="B1123" s="5">
        <f t="shared" si="476"/>
        <v>0</v>
      </c>
      <c r="C1123" s="5">
        <f t="shared" si="477"/>
        <v>1346.1875429149827</v>
      </c>
      <c r="D1123" s="5">
        <f t="shared" si="478"/>
        <v>-547.45569241250178</v>
      </c>
      <c r="E1123" s="2">
        <f t="shared" si="460"/>
        <v>448.72918097166092</v>
      </c>
      <c r="F1123" s="2">
        <f t="shared" si="479"/>
        <v>0</v>
      </c>
      <c r="G1123" s="3">
        <f t="shared" si="480"/>
        <v>0</v>
      </c>
      <c r="H1123" s="3">
        <f t="shared" si="481"/>
        <v>86.109974176979534</v>
      </c>
      <c r="I1123" s="3">
        <f t="shared" si="482"/>
        <v>-127.98142764294896</v>
      </c>
      <c r="J1123" s="2">
        <f t="shared" si="461"/>
        <v>154.25360117121241</v>
      </c>
      <c r="K1123" s="2">
        <f t="shared" si="483"/>
        <v>105.14901238664785</v>
      </c>
      <c r="L1123" s="5">
        <f t="shared" si="462"/>
        <v>22.686143368211543</v>
      </c>
      <c r="M1123" s="3">
        <f t="shared" si="463"/>
        <v>13.593120384025934</v>
      </c>
      <c r="N1123" s="2">
        <v>0</v>
      </c>
      <c r="O1123" s="2">
        <f t="shared" si="464"/>
        <v>154.25360117121241</v>
      </c>
      <c r="P1123" s="2">
        <f t="shared" si="465"/>
        <v>105.14901238664785</v>
      </c>
      <c r="Q1123" s="5">
        <f t="shared" si="466"/>
        <v>1.300044980187655</v>
      </c>
      <c r="R1123" s="5">
        <f t="shared" si="467"/>
        <v>0.15087295277734028</v>
      </c>
      <c r="S1123" s="4">
        <f t="shared" si="484"/>
        <v>8.8121899785914046E-2</v>
      </c>
      <c r="T1123" s="5">
        <f t="shared" si="468"/>
        <v>8.6825050511747132E-2</v>
      </c>
      <c r="U1123" s="4">
        <f t="shared" si="469"/>
        <v>0</v>
      </c>
      <c r="V1123" s="4">
        <f t="shared" si="470"/>
        <v>0</v>
      </c>
      <c r="W1123" s="5">
        <f t="shared" si="471"/>
        <v>0</v>
      </c>
      <c r="X1123" s="5">
        <f t="shared" si="472"/>
        <v>-11.387778187315501</v>
      </c>
      <c r="Y1123" s="5">
        <f t="shared" si="473"/>
        <v>16.925148614009178</v>
      </c>
      <c r="Z1123" s="5">
        <f>1</f>
        <v>1</v>
      </c>
      <c r="AA1123" s="5">
        <f>IF(M1123=0,0,const*($T1123/omega)*O1123*(wy*I1123-wz*(H1123-V1123))/Z1123)</f>
        <v>0</v>
      </c>
      <c r="AB1123" s="5">
        <f>IF(M1123=0,0,const*($T1123/omega)*O1123*(wz*(G1123-U1123)-wx*I1123)/Z1123)</f>
        <v>9.7401612169605745</v>
      </c>
      <c r="AC1123" s="5">
        <f>IF(M1123=0,0,const*($T1123/omega)*O1123*(wx*(H1123-V1123)-wy*(G1123-U1123))/Z1123)</f>
        <v>6.5534901924365396</v>
      </c>
      <c r="AD1123" s="5">
        <f t="shared" si="459"/>
        <v>0</v>
      </c>
      <c r="AE1123" s="5">
        <f t="shared" si="459"/>
        <v>-1.6476169703549264</v>
      </c>
      <c r="AF1123" s="5">
        <f t="shared" si="474"/>
        <v>-8.6953611935542838</v>
      </c>
      <c r="AG1123">
        <f t="shared" si="485"/>
        <v>0</v>
      </c>
    </row>
    <row r="1124" spans="1:33" x14ac:dyDescent="0.2">
      <c r="A1124">
        <f t="shared" si="475"/>
        <v>10.919999999999812</v>
      </c>
      <c r="B1124" s="5">
        <f t="shared" si="476"/>
        <v>0</v>
      </c>
      <c r="C1124" s="5">
        <f t="shared" si="477"/>
        <v>1347.048560275904</v>
      </c>
      <c r="D1124" s="5">
        <f t="shared" si="478"/>
        <v>-548.73594145699099</v>
      </c>
      <c r="E1124" s="2">
        <f t="shared" si="460"/>
        <v>449.01618675863466</v>
      </c>
      <c r="F1124" s="2">
        <f t="shared" si="479"/>
        <v>0</v>
      </c>
      <c r="G1124" s="3">
        <f t="shared" si="480"/>
        <v>0</v>
      </c>
      <c r="H1124" s="3">
        <f t="shared" si="481"/>
        <v>86.093498007275983</v>
      </c>
      <c r="I1124" s="3">
        <f t="shared" si="482"/>
        <v>-128.06838125488451</v>
      </c>
      <c r="J1124" s="2">
        <f t="shared" si="461"/>
        <v>154.31655995509777</v>
      </c>
      <c r="K1124" s="2">
        <f t="shared" si="483"/>
        <v>105.19192907641293</v>
      </c>
      <c r="L1124" s="5">
        <f t="shared" si="462"/>
        <v>22.676887770510771</v>
      </c>
      <c r="M1124" s="3">
        <f t="shared" si="463"/>
        <v>13.584460768409436</v>
      </c>
      <c r="N1124" s="2">
        <v>0</v>
      </c>
      <c r="O1124" s="2">
        <f t="shared" si="464"/>
        <v>154.31655995509777</v>
      </c>
      <c r="P1124" s="2">
        <f t="shared" si="465"/>
        <v>105.19192907641293</v>
      </c>
      <c r="Q1124" s="5">
        <f t="shared" si="466"/>
        <v>1.3005755950344231</v>
      </c>
      <c r="R1124" s="5">
        <f t="shared" si="467"/>
        <v>0.15085373612189942</v>
      </c>
      <c r="S1124" s="4">
        <f t="shared" si="484"/>
        <v>8.8029831486408014E-2</v>
      </c>
      <c r="T1124" s="5">
        <f t="shared" si="468"/>
        <v>8.6788753783149805E-2</v>
      </c>
      <c r="U1124" s="4">
        <f t="shared" si="469"/>
        <v>0</v>
      </c>
      <c r="V1124" s="4">
        <f t="shared" si="470"/>
        <v>0</v>
      </c>
      <c r="W1124" s="5">
        <f t="shared" si="471"/>
        <v>0</v>
      </c>
      <c r="X1124" s="5">
        <f t="shared" si="472"/>
        <v>-11.3887955369064</v>
      </c>
      <c r="Y1124" s="5">
        <f t="shared" si="473"/>
        <v>16.941402575269862</v>
      </c>
      <c r="Z1124" s="5">
        <f>1</f>
        <v>1</v>
      </c>
      <c r="AA1124" s="5">
        <f>IF(M1124=0,0,const*($T1124/omega)*O1124*(wy*I1124-wz*(H1124-V1124))/Z1124)</f>
        <v>0</v>
      </c>
      <c r="AB1124" s="5">
        <f>IF(M1124=0,0,const*($T1124/omega)*O1124*(wz*(G1124-U1124)-wx*I1124)/Z1124)</f>
        <v>9.7466808223974084</v>
      </c>
      <c r="AC1124" s="5">
        <f>IF(M1124=0,0,const*($T1124/omega)*O1124*(wx*(H1124-V1124)-wy*(G1124-U1124))/Z1124)</f>
        <v>6.5521703150958039</v>
      </c>
      <c r="AD1124" s="5">
        <f t="shared" si="459"/>
        <v>0</v>
      </c>
      <c r="AE1124" s="5">
        <f t="shared" si="459"/>
        <v>-1.6421147145089918</v>
      </c>
      <c r="AF1124" s="5">
        <f t="shared" si="474"/>
        <v>-8.6804271096343335</v>
      </c>
      <c r="AG1124">
        <f t="shared" si="485"/>
        <v>0</v>
      </c>
    </row>
    <row r="1125" spans="1:33" x14ac:dyDescent="0.2">
      <c r="A1125">
        <f t="shared" si="475"/>
        <v>10.929999999999811</v>
      </c>
      <c r="B1125" s="5">
        <f t="shared" si="476"/>
        <v>0</v>
      </c>
      <c r="C1125" s="5">
        <f t="shared" si="477"/>
        <v>1347.9094131502409</v>
      </c>
      <c r="D1125" s="5">
        <f t="shared" si="478"/>
        <v>-550.0170592908953</v>
      </c>
      <c r="E1125" s="2">
        <f t="shared" si="460"/>
        <v>449.30313771674696</v>
      </c>
      <c r="F1125" s="2">
        <f t="shared" si="479"/>
        <v>0</v>
      </c>
      <c r="G1125" s="3">
        <f t="shared" si="480"/>
        <v>0</v>
      </c>
      <c r="H1125" s="3">
        <f t="shared" si="481"/>
        <v>86.077076860130887</v>
      </c>
      <c r="I1125" s="3">
        <f t="shared" si="482"/>
        <v>-128.15518552598087</v>
      </c>
      <c r="J1125" s="2">
        <f t="shared" si="461"/>
        <v>154.3794505042153</v>
      </c>
      <c r="K1125" s="2">
        <f t="shared" si="483"/>
        <v>105.23479925304382</v>
      </c>
      <c r="L1125" s="5">
        <f t="shared" si="462"/>
        <v>22.667649740970532</v>
      </c>
      <c r="M1125" s="3">
        <f t="shared" si="463"/>
        <v>13.575804677886898</v>
      </c>
      <c r="N1125" s="2">
        <v>0</v>
      </c>
      <c r="O1125" s="2">
        <f t="shared" si="464"/>
        <v>154.3794505042153</v>
      </c>
      <c r="P1125" s="2">
        <f t="shared" si="465"/>
        <v>105.23479925304382</v>
      </c>
      <c r="Q1125" s="5">
        <f t="shared" si="466"/>
        <v>1.301105634800501</v>
      </c>
      <c r="R1125" s="5">
        <f t="shared" si="467"/>
        <v>0.15083454801880042</v>
      </c>
      <c r="S1125" s="4">
        <f t="shared" si="484"/>
        <v>8.7937899983108275E-2</v>
      </c>
      <c r="T1125" s="5">
        <f t="shared" si="468"/>
        <v>8.6752488251166826E-2</v>
      </c>
      <c r="U1125" s="4">
        <f t="shared" si="469"/>
        <v>0</v>
      </c>
      <c r="V1125" s="4">
        <f t="shared" si="470"/>
        <v>0</v>
      </c>
      <c r="W1125" s="5">
        <f t="shared" si="471"/>
        <v>0</v>
      </c>
      <c r="X1125" s="5">
        <f t="shared" si="472"/>
        <v>-11.389814882027148</v>
      </c>
      <c r="Y1125" s="5">
        <f t="shared" si="473"/>
        <v>16.957637184689911</v>
      </c>
      <c r="Z1125" s="5">
        <f>1</f>
        <v>1</v>
      </c>
      <c r="AA1125" s="5">
        <f>IF(M1125=0,0,const*($T1125/omega)*O1125*(wy*I1125-wz*(H1125-V1125))/Z1125)</f>
        <v>0</v>
      </c>
      <c r="AB1125" s="5">
        <f>IF(M1125=0,0,const*($T1125/omega)*O1125*(wz*(G1125-U1125)-wx*I1125)/Z1125)</f>
        <v>9.7531847972189851</v>
      </c>
      <c r="AC1125" s="5">
        <f>IF(M1125=0,0,const*($T1125/omega)*O1125*(wx*(H1125-V1125)-wy*(G1125-U1125))/Z1125)</f>
        <v>6.550851875214069</v>
      </c>
      <c r="AD1125" s="5">
        <f t="shared" si="459"/>
        <v>0</v>
      </c>
      <c r="AE1125" s="5">
        <f t="shared" si="459"/>
        <v>-1.6366300848081625</v>
      </c>
      <c r="AF1125" s="5">
        <f t="shared" si="474"/>
        <v>-8.66551094009602</v>
      </c>
      <c r="AG1125">
        <f t="shared" si="485"/>
        <v>0</v>
      </c>
    </row>
    <row r="1126" spans="1:33" x14ac:dyDescent="0.2">
      <c r="A1126">
        <f t="shared" si="475"/>
        <v>10.939999999999811</v>
      </c>
      <c r="B1126" s="5">
        <f t="shared" si="476"/>
        <v>0</v>
      </c>
      <c r="C1126" s="5">
        <f t="shared" si="477"/>
        <v>1348.7701020873378</v>
      </c>
      <c r="D1126" s="5">
        <f t="shared" si="478"/>
        <v>-551.29904442170221</v>
      </c>
      <c r="E1126" s="2">
        <f t="shared" si="460"/>
        <v>449.59003402911259</v>
      </c>
      <c r="F1126" s="2">
        <f t="shared" si="479"/>
        <v>0</v>
      </c>
      <c r="G1126" s="3">
        <f t="shared" si="480"/>
        <v>0</v>
      </c>
      <c r="H1126" s="3">
        <f t="shared" si="481"/>
        <v>86.060710559282811</v>
      </c>
      <c r="I1126" s="3">
        <f t="shared" si="482"/>
        <v>-128.24184063538183</v>
      </c>
      <c r="J1126" s="2">
        <f t="shared" si="461"/>
        <v>154.44227268309453</v>
      </c>
      <c r="K1126" s="2">
        <f t="shared" si="483"/>
        <v>105.2776228241953</v>
      </c>
      <c r="L1126" s="5">
        <f t="shared" si="462"/>
        <v>22.658429265759569</v>
      </c>
      <c r="M1126" s="3">
        <f t="shared" si="463"/>
        <v>13.567152126433207</v>
      </c>
      <c r="N1126" s="2">
        <v>0</v>
      </c>
      <c r="O1126" s="2">
        <f t="shared" si="464"/>
        <v>154.44227268309453</v>
      </c>
      <c r="P1126" s="2">
        <f t="shared" si="465"/>
        <v>105.2776228241953</v>
      </c>
      <c r="Q1126" s="5">
        <f t="shared" si="466"/>
        <v>1.301635098344148</v>
      </c>
      <c r="R1126" s="5">
        <f t="shared" si="467"/>
        <v>0.15081538844269959</v>
      </c>
      <c r="S1126" s="4">
        <f t="shared" si="484"/>
        <v>8.7846105154591445E-2</v>
      </c>
      <c r="T1126" s="5">
        <f t="shared" si="468"/>
        <v>8.6716253931337695E-2</v>
      </c>
      <c r="U1126" s="4">
        <f t="shared" si="469"/>
        <v>0</v>
      </c>
      <c r="V1126" s="4">
        <f t="shared" si="470"/>
        <v>0</v>
      </c>
      <c r="W1126" s="5">
        <f t="shared" si="471"/>
        <v>0</v>
      </c>
      <c r="X1126" s="5">
        <f t="shared" si="472"/>
        <v>-11.390836200442774</v>
      </c>
      <c r="Y1126" s="5">
        <f t="shared" si="473"/>
        <v>16.973852426127284</v>
      </c>
      <c r="Z1126" s="5">
        <f>1</f>
        <v>1</v>
      </c>
      <c r="AA1126" s="5">
        <f>IF(M1126=0,0,const*($T1126/omega)*O1126*(wy*I1126-wz*(H1126-V1126))/Z1126)</f>
        <v>0</v>
      </c>
      <c r="AB1126" s="5">
        <f>IF(M1126=0,0,const*($T1126/omega)*O1126*(wz*(G1126-U1126)-wx*I1126)/Z1126)</f>
        <v>9.7596731499076395</v>
      </c>
      <c r="AC1126" s="5">
        <f>IF(M1126=0,0,const*($T1126/omega)*O1126*(wx*(H1126-V1126)-wy*(G1126-U1126))/Z1126)</f>
        <v>6.5495348627713845</v>
      </c>
      <c r="AD1126" s="5">
        <f t="shared" si="459"/>
        <v>0</v>
      </c>
      <c r="AE1126" s="5">
        <f t="shared" si="459"/>
        <v>-1.6311630505351342</v>
      </c>
      <c r="AF1126" s="5">
        <f t="shared" si="474"/>
        <v>-8.6506127111013313</v>
      </c>
      <c r="AG1126">
        <f t="shared" si="485"/>
        <v>0</v>
      </c>
    </row>
    <row r="1127" spans="1:33" x14ac:dyDescent="0.2">
      <c r="A1127">
        <f t="shared" si="475"/>
        <v>10.949999999999811</v>
      </c>
      <c r="B1127" s="5">
        <f t="shared" si="476"/>
        <v>0</v>
      </c>
      <c r="C1127" s="5">
        <f t="shared" si="477"/>
        <v>1349.6306276347782</v>
      </c>
      <c r="D1127" s="5">
        <f t="shared" si="478"/>
        <v>-552.58189535869155</v>
      </c>
      <c r="E1127" s="2">
        <f t="shared" si="460"/>
        <v>449.8768758782594</v>
      </c>
      <c r="F1127" s="2">
        <f t="shared" si="479"/>
        <v>0</v>
      </c>
      <c r="G1127" s="3">
        <f t="shared" si="480"/>
        <v>0</v>
      </c>
      <c r="H1127" s="3">
        <f t="shared" si="481"/>
        <v>86.044398928777454</v>
      </c>
      <c r="I1127" s="3">
        <f t="shared" si="482"/>
        <v>-128.32834676249286</v>
      </c>
      <c r="J1127" s="2">
        <f t="shared" si="461"/>
        <v>154.50502635775061</v>
      </c>
      <c r="K1127" s="2">
        <f t="shared" si="483"/>
        <v>105.32039969853483</v>
      </c>
      <c r="L1127" s="5">
        <f t="shared" si="462"/>
        <v>22.649226330865602</v>
      </c>
      <c r="M1127" s="3">
        <f t="shared" si="463"/>
        <v>13.55850312794459</v>
      </c>
      <c r="N1127" s="2">
        <v>0</v>
      </c>
      <c r="O1127" s="2">
        <f t="shared" si="464"/>
        <v>154.50502635775061</v>
      </c>
      <c r="P1127" s="2">
        <f t="shared" si="465"/>
        <v>105.32039969853483</v>
      </c>
      <c r="Q1127" s="5">
        <f t="shared" si="466"/>
        <v>1.302163984536143</v>
      </c>
      <c r="R1127" s="5">
        <f t="shared" si="467"/>
        <v>0.15079625736802058</v>
      </c>
      <c r="S1127" s="4">
        <f t="shared" si="484"/>
        <v>8.775444687831957E-2</v>
      </c>
      <c r="T1127" s="5">
        <f t="shared" si="468"/>
        <v>8.6680050838726458E-2</v>
      </c>
      <c r="U1127" s="4">
        <f t="shared" si="469"/>
        <v>0</v>
      </c>
      <c r="V1127" s="4">
        <f t="shared" si="470"/>
        <v>0</v>
      </c>
      <c r="W1127" s="5">
        <f t="shared" si="471"/>
        <v>0</v>
      </c>
      <c r="X1127" s="5">
        <f t="shared" si="472"/>
        <v>-11.391859470011088</v>
      </c>
      <c r="Y1127" s="5">
        <f t="shared" si="473"/>
        <v>16.990048283645351</v>
      </c>
      <c r="Z1127" s="5">
        <f>1</f>
        <v>1</v>
      </c>
      <c r="AA1127" s="5">
        <f>IF(M1127=0,0,const*($T1127/omega)*O1127*(wy*I1127-wz*(H1127-V1127))/Z1127)</f>
        <v>0</v>
      </c>
      <c r="AB1127" s="5">
        <f>IF(M1127=0,0,const*($T1127/omega)*O1127*(wz*(G1127-U1127)-wx*I1127)/Z1127)</f>
        <v>9.7661458890498398</v>
      </c>
      <c r="AC1127" s="5">
        <f>IF(M1127=0,0,const*($T1127/omega)*O1127*(wx*(H1127-V1127)-wy*(G1127-U1127))/Z1127)</f>
        <v>6.5482192677919668</v>
      </c>
      <c r="AD1127" s="5">
        <f t="shared" si="459"/>
        <v>0</v>
      </c>
      <c r="AE1127" s="5">
        <f t="shared" si="459"/>
        <v>-1.6257135809612482</v>
      </c>
      <c r="AF1127" s="5">
        <f t="shared" si="474"/>
        <v>-8.6357324485626812</v>
      </c>
      <c r="AG1127">
        <f t="shared" si="485"/>
        <v>0</v>
      </c>
    </row>
    <row r="1128" spans="1:33" x14ac:dyDescent="0.2">
      <c r="A1128">
        <f t="shared" si="475"/>
        <v>10.959999999999811</v>
      </c>
      <c r="B1128" s="5">
        <f t="shared" si="476"/>
        <v>0</v>
      </c>
      <c r="C1128" s="5">
        <f t="shared" si="477"/>
        <v>1350.4909903383871</v>
      </c>
      <c r="D1128" s="5">
        <f t="shared" si="478"/>
        <v>-553.86561061293901</v>
      </c>
      <c r="E1128" s="2">
        <f t="shared" si="460"/>
        <v>450.16366344612902</v>
      </c>
      <c r="F1128" s="2">
        <f t="shared" si="479"/>
        <v>0</v>
      </c>
      <c r="G1128" s="3">
        <f t="shared" si="480"/>
        <v>0</v>
      </c>
      <c r="H1128" s="3">
        <f t="shared" si="481"/>
        <v>86.028141792967844</v>
      </c>
      <c r="I1128" s="3">
        <f t="shared" si="482"/>
        <v>-128.41470408697847</v>
      </c>
      <c r="J1128" s="2">
        <f t="shared" si="461"/>
        <v>154.56771139567678</v>
      </c>
      <c r="K1128" s="2">
        <f t="shared" si="483"/>
        <v>105.3631297857374</v>
      </c>
      <c r="L1128" s="5">
        <f t="shared" si="462"/>
        <v>22.64004092209731</v>
      </c>
      <c r="M1128" s="3">
        <f t="shared" si="463"/>
        <v>13.549857696238819</v>
      </c>
      <c r="N1128" s="2">
        <v>0</v>
      </c>
      <c r="O1128" s="2">
        <f t="shared" si="464"/>
        <v>154.56771139567678</v>
      </c>
      <c r="P1128" s="2">
        <f t="shared" si="465"/>
        <v>105.3631297857374</v>
      </c>
      <c r="Q1128" s="5">
        <f t="shared" si="466"/>
        <v>1.3026922922597231</v>
      </c>
      <c r="R1128" s="5">
        <f t="shared" si="467"/>
        <v>0.15077715476895712</v>
      </c>
      <c r="S1128" s="4">
        <f t="shared" si="484"/>
        <v>8.7662925030652969E-2</v>
      </c>
      <c r="T1128" s="5">
        <f t="shared" si="468"/>
        <v>8.6643878987925152E-2</v>
      </c>
      <c r="U1128" s="4">
        <f t="shared" si="469"/>
        <v>0</v>
      </c>
      <c r="V1128" s="4">
        <f t="shared" si="470"/>
        <v>0</v>
      </c>
      <c r="W1128" s="5">
        <f t="shared" si="471"/>
        <v>0</v>
      </c>
      <c r="X1128" s="5">
        <f t="shared" si="472"/>
        <v>-11.392884668682266</v>
      </c>
      <c r="Y1128" s="5">
        <f t="shared" si="473"/>
        <v>17.006224741512405</v>
      </c>
      <c r="Z1128" s="5">
        <f>1</f>
        <v>1</v>
      </c>
      <c r="AA1128" s="5">
        <f>IF(M1128=0,0,const*($T1128/omega)*O1128*(wy*I1128-wz*(H1128-V1128))/Z1128)</f>
        <v>0</v>
      </c>
      <c r="AB1128" s="5">
        <f>IF(M1128=0,0,const*($T1128/omega)*O1128*(wz*(G1128-U1128)-wx*I1128)/Z1128)</f>
        <v>9.7726030233356642</v>
      </c>
      <c r="AC1128" s="5">
        <f>IF(M1128=0,0,const*($T1128/omega)*O1128*(wx*(H1128-V1128)-wy*(G1128-U1128))/Z1128)</f>
        <v>6.5469050803439677</v>
      </c>
      <c r="AD1128" s="5">
        <f t="shared" si="459"/>
        <v>0</v>
      </c>
      <c r="AE1128" s="5">
        <f t="shared" si="459"/>
        <v>-1.6202816453466014</v>
      </c>
      <c r="AF1128" s="5">
        <f t="shared" si="474"/>
        <v>-8.6208701781436261</v>
      </c>
      <c r="AG1128">
        <f t="shared" si="485"/>
        <v>0</v>
      </c>
    </row>
    <row r="1129" spans="1:33" x14ac:dyDescent="0.2">
      <c r="A1129">
        <f t="shared" si="475"/>
        <v>10.969999999999811</v>
      </c>
      <c r="B1129" s="5">
        <f t="shared" si="476"/>
        <v>0</v>
      </c>
      <c r="C1129" s="5">
        <f t="shared" si="477"/>
        <v>1351.3511907422344</v>
      </c>
      <c r="D1129" s="5">
        <f t="shared" si="478"/>
        <v>-555.15018869731773</v>
      </c>
      <c r="E1129" s="2">
        <f t="shared" si="460"/>
        <v>450.45039691407811</v>
      </c>
      <c r="F1129" s="2">
        <f t="shared" si="479"/>
        <v>0</v>
      </c>
      <c r="G1129" s="3">
        <f t="shared" si="480"/>
        <v>0</v>
      </c>
      <c r="H1129" s="3">
        <f t="shared" si="481"/>
        <v>86.011938976514372</v>
      </c>
      <c r="I1129" s="3">
        <f t="shared" si="482"/>
        <v>-128.5009127887599</v>
      </c>
      <c r="J1129" s="2">
        <f t="shared" si="461"/>
        <v>154.63032766583697</v>
      </c>
      <c r="K1129" s="2">
        <f t="shared" si="483"/>
        <v>105.40581299648055</v>
      </c>
      <c r="L1129" s="5">
        <f t="shared" si="462"/>
        <v>22.63087302508632</v>
      </c>
      <c r="M1129" s="3">
        <f t="shared" si="463"/>
        <v>13.541215845055403</v>
      </c>
      <c r="N1129" s="2">
        <v>0</v>
      </c>
      <c r="O1129" s="2">
        <f t="shared" si="464"/>
        <v>154.63032766583697</v>
      </c>
      <c r="P1129" s="2">
        <f t="shared" si="465"/>
        <v>105.40581299648055</v>
      </c>
      <c r="Q1129" s="5">
        <f t="shared" si="466"/>
        <v>1.30322002041052</v>
      </c>
      <c r="R1129" s="5">
        <f t="shared" si="467"/>
        <v>0.1507580806194756</v>
      </c>
      <c r="S1129" s="4">
        <f t="shared" si="484"/>
        <v>8.757153948686297E-2</v>
      </c>
      <c r="T1129" s="5">
        <f t="shared" si="468"/>
        <v>8.6607738393057299E-2</v>
      </c>
      <c r="U1129" s="4">
        <f t="shared" si="469"/>
        <v>0</v>
      </c>
      <c r="V1129" s="4">
        <f t="shared" si="470"/>
        <v>0</v>
      </c>
      <c r="W1129" s="5">
        <f t="shared" si="471"/>
        <v>0</v>
      </c>
      <c r="X1129" s="5">
        <f t="shared" si="472"/>
        <v>-11.393911774498385</v>
      </c>
      <c r="Y1129" s="5">
        <f t="shared" si="473"/>
        <v>17.022381784201176</v>
      </c>
      <c r="Z1129" s="5">
        <f>1</f>
        <v>1</v>
      </c>
      <c r="AA1129" s="5">
        <f>IF(M1129=0,0,const*($T1129/omega)*O1129*(wy*I1129-wz*(H1129-V1129))/Z1129)</f>
        <v>0</v>
      </c>
      <c r="AB1129" s="5">
        <f>IF(M1129=0,0,const*($T1129/omega)*O1129*(wz*(G1129-U1129)-wx*I1129)/Z1129)</f>
        <v>9.7790445615582264</v>
      </c>
      <c r="AC1129" s="5">
        <f>IF(M1129=0,0,const*($T1129/omega)*O1129*(wx*(H1129-V1129)-wy*(G1129-U1129))/Z1129)</f>
        <v>6.5455922905392319</v>
      </c>
      <c r="AD1129" s="5">
        <f t="shared" si="459"/>
        <v>0</v>
      </c>
      <c r="AE1129" s="5">
        <f t="shared" si="459"/>
        <v>-1.6148672129401582</v>
      </c>
      <c r="AF1129" s="5">
        <f t="shared" si="474"/>
        <v>-8.6060259252595905</v>
      </c>
      <c r="AG1129">
        <f t="shared" si="485"/>
        <v>0</v>
      </c>
    </row>
    <row r="1130" spans="1:33" x14ac:dyDescent="0.2">
      <c r="A1130">
        <f t="shared" si="475"/>
        <v>10.97999999999981</v>
      </c>
      <c r="B1130" s="5">
        <f t="shared" si="476"/>
        <v>0</v>
      </c>
      <c r="C1130" s="5">
        <f t="shared" si="477"/>
        <v>1352.2112293886387</v>
      </c>
      <c r="D1130" s="5">
        <f t="shared" si="478"/>
        <v>-556.43562812650168</v>
      </c>
      <c r="E1130" s="2">
        <f t="shared" si="460"/>
        <v>450.73707646287954</v>
      </c>
      <c r="F1130" s="2">
        <f t="shared" si="479"/>
        <v>0</v>
      </c>
      <c r="G1130" s="3">
        <f t="shared" si="480"/>
        <v>0</v>
      </c>
      <c r="H1130" s="3">
        <f t="shared" si="481"/>
        <v>85.995790304384968</v>
      </c>
      <c r="I1130" s="3">
        <f t="shared" si="482"/>
        <v>-128.58697304801251</v>
      </c>
      <c r="J1130" s="2">
        <f t="shared" si="461"/>
        <v>154.69287503865863</v>
      </c>
      <c r="K1130" s="2">
        <f t="shared" si="483"/>
        <v>105.44844924243941</v>
      </c>
      <c r="L1130" s="5">
        <f t="shared" si="462"/>
        <v>22.621722625289138</v>
      </c>
      <c r="M1130" s="3">
        <f t="shared" si="463"/>
        <v>13.532577588055783</v>
      </c>
      <c r="N1130" s="2">
        <v>0</v>
      </c>
      <c r="O1130" s="2">
        <f t="shared" si="464"/>
        <v>154.69287503865863</v>
      </c>
      <c r="P1130" s="2">
        <f t="shared" si="465"/>
        <v>105.44844924243941</v>
      </c>
      <c r="Q1130" s="5">
        <f t="shared" si="466"/>
        <v>1.3037471678964996</v>
      </c>
      <c r="R1130" s="5">
        <f t="shared" si="467"/>
        <v>0.15073903489331775</v>
      </c>
      <c r="S1130" s="4">
        <f t="shared" si="484"/>
        <v>8.7480290121144333E-2</v>
      </c>
      <c r="T1130" s="5">
        <f t="shared" si="468"/>
        <v>8.6571629067781375E-2</v>
      </c>
      <c r="U1130" s="4">
        <f t="shared" si="469"/>
        <v>0</v>
      </c>
      <c r="V1130" s="4">
        <f t="shared" si="470"/>
        <v>0</v>
      </c>
      <c r="W1130" s="5">
        <f t="shared" si="471"/>
        <v>0</v>
      </c>
      <c r="X1130" s="5">
        <f t="shared" si="472"/>
        <v>-11.394940765593029</v>
      </c>
      <c r="Y1130" s="5">
        <f t="shared" si="473"/>
        <v>17.038519396388367</v>
      </c>
      <c r="Z1130" s="5">
        <f>1</f>
        <v>1</v>
      </c>
      <c r="AA1130" s="5">
        <f>IF(M1130=0,0,const*($T1130/omega)*O1130*(wy*I1130-wz*(H1130-V1130))/Z1130)</f>
        <v>0</v>
      </c>
      <c r="AB1130" s="5">
        <f>IF(M1130=0,0,const*($T1130/omega)*O1130*(wz*(G1130-U1130)-wx*I1130)/Z1130)</f>
        <v>9.7854705126131929</v>
      </c>
      <c r="AC1130" s="5">
        <f>IF(M1130=0,0,const*($T1130/omega)*O1130*(wx*(H1130-V1130)-wy*(G1130-U1130))/Z1130)</f>
        <v>6.5442808885330805</v>
      </c>
      <c r="AD1130" s="5">
        <f t="shared" si="459"/>
        <v>0</v>
      </c>
      <c r="AE1130" s="5">
        <f t="shared" si="459"/>
        <v>-1.6094702529798361</v>
      </c>
      <c r="AF1130" s="5">
        <f t="shared" si="474"/>
        <v>-8.5911997150785524</v>
      </c>
      <c r="AG1130">
        <f t="shared" si="485"/>
        <v>0</v>
      </c>
    </row>
    <row r="1131" spans="1:33" x14ac:dyDescent="0.2">
      <c r="A1131">
        <f t="shared" si="475"/>
        <v>10.98999999999981</v>
      </c>
      <c r="B1131" s="5">
        <f t="shared" si="476"/>
        <v>0</v>
      </c>
      <c r="C1131" s="5">
        <f t="shared" si="477"/>
        <v>1353.0711068181697</v>
      </c>
      <c r="D1131" s="5">
        <f t="shared" si="478"/>
        <v>-557.72192741696756</v>
      </c>
      <c r="E1131" s="2">
        <f t="shared" si="460"/>
        <v>451.02370227272326</v>
      </c>
      <c r="F1131" s="2">
        <f t="shared" si="479"/>
        <v>0</v>
      </c>
      <c r="G1131" s="3">
        <f t="shared" si="480"/>
        <v>0</v>
      </c>
      <c r="H1131" s="3">
        <f t="shared" si="481"/>
        <v>85.97969560185517</v>
      </c>
      <c r="I1131" s="3">
        <f t="shared" si="482"/>
        <v>-128.6728850451633</v>
      </c>
      <c r="J1131" s="2">
        <f t="shared" si="461"/>
        <v>154.75535338602501</v>
      </c>
      <c r="K1131" s="2">
        <f t="shared" si="483"/>
        <v>105.49103843628153</v>
      </c>
      <c r="L1131" s="5">
        <f t="shared" si="462"/>
        <v>22.612589707989123</v>
      </c>
      <c r="M1131" s="3">
        <f t="shared" si="463"/>
        <v>13.523942938823549</v>
      </c>
      <c r="N1131" s="2">
        <v>0</v>
      </c>
      <c r="O1131" s="2">
        <f t="shared" si="464"/>
        <v>154.75535338602501</v>
      </c>
      <c r="P1131" s="2">
        <f t="shared" si="465"/>
        <v>105.49103843628153</v>
      </c>
      <c r="Q1131" s="5">
        <f t="shared" si="466"/>
        <v>1.304273733637898</v>
      </c>
      <c r="R1131" s="5">
        <f t="shared" si="467"/>
        <v>0.15072001756400322</v>
      </c>
      <c r="S1131" s="4">
        <f t="shared" si="484"/>
        <v>8.7389176806628083E-2</v>
      </c>
      <c r="T1131" s="5">
        <f t="shared" si="468"/>
        <v>8.6535551025294352E-2</v>
      </c>
      <c r="U1131" s="4">
        <f t="shared" si="469"/>
        <v>0</v>
      </c>
      <c r="V1131" s="4">
        <f t="shared" si="470"/>
        <v>0</v>
      </c>
      <c r="W1131" s="5">
        <f t="shared" si="471"/>
        <v>0</v>
      </c>
      <c r="X1131" s="5">
        <f t="shared" si="472"/>
        <v>-11.395971620190833</v>
      </c>
      <c r="Y1131" s="5">
        <f t="shared" si="473"/>
        <v>17.054637562954099</v>
      </c>
      <c r="Z1131" s="5">
        <f>1</f>
        <v>1</v>
      </c>
      <c r="AA1131" s="5">
        <f>IF(M1131=0,0,const*($T1131/omega)*O1131*(wy*I1131-wz*(H1131-V1131))/Z1131)</f>
        <v>0</v>
      </c>
      <c r="AB1131" s="5">
        <f>IF(M1131=0,0,const*($T1131/omega)*O1131*(wz*(G1131-U1131)-wx*I1131)/Z1131)</f>
        <v>9.7918808854982018</v>
      </c>
      <c r="AC1131" s="5">
        <f>IF(M1131=0,0,const*($T1131/omega)*O1131*(wx*(H1131-V1131)-wy*(G1131-U1131))/Z1131)</f>
        <v>6.5429708645240776</v>
      </c>
      <c r="AD1131" s="5">
        <f t="shared" si="459"/>
        <v>0</v>
      </c>
      <c r="AE1131" s="5">
        <f t="shared" si="459"/>
        <v>-1.6040907346926314</v>
      </c>
      <c r="AF1131" s="5">
        <f t="shared" si="474"/>
        <v>-8.5763915725218212</v>
      </c>
      <c r="AG1131">
        <f t="shared" si="485"/>
        <v>0</v>
      </c>
    </row>
    <row r="1132" spans="1:33" x14ac:dyDescent="0.2">
      <c r="A1132">
        <f t="shared" si="475"/>
        <v>10.99999999999981</v>
      </c>
      <c r="B1132" s="5">
        <f t="shared" si="476"/>
        <v>0</v>
      </c>
      <c r="C1132" s="5">
        <f t="shared" si="477"/>
        <v>1353.9308235696515</v>
      </c>
      <c r="D1132" s="5">
        <f t="shared" si="478"/>
        <v>-559.00908508699774</v>
      </c>
      <c r="E1132" s="2">
        <f t="shared" si="460"/>
        <v>451.31027452321717</v>
      </c>
      <c r="F1132" s="2">
        <f t="shared" si="479"/>
        <v>0</v>
      </c>
      <c r="G1132" s="3">
        <f t="shared" si="480"/>
        <v>0</v>
      </c>
      <c r="H1132" s="3">
        <f t="shared" si="481"/>
        <v>85.96365469450825</v>
      </c>
      <c r="I1132" s="3">
        <f t="shared" si="482"/>
        <v>-128.75864896088851</v>
      </c>
      <c r="J1132" s="2">
        <f t="shared" si="461"/>
        <v>154.81776258126831</v>
      </c>
      <c r="K1132" s="2">
        <f t="shared" si="483"/>
        <v>105.53358049166211</v>
      </c>
      <c r="L1132" s="5">
        <f t="shared" si="462"/>
        <v>22.603474258298384</v>
      </c>
      <c r="M1132" s="3">
        <f t="shared" si="463"/>
        <v>13.515311910864616</v>
      </c>
      <c r="N1132" s="2">
        <v>0</v>
      </c>
      <c r="O1132" s="2">
        <f t="shared" si="464"/>
        <v>154.81776258126831</v>
      </c>
      <c r="P1132" s="2">
        <f t="shared" si="465"/>
        <v>105.53358049166211</v>
      </c>
      <c r="Q1132" s="5">
        <f t="shared" si="466"/>
        <v>1.3047997165671623</v>
      </c>
      <c r="R1132" s="5">
        <f t="shared" si="467"/>
        <v>0.15070102860483225</v>
      </c>
      <c r="S1132" s="4">
        <f t="shared" si="484"/>
        <v>8.729819941539356E-2</v>
      </c>
      <c r="T1132" s="5">
        <f t="shared" si="468"/>
        <v>8.6499504278334929E-2</v>
      </c>
      <c r="U1132" s="4">
        <f t="shared" si="469"/>
        <v>0</v>
      </c>
      <c r="V1132" s="4">
        <f t="shared" si="470"/>
        <v>0</v>
      </c>
      <c r="W1132" s="5">
        <f t="shared" si="471"/>
        <v>0</v>
      </c>
      <c r="X1132" s="5">
        <f t="shared" si="472"/>
        <v>-11.397004316607092</v>
      </c>
      <c r="Y1132" s="5">
        <f t="shared" si="473"/>
        <v>17.070736268981499</v>
      </c>
      <c r="Z1132" s="5">
        <f>1</f>
        <v>1</v>
      </c>
      <c r="AA1132" s="5">
        <f>IF(M1132=0,0,const*($T1132/omega)*O1132*(wy*I1132-wz*(H1132-V1132))/Z1132)</f>
        <v>0</v>
      </c>
      <c r="AB1132" s="5">
        <f>IF(M1132=0,0,const*($T1132/omega)*O1132*(wz*(G1132-U1132)-wx*I1132)/Z1132)</f>
        <v>9.7982756893123462</v>
      </c>
      <c r="AC1132" s="5">
        <f>IF(M1132=0,0,const*($T1132/omega)*O1132*(wx*(H1132-V1132)-wy*(G1132-U1132))/Z1132)</f>
        <v>6.5416622087538023</v>
      </c>
      <c r="AD1132" s="5">
        <f t="shared" si="459"/>
        <v>0</v>
      </c>
      <c r="AE1132" s="5">
        <f t="shared" si="459"/>
        <v>-1.5987286272947454</v>
      </c>
      <c r="AF1132" s="5">
        <f t="shared" si="474"/>
        <v>-8.5616015222646986</v>
      </c>
      <c r="AG1132">
        <f t="shared" si="485"/>
        <v>0</v>
      </c>
    </row>
    <row r="1133" spans="1:33" x14ac:dyDescent="0.2">
      <c r="A1133">
        <f t="shared" si="475"/>
        <v>11.00999999999981</v>
      </c>
      <c r="B1133" s="5">
        <f t="shared" si="476"/>
        <v>0</v>
      </c>
      <c r="C1133" s="5">
        <f t="shared" si="477"/>
        <v>1354.7903801801651</v>
      </c>
      <c r="D1133" s="5">
        <f t="shared" si="478"/>
        <v>-560.29709965668269</v>
      </c>
      <c r="E1133" s="2">
        <f t="shared" si="460"/>
        <v>451.5967933933884</v>
      </c>
      <c r="F1133" s="2">
        <f t="shared" si="479"/>
        <v>0</v>
      </c>
      <c r="G1133" s="3">
        <f t="shared" si="480"/>
        <v>0</v>
      </c>
      <c r="H1133" s="3">
        <f t="shared" si="481"/>
        <v>85.947667408235304</v>
      </c>
      <c r="I1133" s="3">
        <f t="shared" si="482"/>
        <v>-128.84426497611116</v>
      </c>
      <c r="J1133" s="2">
        <f t="shared" si="461"/>
        <v>154.88010249916218</v>
      </c>
      <c r="K1133" s="2">
        <f t="shared" si="483"/>
        <v>105.57607532321893</v>
      </c>
      <c r="L1133" s="5">
        <f t="shared" si="462"/>
        <v>22.594376261159685</v>
      </c>
      <c r="M1133" s="3">
        <f t="shared" si="463"/>
        <v>13.506684517607439</v>
      </c>
      <c r="N1133" s="2">
        <v>0</v>
      </c>
      <c r="O1133" s="2">
        <f t="shared" si="464"/>
        <v>154.88010249916218</v>
      </c>
      <c r="P1133" s="2">
        <f t="shared" si="465"/>
        <v>105.57607532321893</v>
      </c>
      <c r="Q1133" s="5">
        <f t="shared" si="466"/>
        <v>1.3053251156288883</v>
      </c>
      <c r="R1133" s="5">
        <f t="shared" si="467"/>
        <v>0.15068206798888809</v>
      </c>
      <c r="S1133" s="4">
        <f t="shared" si="484"/>
        <v>8.7207357818480935E-2</v>
      </c>
      <c r="T1133" s="5">
        <f t="shared" si="468"/>
        <v>8.6463488839187128E-2</v>
      </c>
      <c r="U1133" s="4">
        <f t="shared" si="469"/>
        <v>0</v>
      </c>
      <c r="V1133" s="4">
        <f t="shared" si="470"/>
        <v>0</v>
      </c>
      <c r="W1133" s="5">
        <f t="shared" si="471"/>
        <v>0</v>
      </c>
      <c r="X1133" s="5">
        <f t="shared" si="472"/>
        <v>-11.398038833247316</v>
      </c>
      <c r="Y1133" s="5">
        <f t="shared" si="473"/>
        <v>17.086815499756156</v>
      </c>
      <c r="Z1133" s="5">
        <f>1</f>
        <v>1</v>
      </c>
      <c r="AA1133" s="5">
        <f>IF(M1133=0,0,const*($T1133/omega)*O1133*(wy*I1133-wz*(H1133-V1133))/Z1133)</f>
        <v>0</v>
      </c>
      <c r="AB1133" s="5">
        <f>IF(M1133=0,0,const*($T1133/omega)*O1133*(wz*(G1133-U1133)-wx*I1133)/Z1133)</f>
        <v>9.8046549332556587</v>
      </c>
      <c r="AC1133" s="5">
        <f>IF(M1133=0,0,const*($T1133/omega)*O1133*(wx*(H1133-V1133)-wy*(G1133-U1133))/Z1133)</f>
        <v>6.5403549115066335</v>
      </c>
      <c r="AD1133" s="5">
        <f t="shared" si="459"/>
        <v>0</v>
      </c>
      <c r="AE1133" s="5">
        <f t="shared" si="459"/>
        <v>-1.5933838999916574</v>
      </c>
      <c r="AF1133" s="5">
        <f t="shared" si="474"/>
        <v>-8.5468295887372108</v>
      </c>
      <c r="AG1133">
        <f t="shared" si="485"/>
        <v>0</v>
      </c>
    </row>
    <row r="1134" spans="1:33" x14ac:dyDescent="0.2">
      <c r="A1134">
        <f t="shared" si="475"/>
        <v>11.01999999999981</v>
      </c>
      <c r="B1134" s="5">
        <f t="shared" si="476"/>
        <v>0</v>
      </c>
      <c r="C1134" s="5">
        <f t="shared" si="477"/>
        <v>1355.6497771850525</v>
      </c>
      <c r="D1134" s="5">
        <f t="shared" si="478"/>
        <v>-561.58596964792321</v>
      </c>
      <c r="E1134" s="2">
        <f t="shared" si="460"/>
        <v>451.88325906168416</v>
      </c>
      <c r="F1134" s="2">
        <f t="shared" si="479"/>
        <v>0</v>
      </c>
      <c r="G1134" s="3">
        <f t="shared" si="480"/>
        <v>0</v>
      </c>
      <c r="H1134" s="3">
        <f t="shared" si="481"/>
        <v>85.931733569235391</v>
      </c>
      <c r="I1134" s="3">
        <f t="shared" si="482"/>
        <v>-128.92973327199854</v>
      </c>
      <c r="J1134" s="2">
        <f t="shared" si="461"/>
        <v>154.94237301591434</v>
      </c>
      <c r="K1134" s="2">
        <f t="shared" si="483"/>
        <v>105.61852284656737</v>
      </c>
      <c r="L1134" s="5">
        <f t="shared" si="462"/>
        <v>22.585295701348389</v>
      </c>
      <c r="M1134" s="3">
        <f t="shared" si="463"/>
        <v>13.498060772403212</v>
      </c>
      <c r="N1134" s="2">
        <v>0</v>
      </c>
      <c r="O1134" s="2">
        <f t="shared" si="464"/>
        <v>154.94237301591434</v>
      </c>
      <c r="P1134" s="2">
        <f t="shared" si="465"/>
        <v>105.61852284656737</v>
      </c>
      <c r="Q1134" s="5">
        <f t="shared" si="466"/>
        <v>1.3058499297797586</v>
      </c>
      <c r="R1134" s="5">
        <f t="shared" si="467"/>
        <v>0.15066313568903966</v>
      </c>
      <c r="S1134" s="4">
        <f t="shared" si="484"/>
        <v>8.7116651885903465E-2</v>
      </c>
      <c r="T1134" s="5">
        <f t="shared" si="468"/>
        <v>8.6427504719683593E-2</v>
      </c>
      <c r="U1134" s="4">
        <f t="shared" si="469"/>
        <v>0</v>
      </c>
      <c r="V1134" s="4">
        <f t="shared" si="470"/>
        <v>0</v>
      </c>
      <c r="W1134" s="5">
        <f t="shared" si="471"/>
        <v>0</v>
      </c>
      <c r="X1134" s="5">
        <f t="shared" si="472"/>
        <v>-11.399075148606817</v>
      </c>
      <c r="Y1134" s="5">
        <f t="shared" si="473"/>
        <v>17.102875240765623</v>
      </c>
      <c r="Z1134" s="5">
        <f>1</f>
        <v>1</v>
      </c>
      <c r="AA1134" s="5">
        <f>IF(M1134=0,0,const*($T1134/omega)*O1134*(wy*I1134-wz*(H1134-V1134))/Z1134)</f>
        <v>0</v>
      </c>
      <c r="AB1134" s="5">
        <f>IF(M1134=0,0,const*($T1134/omega)*O1134*(wz*(G1134-U1134)-wx*I1134)/Z1134)</f>
        <v>9.8110186266285329</v>
      </c>
      <c r="AC1134" s="5">
        <f>IF(M1134=0,0,const*($T1134/omega)*O1134*(wx*(H1134-V1134)-wy*(G1134-U1134))/Z1134)</f>
        <v>6.5390489631095186</v>
      </c>
      <c r="AD1134" s="5">
        <f t="shared" si="459"/>
        <v>0</v>
      </c>
      <c r="AE1134" s="5">
        <f t="shared" si="459"/>
        <v>-1.5880565219782845</v>
      </c>
      <c r="AF1134" s="5">
        <f t="shared" si="474"/>
        <v>-8.5320757961248574</v>
      </c>
      <c r="AG1134">
        <f t="shared" si="485"/>
        <v>0</v>
      </c>
    </row>
    <row r="1135" spans="1:33" x14ac:dyDescent="0.2">
      <c r="A1135">
        <f t="shared" si="475"/>
        <v>11.029999999999809</v>
      </c>
      <c r="B1135" s="5">
        <f t="shared" si="476"/>
        <v>0</v>
      </c>
      <c r="C1135" s="5">
        <f t="shared" si="477"/>
        <v>1356.5090151179188</v>
      </c>
      <c r="D1135" s="5">
        <f t="shared" si="478"/>
        <v>-562.87569358443307</v>
      </c>
      <c r="E1135" s="2">
        <f t="shared" si="460"/>
        <v>452.16967170597292</v>
      </c>
      <c r="F1135" s="2">
        <f t="shared" si="479"/>
        <v>0</v>
      </c>
      <c r="G1135" s="3">
        <f t="shared" si="480"/>
        <v>0</v>
      </c>
      <c r="H1135" s="3">
        <f t="shared" si="481"/>
        <v>85.915853004015602</v>
      </c>
      <c r="I1135" s="3">
        <f t="shared" si="482"/>
        <v>-129.0150540299598</v>
      </c>
      <c r="J1135" s="2">
        <f t="shared" si="461"/>
        <v>155.00457400915968</v>
      </c>
      <c r="K1135" s="2">
        <f t="shared" si="483"/>
        <v>105.66092297829562</v>
      </c>
      <c r="L1135" s="5">
        <f t="shared" si="462"/>
        <v>22.576232563474274</v>
      </c>
      <c r="M1135" s="3">
        <f t="shared" si="463"/>
        <v>13.489440688526056</v>
      </c>
      <c r="N1135" s="2">
        <v>0</v>
      </c>
      <c r="O1135" s="2">
        <f t="shared" si="464"/>
        <v>155.00457400915968</v>
      </c>
      <c r="P1135" s="2">
        <f t="shared" si="465"/>
        <v>105.66092297829562</v>
      </c>
      <c r="Q1135" s="5">
        <f t="shared" si="466"/>
        <v>1.3063741579884831</v>
      </c>
      <c r="R1135" s="5">
        <f t="shared" si="467"/>
        <v>0.15064423167794405</v>
      </c>
      <c r="S1135" s="4">
        <f t="shared" si="484"/>
        <v>8.7026081486659385E-2</v>
      </c>
      <c r="T1135" s="5">
        <f t="shared" si="468"/>
        <v>8.6391551931208954E-2</v>
      </c>
      <c r="U1135" s="4">
        <f t="shared" si="469"/>
        <v>0</v>
      </c>
      <c r="V1135" s="4">
        <f t="shared" si="470"/>
        <v>0</v>
      </c>
      <c r="W1135" s="5">
        <f t="shared" si="471"/>
        <v>0</v>
      </c>
      <c r="X1135" s="5">
        <f t="shared" si="472"/>
        <v>-11.400113241270308</v>
      </c>
      <c r="Y1135" s="5">
        <f t="shared" si="473"/>
        <v>17.118915477698931</v>
      </c>
      <c r="Z1135" s="5">
        <f>1</f>
        <v>1</v>
      </c>
      <c r="AA1135" s="5">
        <f>IF(M1135=0,0,const*($T1135/omega)*O1135*(wy*I1135-wz*(H1135-V1135))/Z1135)</f>
        <v>0</v>
      </c>
      <c r="AB1135" s="5">
        <f>IF(M1135=0,0,const*($T1135/omega)*O1135*(wz*(G1135-U1135)-wx*I1135)/Z1135)</f>
        <v>9.8173667788312375</v>
      </c>
      <c r="AC1135" s="5">
        <f>IF(M1135=0,0,const*($T1135/omega)*O1135*(wx*(H1135-V1135)-wy*(G1135-U1135))/Z1135)</f>
        <v>6.5377443539317603</v>
      </c>
      <c r="AD1135" s="5">
        <f t="shared" si="459"/>
        <v>0</v>
      </c>
      <c r="AE1135" s="5">
        <f t="shared" si="459"/>
        <v>-1.5827464624390704</v>
      </c>
      <c r="AF1135" s="5">
        <f t="shared" si="474"/>
        <v>-8.5173401683693086</v>
      </c>
      <c r="AG1135">
        <f t="shared" si="485"/>
        <v>0</v>
      </c>
    </row>
    <row r="1136" spans="1:33" x14ac:dyDescent="0.2">
      <c r="A1136">
        <f t="shared" si="475"/>
        <v>11.039999999999809</v>
      </c>
      <c r="B1136" s="5">
        <f t="shared" si="476"/>
        <v>0</v>
      </c>
      <c r="C1136" s="5">
        <f t="shared" si="477"/>
        <v>1357.3680945106357</v>
      </c>
      <c r="D1136" s="5">
        <f t="shared" si="478"/>
        <v>-564.16626999174105</v>
      </c>
      <c r="E1136" s="2">
        <f t="shared" si="460"/>
        <v>452.45603150354526</v>
      </c>
      <c r="F1136" s="2">
        <f t="shared" si="479"/>
        <v>0</v>
      </c>
      <c r="G1136" s="3">
        <f t="shared" si="480"/>
        <v>0</v>
      </c>
      <c r="H1136" s="3">
        <f t="shared" si="481"/>
        <v>85.900025539391208</v>
      </c>
      <c r="I1136" s="3">
        <f t="shared" si="482"/>
        <v>-129.1002274316435</v>
      </c>
      <c r="J1136" s="2">
        <f t="shared" si="461"/>
        <v>155.06670535795277</v>
      </c>
      <c r="K1136" s="2">
        <f t="shared" si="483"/>
        <v>105.70327563595961</v>
      </c>
      <c r="L1136" s="5">
        <f t="shared" si="462"/>
        <v>22.567186831983449</v>
      </c>
      <c r="M1136" s="3">
        <f t="shared" si="463"/>
        <v>13.480824279173243</v>
      </c>
      <c r="N1136" s="2">
        <v>0</v>
      </c>
      <c r="O1136" s="2">
        <f t="shared" si="464"/>
        <v>155.06670535795277</v>
      </c>
      <c r="P1136" s="2">
        <f t="shared" si="465"/>
        <v>105.70327563595961</v>
      </c>
      <c r="Q1136" s="5">
        <f t="shared" si="466"/>
        <v>1.3068977992357371</v>
      </c>
      <c r="R1136" s="5">
        <f t="shared" si="467"/>
        <v>0.1506253559280491</v>
      </c>
      <c r="S1136" s="4">
        <f t="shared" si="484"/>
        <v>8.6935646488744231E-2</v>
      </c>
      <c r="T1136" s="5">
        <f t="shared" si="468"/>
        <v>8.6355630484703239E-2</v>
      </c>
      <c r="U1136" s="4">
        <f t="shared" si="469"/>
        <v>0</v>
      </c>
      <c r="V1136" s="4">
        <f t="shared" si="470"/>
        <v>0</v>
      </c>
      <c r="W1136" s="5">
        <f t="shared" si="471"/>
        <v>0</v>
      </c>
      <c r="X1136" s="5">
        <f t="shared" si="472"/>
        <v>-11.401153089911494</v>
      </c>
      <c r="Y1136" s="5">
        <f t="shared" si="473"/>
        <v>17.134936196446102</v>
      </c>
      <c r="Z1136" s="5">
        <f>1</f>
        <v>1</v>
      </c>
      <c r="AA1136" s="5">
        <f>IF(M1136=0,0,const*($T1136/omega)*O1136*(wy*I1136-wz*(H1136-V1136))/Z1136)</f>
        <v>0</v>
      </c>
      <c r="AB1136" s="5">
        <f>IF(M1136=0,0,const*($T1136/omega)*O1136*(wz*(G1136-U1136)-wx*I1136)/Z1136)</f>
        <v>9.8236993993633437</v>
      </c>
      <c r="AC1136" s="5">
        <f>IF(M1136=0,0,const*($T1136/omega)*O1136*(wx*(H1136-V1136)-wy*(G1136-U1136))/Z1136)</f>
        <v>6.5364410743847952</v>
      </c>
      <c r="AD1136" s="5">
        <f t="shared" ref="AD1136:AE1158" si="486">W1136+AA1136</f>
        <v>0</v>
      </c>
      <c r="AE1136" s="5">
        <f t="shared" si="486"/>
        <v>-1.5774536905481504</v>
      </c>
      <c r="AF1136" s="5">
        <f t="shared" si="474"/>
        <v>-8.5026227291691043</v>
      </c>
      <c r="AG1136">
        <f t="shared" si="485"/>
        <v>0</v>
      </c>
    </row>
    <row r="1137" spans="1:33" x14ac:dyDescent="0.2">
      <c r="A1137">
        <f t="shared" si="475"/>
        <v>11.049999999999809</v>
      </c>
      <c r="B1137" s="5">
        <f t="shared" si="476"/>
        <v>0</v>
      </c>
      <c r="C1137" s="5">
        <f t="shared" si="477"/>
        <v>1358.2270158933452</v>
      </c>
      <c r="D1137" s="5">
        <f t="shared" si="478"/>
        <v>-565.4576973971939</v>
      </c>
      <c r="E1137" s="2">
        <f t="shared" si="460"/>
        <v>452.74233863111505</v>
      </c>
      <c r="F1137" s="2">
        <f t="shared" si="479"/>
        <v>0</v>
      </c>
      <c r="G1137" s="3">
        <f t="shared" si="480"/>
        <v>0</v>
      </c>
      <c r="H1137" s="3">
        <f t="shared" si="481"/>
        <v>85.884251002485726</v>
      </c>
      <c r="I1137" s="3">
        <f t="shared" si="482"/>
        <v>-129.18525365893518</v>
      </c>
      <c r="J1137" s="2">
        <f t="shared" si="461"/>
        <v>155.12876694276079</v>
      </c>
      <c r="K1137" s="2">
        <f t="shared" si="483"/>
        <v>105.74558073807825</v>
      </c>
      <c r="L1137" s="5">
        <f t="shared" si="462"/>
        <v>22.558158491160182</v>
      </c>
      <c r="M1137" s="3">
        <f t="shared" si="463"/>
        <v>13.472211557465366</v>
      </c>
      <c r="N1137" s="2">
        <v>0</v>
      </c>
      <c r="O1137" s="2">
        <f t="shared" si="464"/>
        <v>155.12876694276079</v>
      </c>
      <c r="P1137" s="2">
        <f t="shared" si="465"/>
        <v>105.74558073807825</v>
      </c>
      <c r="Q1137" s="5">
        <f t="shared" si="466"/>
        <v>1.307420852514102</v>
      </c>
      <c r="R1137" s="5">
        <f t="shared" si="467"/>
        <v>0.15060650841159573</v>
      </c>
      <c r="S1137" s="4">
        <f t="shared" si="484"/>
        <v>8.6845346759162501E-2</v>
      </c>
      <c r="T1137" s="5">
        <f t="shared" si="468"/>
        <v>8.6319740390665076E-2</v>
      </c>
      <c r="U1137" s="4">
        <f t="shared" si="469"/>
        <v>0</v>
      </c>
      <c r="V1137" s="4">
        <f t="shared" si="470"/>
        <v>0</v>
      </c>
      <c r="W1137" s="5">
        <f t="shared" si="471"/>
        <v>0</v>
      </c>
      <c r="X1137" s="5">
        <f t="shared" si="472"/>
        <v>-11.402194673292637</v>
      </c>
      <c r="Y1137" s="5">
        <f t="shared" si="473"/>
        <v>17.150937383097588</v>
      </c>
      <c r="Z1137" s="5">
        <f>1</f>
        <v>1</v>
      </c>
      <c r="AA1137" s="5">
        <f>IF(M1137=0,0,const*($T1137/omega)*O1137*(wy*I1137-wz*(H1137-V1137))/Z1137)</f>
        <v>0</v>
      </c>
      <c r="AB1137" s="5">
        <f>IF(M1137=0,0,const*($T1137/omega)*O1137*(wz*(G1137-U1137)-wx*I1137)/Z1137)</f>
        <v>9.8300164978232143</v>
      </c>
      <c r="AC1137" s="5">
        <f>IF(M1137=0,0,const*($T1137/omega)*O1137*(wx*(H1137-V1137)-wy*(G1137-U1137))/Z1137)</f>
        <v>6.5351391149219769</v>
      </c>
      <c r="AD1137" s="5">
        <f t="shared" si="486"/>
        <v>0</v>
      </c>
      <c r="AE1137" s="5">
        <f t="shared" si="486"/>
        <v>-1.5721781754694231</v>
      </c>
      <c r="AF1137" s="5">
        <f t="shared" si="474"/>
        <v>-8.4879235019804327</v>
      </c>
      <c r="AG1137">
        <f t="shared" si="485"/>
        <v>0</v>
      </c>
    </row>
    <row r="1138" spans="1:33" x14ac:dyDescent="0.2">
      <c r="A1138">
        <f t="shared" si="475"/>
        <v>11.059999999999809</v>
      </c>
      <c r="B1138" s="5">
        <f t="shared" si="476"/>
        <v>0</v>
      </c>
      <c r="C1138" s="5">
        <f t="shared" si="477"/>
        <v>1359.0857797944614</v>
      </c>
      <c r="D1138" s="5">
        <f t="shared" si="478"/>
        <v>-566.74997432995826</v>
      </c>
      <c r="E1138" s="2">
        <f t="shared" si="460"/>
        <v>453.02859326482047</v>
      </c>
      <c r="F1138" s="2">
        <f t="shared" si="479"/>
        <v>0</v>
      </c>
      <c r="G1138" s="3">
        <f t="shared" si="480"/>
        <v>0</v>
      </c>
      <c r="H1138" s="3">
        <f t="shared" si="481"/>
        <v>85.868529220731034</v>
      </c>
      <c r="I1138" s="3">
        <f t="shared" si="482"/>
        <v>-129.27013289395498</v>
      </c>
      <c r="J1138" s="2">
        <f t="shared" si="461"/>
        <v>155.19075864545647</v>
      </c>
      <c r="K1138" s="2">
        <f t="shared" si="483"/>
        <v>105.78783820412846</v>
      </c>
      <c r="L1138" s="5">
        <f t="shared" si="462"/>
        <v>22.54914752512876</v>
      </c>
      <c r="M1138" s="3">
        <f t="shared" si="463"/>
        <v>13.463602536446583</v>
      </c>
      <c r="N1138" s="2">
        <v>0</v>
      </c>
      <c r="O1138" s="2">
        <f t="shared" si="464"/>
        <v>155.19075864545647</v>
      </c>
      <c r="P1138" s="2">
        <f t="shared" si="465"/>
        <v>105.78783820412846</v>
      </c>
      <c r="Q1138" s="5">
        <f t="shared" si="466"/>
        <v>1.3079433168280039</v>
      </c>
      <c r="R1138" s="5">
        <f t="shared" si="467"/>
        <v>0.15058768910062054</v>
      </c>
      <c r="S1138" s="4">
        <f t="shared" si="484"/>
        <v>8.6755182163939751E-2</v>
      </c>
      <c r="T1138" s="5">
        <f t="shared" si="468"/>
        <v>8.6283881659155182E-2</v>
      </c>
      <c r="U1138" s="4">
        <f t="shared" si="469"/>
        <v>0</v>
      </c>
      <c r="V1138" s="4">
        <f t="shared" si="470"/>
        <v>0</v>
      </c>
      <c r="W1138" s="5">
        <f t="shared" si="471"/>
        <v>0</v>
      </c>
      <c r="X1138" s="5">
        <f t="shared" si="472"/>
        <v>-11.403237970264186</v>
      </c>
      <c r="Y1138" s="5">
        <f t="shared" si="473"/>
        <v>17.166919023943837</v>
      </c>
      <c r="Z1138" s="5">
        <f>1</f>
        <v>1</v>
      </c>
      <c r="AA1138" s="5">
        <f>IF(M1138=0,0,const*($T1138/omega)*O1138*(wy*I1138-wz*(H1138-V1138))/Z1138)</f>
        <v>0</v>
      </c>
      <c r="AB1138" s="5">
        <f>IF(M1138=0,0,const*($T1138/omega)*O1138*(wz*(G1138-U1138)-wx*I1138)/Z1138)</f>
        <v>9.8363180839074715</v>
      </c>
      <c r="AC1138" s="5">
        <f>IF(M1138=0,0,const*($T1138/omega)*O1138*(wx*(H1138-V1138)-wy*(G1138-U1138))/Z1138)</f>
        <v>6.5338384660383602</v>
      </c>
      <c r="AD1138" s="5">
        <f t="shared" si="486"/>
        <v>0</v>
      </c>
      <c r="AE1138" s="5">
        <f t="shared" si="486"/>
        <v>-1.5669198863567146</v>
      </c>
      <c r="AF1138" s="5">
        <f t="shared" si="474"/>
        <v>-8.4732425100178013</v>
      </c>
      <c r="AG1138">
        <f t="shared" si="485"/>
        <v>0</v>
      </c>
    </row>
    <row r="1139" spans="1:33" x14ac:dyDescent="0.2">
      <c r="A1139">
        <f t="shared" si="475"/>
        <v>11.069999999999808</v>
      </c>
      <c r="B1139" s="5">
        <f t="shared" si="476"/>
        <v>0</v>
      </c>
      <c r="C1139" s="5">
        <f t="shared" si="477"/>
        <v>1359.9443867406744</v>
      </c>
      <c r="D1139" s="5">
        <f t="shared" si="478"/>
        <v>-568.04309932102331</v>
      </c>
      <c r="E1139" s="2">
        <f t="shared" si="460"/>
        <v>453.31479558022482</v>
      </c>
      <c r="F1139" s="2">
        <f t="shared" si="479"/>
        <v>0</v>
      </c>
      <c r="G1139" s="3">
        <f t="shared" si="480"/>
        <v>0</v>
      </c>
      <c r="H1139" s="3">
        <f t="shared" si="481"/>
        <v>85.852860021867471</v>
      </c>
      <c r="I1139" s="3">
        <f t="shared" si="482"/>
        <v>-129.35486531905516</v>
      </c>
      <c r="J1139" s="2">
        <f t="shared" si="461"/>
        <v>155.25268034931079</v>
      </c>
      <c r="K1139" s="2">
        <f t="shared" si="483"/>
        <v>105.83004795454042</v>
      </c>
      <c r="L1139" s="5">
        <f t="shared" si="462"/>
        <v>22.540153917855267</v>
      </c>
      <c r="M1139" s="3">
        <f t="shared" si="463"/>
        <v>13.454997229084773</v>
      </c>
      <c r="N1139" s="2">
        <v>0</v>
      </c>
      <c r="O1139" s="2">
        <f t="shared" si="464"/>
        <v>155.25268034931079</v>
      </c>
      <c r="P1139" s="2">
        <f t="shared" si="465"/>
        <v>105.83004795454042</v>
      </c>
      <c r="Q1139" s="5">
        <f t="shared" si="466"/>
        <v>1.3084651911936542</v>
      </c>
      <c r="R1139" s="5">
        <f t="shared" si="467"/>
        <v>0.15056889796695827</v>
      </c>
      <c r="S1139" s="4">
        <f t="shared" si="484"/>
        <v>8.6665152568134091E-2</v>
      </c>
      <c r="T1139" s="5">
        <f t="shared" si="468"/>
        <v>8.6248054299799412E-2</v>
      </c>
      <c r="U1139" s="4">
        <f t="shared" si="469"/>
        <v>0</v>
      </c>
      <c r="V1139" s="4">
        <f t="shared" si="470"/>
        <v>0</v>
      </c>
      <c r="W1139" s="5">
        <f t="shared" si="471"/>
        <v>0</v>
      </c>
      <c r="X1139" s="5">
        <f t="shared" si="472"/>
        <v>-11.404282959764352</v>
      </c>
      <c r="Y1139" s="5">
        <f t="shared" si="473"/>
        <v>17.182881105474731</v>
      </c>
      <c r="Z1139" s="5">
        <f>1</f>
        <v>1</v>
      </c>
      <c r="AA1139" s="5">
        <f>IF(M1139=0,0,const*($T1139/omega)*O1139*(wy*I1139-wz*(H1139-V1139))/Z1139)</f>
        <v>0</v>
      </c>
      <c r="AB1139" s="5">
        <f>IF(M1139=0,0,const*($T1139/omega)*O1139*(wz*(G1139-U1139)-wx*I1139)/Z1139)</f>
        <v>9.8426041674104461</v>
      </c>
      <c r="AC1139" s="5">
        <f>IF(M1139=0,0,const*($T1139/omega)*O1139*(wx*(H1139-V1139)-wy*(G1139-U1139))/Z1139)</f>
        <v>6.5325391182704893</v>
      </c>
      <c r="AD1139" s="5">
        <f t="shared" si="486"/>
        <v>0</v>
      </c>
      <c r="AE1139" s="5">
        <f t="shared" si="486"/>
        <v>-1.5616787923539057</v>
      </c>
      <c r="AF1139" s="5">
        <f t="shared" si="474"/>
        <v>-8.4585797762547799</v>
      </c>
      <c r="AG1139">
        <f t="shared" si="485"/>
        <v>0</v>
      </c>
    </row>
    <row r="1140" spans="1:33" x14ac:dyDescent="0.2">
      <c r="A1140">
        <f t="shared" si="475"/>
        <v>11.079999999999808</v>
      </c>
      <c r="B1140" s="5">
        <f t="shared" si="476"/>
        <v>0</v>
      </c>
      <c r="C1140" s="5">
        <f t="shared" si="477"/>
        <v>1360.8028372569536</v>
      </c>
      <c r="D1140" s="5">
        <f t="shared" si="478"/>
        <v>-569.33707090320263</v>
      </c>
      <c r="E1140" s="2">
        <f t="shared" si="460"/>
        <v>453.60094575231784</v>
      </c>
      <c r="F1140" s="2">
        <f t="shared" si="479"/>
        <v>0</v>
      </c>
      <c r="G1140" s="3">
        <f t="shared" si="480"/>
        <v>0</v>
      </c>
      <c r="H1140" s="3">
        <f t="shared" si="481"/>
        <v>85.837243233943937</v>
      </c>
      <c r="I1140" s="3">
        <f t="shared" si="482"/>
        <v>-129.43945111681771</v>
      </c>
      <c r="J1140" s="2">
        <f t="shared" si="461"/>
        <v>155.31453193898599</v>
      </c>
      <c r="K1140" s="2">
        <f t="shared" si="483"/>
        <v>105.87220991069256</v>
      </c>
      <c r="L1140" s="5">
        <f t="shared" si="462"/>
        <v>22.531177653149459</v>
      </c>
      <c r="M1140" s="3">
        <f t="shared" si="463"/>
        <v>13.446395648271775</v>
      </c>
      <c r="N1140" s="2">
        <v>0</v>
      </c>
      <c r="O1140" s="2">
        <f t="shared" si="464"/>
        <v>155.31453193898599</v>
      </c>
      <c r="P1140" s="2">
        <f t="shared" si="465"/>
        <v>105.87220991069256</v>
      </c>
      <c r="Q1140" s="5">
        <f t="shared" si="466"/>
        <v>1.3089864746389892</v>
      </c>
      <c r="R1140" s="5">
        <f t="shared" si="467"/>
        <v>0.15055013498224415</v>
      </c>
      <c r="S1140" s="4">
        <f t="shared" si="484"/>
        <v>8.6575257835848088E-2</v>
      </c>
      <c r="T1140" s="5">
        <f t="shared" si="468"/>
        <v>8.6212258321792301E-2</v>
      </c>
      <c r="U1140" s="4">
        <f t="shared" si="469"/>
        <v>0</v>
      </c>
      <c r="V1140" s="4">
        <f t="shared" si="470"/>
        <v>0</v>
      </c>
      <c r="W1140" s="5">
        <f t="shared" si="471"/>
        <v>0</v>
      </c>
      <c r="X1140" s="5">
        <f t="shared" si="472"/>
        <v>-11.405329620818708</v>
      </c>
      <c r="Y1140" s="5">
        <f t="shared" si="473"/>
        <v>17.198823614379084</v>
      </c>
      <c r="Z1140" s="5">
        <f>1</f>
        <v>1</v>
      </c>
      <c r="AA1140" s="5">
        <f>IF(M1140=0,0,const*($T1140/omega)*O1140*(wy*I1140-wz*(H1140-V1140))/Z1140)</f>
        <v>0</v>
      </c>
      <c r="AB1140" s="5">
        <f>IF(M1140=0,0,const*($T1140/omega)*O1140*(wz*(G1140-U1140)-wx*I1140)/Z1140)</f>
        <v>9.8488747582236744</v>
      </c>
      <c r="AC1140" s="5">
        <f>IF(M1140=0,0,const*($T1140/omega)*O1140*(wx*(H1140-V1140)-wy*(G1140-U1140))/Z1140)</f>
        <v>6.5312410621961892</v>
      </c>
      <c r="AD1140" s="5">
        <f t="shared" si="486"/>
        <v>0</v>
      </c>
      <c r="AE1140" s="5">
        <f t="shared" si="486"/>
        <v>-1.5564548625950341</v>
      </c>
      <c r="AF1140" s="5">
        <f t="shared" si="474"/>
        <v>-8.443935323424725</v>
      </c>
      <c r="AG1140">
        <f t="shared" si="485"/>
        <v>0</v>
      </c>
    </row>
    <row r="1141" spans="1:33" x14ac:dyDescent="0.2">
      <c r="A1141">
        <f t="shared" si="475"/>
        <v>11.089999999999808</v>
      </c>
      <c r="B1141" s="5">
        <f t="shared" si="476"/>
        <v>0</v>
      </c>
      <c r="C1141" s="5">
        <f t="shared" si="477"/>
        <v>1361.6611318665498</v>
      </c>
      <c r="D1141" s="5">
        <f t="shared" si="478"/>
        <v>-570.63188761113702</v>
      </c>
      <c r="E1141" s="2">
        <f t="shared" si="460"/>
        <v>453.88704395551662</v>
      </c>
      <c r="F1141" s="2">
        <f t="shared" si="479"/>
        <v>0</v>
      </c>
      <c r="G1141" s="3">
        <f t="shared" si="480"/>
        <v>0</v>
      </c>
      <c r="H1141" s="3">
        <f t="shared" si="481"/>
        <v>85.821678685317991</v>
      </c>
      <c r="I1141" s="3">
        <f t="shared" si="482"/>
        <v>-129.52389047005195</v>
      </c>
      <c r="J1141" s="2">
        <f t="shared" si="461"/>
        <v>155.37631330052847</v>
      </c>
      <c r="K1141" s="2">
        <f t="shared" si="483"/>
        <v>105.91432399490692</v>
      </c>
      <c r="L1141" s="5">
        <f t="shared" si="462"/>
        <v>22.522218714666508</v>
      </c>
      <c r="M1141" s="3">
        <f t="shared" si="463"/>
        <v>13.43779780682357</v>
      </c>
      <c r="N1141" s="2">
        <v>0</v>
      </c>
      <c r="O1141" s="2">
        <f t="shared" si="464"/>
        <v>155.37631330052847</v>
      </c>
      <c r="P1141" s="2">
        <f t="shared" si="465"/>
        <v>105.91432399490692</v>
      </c>
      <c r="Q1141" s="5">
        <f t="shared" si="466"/>
        <v>1.3095071662036113</v>
      </c>
      <c r="R1141" s="5">
        <f t="shared" si="467"/>
        <v>0.15053140011791633</v>
      </c>
      <c r="S1141" s="4">
        <f t="shared" si="484"/>
        <v>8.6485497830240163E-2</v>
      </c>
      <c r="T1141" s="5">
        <f t="shared" si="468"/>
        <v>8.61764937339001E-2</v>
      </c>
      <c r="U1141" s="4">
        <f t="shared" si="469"/>
        <v>0</v>
      </c>
      <c r="V1141" s="4">
        <f t="shared" si="470"/>
        <v>0</v>
      </c>
      <c r="W1141" s="5">
        <f t="shared" si="471"/>
        <v>0</v>
      </c>
      <c r="X1141" s="5">
        <f t="shared" si="472"/>
        <v>-11.406377932539804</v>
      </c>
      <c r="Y1141" s="5">
        <f t="shared" si="473"/>
        <v>17.214746537544134</v>
      </c>
      <c r="Z1141" s="5">
        <f>1</f>
        <v>1</v>
      </c>
      <c r="AA1141" s="5">
        <f>IF(M1141=0,0,const*($T1141/omega)*O1141*(wy*I1141-wz*(H1141-V1141))/Z1141)</f>
        <v>0</v>
      </c>
      <c r="AB1141" s="5">
        <f>IF(M1141=0,0,const*($T1141/omega)*O1141*(wz*(G1141-U1141)-wx*I1141)/Z1141)</f>
        <v>9.8551298663353304</v>
      </c>
      <c r="AC1141" s="5">
        <f>IF(M1141=0,0,const*($T1141/omega)*O1141*(wx*(H1141-V1141)-wy*(G1141-U1141))/Z1141)</f>
        <v>6.5299442884343462</v>
      </c>
      <c r="AD1141" s="5">
        <f t="shared" si="486"/>
        <v>0</v>
      </c>
      <c r="AE1141" s="5">
        <f t="shared" si="486"/>
        <v>-1.5512480662044741</v>
      </c>
      <c r="AF1141" s="5">
        <f t="shared" si="474"/>
        <v>-8.4293091740215189</v>
      </c>
      <c r="AG1141">
        <f t="shared" si="485"/>
        <v>0</v>
      </c>
    </row>
    <row r="1142" spans="1:33" x14ac:dyDescent="0.2">
      <c r="A1142">
        <f t="shared" si="475"/>
        <v>11.099999999999808</v>
      </c>
      <c r="B1142" s="5">
        <f t="shared" si="476"/>
        <v>0</v>
      </c>
      <c r="C1142" s="5">
        <f t="shared" si="477"/>
        <v>1362.5192710909998</v>
      </c>
      <c r="D1142" s="5">
        <f t="shared" si="478"/>
        <v>-571.92754798129624</v>
      </c>
      <c r="E1142" s="2">
        <f t="shared" si="460"/>
        <v>454.17309036366663</v>
      </c>
      <c r="F1142" s="2">
        <f t="shared" si="479"/>
        <v>0</v>
      </c>
      <c r="G1142" s="3">
        <f t="shared" si="480"/>
        <v>0</v>
      </c>
      <c r="H1142" s="3">
        <f t="shared" si="481"/>
        <v>85.806166204655952</v>
      </c>
      <c r="I1142" s="3">
        <f t="shared" si="482"/>
        <v>-129.60818356179217</v>
      </c>
      <c r="J1142" s="2">
        <f t="shared" si="461"/>
        <v>155.43802432136178</v>
      </c>
      <c r="K1142" s="2">
        <f t="shared" si="483"/>
        <v>105.95639013044429</v>
      </c>
      <c r="L1142" s="5">
        <f t="shared" si="462"/>
        <v>22.513277085908801</v>
      </c>
      <c r="M1142" s="3">
        <f t="shared" si="463"/>
        <v>13.429203717480501</v>
      </c>
      <c r="N1142" s="2">
        <v>0</v>
      </c>
      <c r="O1142" s="2">
        <f t="shared" si="464"/>
        <v>155.43802432136178</v>
      </c>
      <c r="P1142" s="2">
        <f t="shared" si="465"/>
        <v>105.95639013044429</v>
      </c>
      <c r="Q1142" s="5">
        <f t="shared" si="466"/>
        <v>1.3100272649387297</v>
      </c>
      <c r="R1142" s="5">
        <f t="shared" si="467"/>
        <v>0.15051269334521841</v>
      </c>
      <c r="S1142" s="4">
        <f t="shared" si="484"/>
        <v>8.6395872413536148E-2</v>
      </c>
      <c r="T1142" s="5">
        <f t="shared" si="468"/>
        <v>8.6140760544464082E-2</v>
      </c>
      <c r="U1142" s="4">
        <f t="shared" si="469"/>
        <v>0</v>
      </c>
      <c r="V1142" s="4">
        <f t="shared" si="470"/>
        <v>0</v>
      </c>
      <c r="W1142" s="5">
        <f t="shared" si="471"/>
        <v>0</v>
      </c>
      <c r="X1142" s="5">
        <f t="shared" si="472"/>
        <v>-11.40742787412678</v>
      </c>
      <c r="Y1142" s="5">
        <f t="shared" si="473"/>
        <v>17.230649862055056</v>
      </c>
      <c r="Z1142" s="5">
        <f>1</f>
        <v>1</v>
      </c>
      <c r="AA1142" s="5">
        <f>IF(M1142=0,0,const*($T1142/omega)*O1142*(wy*I1142-wz*(H1142-V1142))/Z1142)</f>
        <v>0</v>
      </c>
      <c r="AB1142" s="5">
        <f>IF(M1142=0,0,const*($T1142/omega)*O1142*(wz*(G1142-U1142)-wx*I1142)/Z1142)</f>
        <v>9.8613695018297332</v>
      </c>
      <c r="AC1142" s="5">
        <f>IF(M1142=0,0,const*($T1142/omega)*O1142*(wx*(H1142-V1142)-wy*(G1142-U1142))/Z1142)</f>
        <v>6.5286487876447081</v>
      </c>
      <c r="AD1142" s="5">
        <f t="shared" si="486"/>
        <v>0</v>
      </c>
      <c r="AE1142" s="5">
        <f t="shared" si="486"/>
        <v>-1.5460583722970469</v>
      </c>
      <c r="AF1142" s="5">
        <f t="shared" si="474"/>
        <v>-8.4147013503002341</v>
      </c>
      <c r="AG1142">
        <f t="shared" si="485"/>
        <v>0</v>
      </c>
    </row>
    <row r="1143" spans="1:33" x14ac:dyDescent="0.2">
      <c r="A1143">
        <f t="shared" si="475"/>
        <v>11.109999999999808</v>
      </c>
      <c r="B1143" s="5">
        <f t="shared" si="476"/>
        <v>0</v>
      </c>
      <c r="C1143" s="5">
        <f t="shared" si="477"/>
        <v>1363.3772554501277</v>
      </c>
      <c r="D1143" s="5">
        <f t="shared" si="478"/>
        <v>-573.22405055198169</v>
      </c>
      <c r="E1143" s="2">
        <f t="shared" si="460"/>
        <v>454.45908515004254</v>
      </c>
      <c r="F1143" s="2">
        <f t="shared" si="479"/>
        <v>0</v>
      </c>
      <c r="G1143" s="3">
        <f t="shared" si="480"/>
        <v>0</v>
      </c>
      <c r="H1143" s="3">
        <f t="shared" si="481"/>
        <v>85.790705620932982</v>
      </c>
      <c r="I1143" s="3">
        <f t="shared" si="482"/>
        <v>-129.69233057529519</v>
      </c>
      <c r="J1143" s="2">
        <f t="shared" si="461"/>
        <v>155.49966489027952</v>
      </c>
      <c r="K1143" s="2">
        <f t="shared" si="483"/>
        <v>105.99840824149932</v>
      </c>
      <c r="L1143" s="5">
        <f t="shared" si="462"/>
        <v>22.50435275022771</v>
      </c>
      <c r="M1143" s="3">
        <f t="shared" si="463"/>
        <v>13.420613392907457</v>
      </c>
      <c r="N1143" s="2">
        <v>0</v>
      </c>
      <c r="O1143" s="2">
        <f t="shared" si="464"/>
        <v>155.49966489027952</v>
      </c>
      <c r="P1143" s="2">
        <f t="shared" si="465"/>
        <v>105.99840824149932</v>
      </c>
      <c r="Q1143" s="5">
        <f t="shared" si="466"/>
        <v>1.3105467699070994</v>
      </c>
      <c r="R1143" s="5">
        <f t="shared" si="467"/>
        <v>0.15049401463520162</v>
      </c>
      <c r="S1143" s="4">
        <f t="shared" si="484"/>
        <v>8.6306381447040642E-2</v>
      </c>
      <c r="T1143" s="5">
        <f t="shared" si="468"/>
        <v>8.6105058761403758E-2</v>
      </c>
      <c r="U1143" s="4">
        <f t="shared" si="469"/>
        <v>0</v>
      </c>
      <c r="V1143" s="4">
        <f t="shared" si="470"/>
        <v>0</v>
      </c>
      <c r="W1143" s="5">
        <f t="shared" si="471"/>
        <v>0</v>
      </c>
      <c r="X1143" s="5">
        <f t="shared" si="472"/>
        <v>-11.408479424864947</v>
      </c>
      <c r="Y1143" s="5">
        <f t="shared" si="473"/>
        <v>17.246533575194384</v>
      </c>
      <c r="Z1143" s="5">
        <f>1</f>
        <v>1</v>
      </c>
      <c r="AA1143" s="5">
        <f>IF(M1143=0,0,const*($T1143/omega)*O1143*(wy*I1143-wz*(H1143-V1143))/Z1143)</f>
        <v>0</v>
      </c>
      <c r="AB1143" s="5">
        <f>IF(M1143=0,0,const*($T1143/omega)*O1143*(wz*(G1143-U1143)-wx*I1143)/Z1143)</f>
        <v>9.8675936748867894</v>
      </c>
      <c r="AC1143" s="5">
        <f>IF(M1143=0,0,const*($T1143/omega)*O1143*(wx*(H1143-V1143)-wy*(G1143-U1143))/Z1143)</f>
        <v>6.5273545505276758</v>
      </c>
      <c r="AD1143" s="5">
        <f t="shared" si="486"/>
        <v>0</v>
      </c>
      <c r="AE1143" s="5">
        <f t="shared" si="486"/>
        <v>-1.5408857499781572</v>
      </c>
      <c r="AF1143" s="5">
        <f t="shared" si="474"/>
        <v>-8.4001118742779397</v>
      </c>
      <c r="AG1143">
        <f t="shared" si="485"/>
        <v>0</v>
      </c>
    </row>
    <row r="1144" spans="1:33" x14ac:dyDescent="0.2">
      <c r="A1144">
        <f t="shared" si="475"/>
        <v>11.119999999999807</v>
      </c>
      <c r="B1144" s="5">
        <f t="shared" si="476"/>
        <v>0</v>
      </c>
      <c r="C1144" s="5">
        <f t="shared" si="477"/>
        <v>1364.2350854620495</v>
      </c>
      <c r="D1144" s="5">
        <f t="shared" si="478"/>
        <v>-574.52139386332829</v>
      </c>
      <c r="E1144" s="2">
        <f t="shared" si="460"/>
        <v>454.74502848734983</v>
      </c>
      <c r="F1144" s="2">
        <f t="shared" si="479"/>
        <v>0</v>
      </c>
      <c r="G1144" s="3">
        <f t="shared" si="480"/>
        <v>0</v>
      </c>
      <c r="H1144" s="3">
        <f t="shared" si="481"/>
        <v>85.775296763433204</v>
      </c>
      <c r="I1144" s="3">
        <f t="shared" si="482"/>
        <v>-129.77633169403796</v>
      </c>
      <c r="J1144" s="2">
        <f t="shared" si="461"/>
        <v>155.56123489743837</v>
      </c>
      <c r="K1144" s="2">
        <f t="shared" si="483"/>
        <v>106.04037825319588</v>
      </c>
      <c r="L1144" s="5">
        <f t="shared" si="462"/>
        <v>22.495445690825346</v>
      </c>
      <c r="M1144" s="3">
        <f t="shared" si="463"/>
        <v>13.412026845694093</v>
      </c>
      <c r="N1144" s="2">
        <v>0</v>
      </c>
      <c r="O1144" s="2">
        <f t="shared" si="464"/>
        <v>155.56123489743837</v>
      </c>
      <c r="P1144" s="2">
        <f t="shared" si="465"/>
        <v>106.04037825319588</v>
      </c>
      <c r="Q1144" s="5">
        <f t="shared" si="466"/>
        <v>1.3110656801829652</v>
      </c>
      <c r="R1144" s="5">
        <f t="shared" si="467"/>
        <v>0.15047536395872727</v>
      </c>
      <c r="S1144" s="4">
        <f t="shared" si="484"/>
        <v>8.6217024791148331E-2</v>
      </c>
      <c r="T1144" s="5">
        <f t="shared" si="468"/>
        <v>8.6069388392220045E-2</v>
      </c>
      <c r="U1144" s="4">
        <f t="shared" si="469"/>
        <v>0</v>
      </c>
      <c r="V1144" s="4">
        <f t="shared" si="470"/>
        <v>0</v>
      </c>
      <c r="W1144" s="5">
        <f t="shared" si="471"/>
        <v>0</v>
      </c>
      <c r="X1144" s="5">
        <f t="shared" si="472"/>
        <v>-11.409532564125417</v>
      </c>
      <c r="Y1144" s="5">
        <f t="shared" si="473"/>
        <v>17.262397664441519</v>
      </c>
      <c r="Z1144" s="5">
        <f>1</f>
        <v>1</v>
      </c>
      <c r="AA1144" s="5">
        <f>IF(M1144=0,0,const*($T1144/omega)*O1144*(wy*I1144-wz*(H1144-V1144))/Z1144)</f>
        <v>0</v>
      </c>
      <c r="AB1144" s="5">
        <f>IF(M1144=0,0,const*($T1144/omega)*O1144*(wz*(G1144-U1144)-wx*I1144)/Z1144)</f>
        <v>9.8738023957814676</v>
      </c>
      <c r="AC1144" s="5">
        <f>IF(M1144=0,0,const*($T1144/omega)*O1144*(wx*(H1144-V1144)-wy*(G1144-U1144))/Z1144)</f>
        <v>6.5260615678240947</v>
      </c>
      <c r="AD1144" s="5">
        <f t="shared" si="486"/>
        <v>0</v>
      </c>
      <c r="AE1144" s="5">
        <f t="shared" si="486"/>
        <v>-1.5357301683439495</v>
      </c>
      <c r="AF1144" s="5">
        <f t="shared" si="474"/>
        <v>-8.3855407677343869</v>
      </c>
      <c r="AG1144">
        <f t="shared" si="485"/>
        <v>0</v>
      </c>
    </row>
    <row r="1145" spans="1:33" x14ac:dyDescent="0.2">
      <c r="A1145">
        <f t="shared" si="475"/>
        <v>11.129999999999807</v>
      </c>
      <c r="B1145" s="5">
        <f t="shared" si="476"/>
        <v>0</v>
      </c>
      <c r="C1145" s="5">
        <f t="shared" si="477"/>
        <v>1365.0927616431754</v>
      </c>
      <c r="D1145" s="5">
        <f t="shared" si="478"/>
        <v>-575.81957645730711</v>
      </c>
      <c r="E1145" s="2">
        <f t="shared" si="460"/>
        <v>455.03092054772515</v>
      </c>
      <c r="F1145" s="2">
        <f t="shared" si="479"/>
        <v>0</v>
      </c>
      <c r="G1145" s="3">
        <f t="shared" si="480"/>
        <v>0</v>
      </c>
      <c r="H1145" s="3">
        <f t="shared" si="481"/>
        <v>85.759939461749767</v>
      </c>
      <c r="I1145" s="3">
        <f t="shared" si="482"/>
        <v>-129.8601871017153</v>
      </c>
      <c r="J1145" s="2">
        <f t="shared" si="461"/>
        <v>155.62273423435116</v>
      </c>
      <c r="K1145" s="2">
        <f t="shared" si="483"/>
        <v>106.08230009158224</v>
      </c>
      <c r="L1145" s="5">
        <f t="shared" si="462"/>
        <v>22.486555890756286</v>
      </c>
      <c r="M1145" s="3">
        <f t="shared" si="463"/>
        <v>13.403444088355036</v>
      </c>
      <c r="N1145" s="2">
        <v>0</v>
      </c>
      <c r="O1145" s="2">
        <f t="shared" si="464"/>
        <v>155.62273423435116</v>
      </c>
      <c r="P1145" s="2">
        <f t="shared" si="465"/>
        <v>106.08230009158224</v>
      </c>
      <c r="Q1145" s="5">
        <f t="shared" si="466"/>
        <v>1.3115839948519989</v>
      </c>
      <c r="R1145" s="5">
        <f t="shared" si="467"/>
        <v>0.15045674128646916</v>
      </c>
      <c r="S1145" s="4">
        <f t="shared" si="484"/>
        <v>8.6127802305355244E-2</v>
      </c>
      <c r="T1145" s="5">
        <f t="shared" si="468"/>
        <v>8.6033749443998511E-2</v>
      </c>
      <c r="U1145" s="4">
        <f t="shared" si="469"/>
        <v>0</v>
      </c>
      <c r="V1145" s="4">
        <f t="shared" si="470"/>
        <v>0</v>
      </c>
      <c r="W1145" s="5">
        <f t="shared" si="471"/>
        <v>0</v>
      </c>
      <c r="X1145" s="5">
        <f t="shared" si="472"/>
        <v>-11.410587271364729</v>
      </c>
      <c r="Y1145" s="5">
        <f t="shared" si="473"/>
        <v>17.278242117472246</v>
      </c>
      <c r="Z1145" s="5">
        <f>1</f>
        <v>1</v>
      </c>
      <c r="AA1145" s="5">
        <f>IF(M1145=0,0,const*($T1145/omega)*O1145*(wy*I1145-wz*(H1145-V1145))/Z1145)</f>
        <v>0</v>
      </c>
      <c r="AB1145" s="5">
        <f>IF(M1145=0,0,const*($T1145/omega)*O1145*(wz*(G1145-U1145)-wx*I1145)/Z1145)</f>
        <v>9.8799956748832898</v>
      </c>
      <c r="AC1145" s="5">
        <f>IF(M1145=0,0,const*($T1145/omega)*O1145*(wx*(H1145-V1145)-wy*(G1145-U1145))/Z1145)</f>
        <v>6.5247698303150568</v>
      </c>
      <c r="AD1145" s="5">
        <f t="shared" si="486"/>
        <v>0</v>
      </c>
      <c r="AE1145" s="5">
        <f t="shared" si="486"/>
        <v>-1.5305915964814396</v>
      </c>
      <c r="AF1145" s="5">
        <f t="shared" si="474"/>
        <v>-8.3709880522126952</v>
      </c>
      <c r="AG1145">
        <f t="shared" si="485"/>
        <v>0</v>
      </c>
    </row>
    <row r="1146" spans="1:33" x14ac:dyDescent="0.2">
      <c r="A1146">
        <f t="shared" si="475"/>
        <v>11.139999999999807</v>
      </c>
      <c r="B1146" s="5">
        <f t="shared" si="476"/>
        <v>0</v>
      </c>
      <c r="C1146" s="5">
        <f t="shared" si="477"/>
        <v>1365.9502845082129</v>
      </c>
      <c r="D1146" s="5">
        <f t="shared" si="478"/>
        <v>-577.11859687772687</v>
      </c>
      <c r="E1146" s="2">
        <f t="shared" si="460"/>
        <v>455.31676150273762</v>
      </c>
      <c r="F1146" s="2">
        <f t="shared" si="479"/>
        <v>0</v>
      </c>
      <c r="G1146" s="3">
        <f t="shared" si="480"/>
        <v>0</v>
      </c>
      <c r="H1146" s="3">
        <f t="shared" si="481"/>
        <v>85.74463354578495</v>
      </c>
      <c r="I1146" s="3">
        <f t="shared" si="482"/>
        <v>-129.94389698223742</v>
      </c>
      <c r="J1146" s="2">
        <f t="shared" si="461"/>
        <v>155.68416279387984</v>
      </c>
      <c r="K1146" s="2">
        <f t="shared" si="483"/>
        <v>106.12417368362632</v>
      </c>
      <c r="L1146" s="5">
        <f t="shared" si="462"/>
        <v>22.477683332929328</v>
      </c>
      <c r="M1146" s="3">
        <f t="shared" si="463"/>
        <v>13.394865133330073</v>
      </c>
      <c r="N1146" s="2">
        <v>0</v>
      </c>
      <c r="O1146" s="2">
        <f t="shared" si="464"/>
        <v>155.68416279387984</v>
      </c>
      <c r="P1146" s="2">
        <f t="shared" si="465"/>
        <v>106.12417368362632</v>
      </c>
      <c r="Q1146" s="5">
        <f t="shared" si="466"/>
        <v>1.3121017130112449</v>
      </c>
      <c r="R1146" s="5">
        <f t="shared" si="467"/>
        <v>0.15043814658891577</v>
      </c>
      <c r="S1146" s="4">
        <f t="shared" si="484"/>
        <v>8.6038713848269763E-2</v>
      </c>
      <c r="T1146" s="5">
        <f t="shared" si="468"/>
        <v>8.5998141923412375E-2</v>
      </c>
      <c r="U1146" s="4">
        <f t="shared" si="469"/>
        <v>0</v>
      </c>
      <c r="V1146" s="4">
        <f t="shared" si="470"/>
        <v>0</v>
      </c>
      <c r="W1146" s="5">
        <f t="shared" si="471"/>
        <v>0</v>
      </c>
      <c r="X1146" s="5">
        <f t="shared" si="472"/>
        <v>-11.411643526124433</v>
      </c>
      <c r="Y1146" s="5">
        <f t="shared" si="473"/>
        <v>17.29406692215813</v>
      </c>
      <c r="Z1146" s="5">
        <f>1</f>
        <v>1</v>
      </c>
      <c r="AA1146" s="5">
        <f>IF(M1146=0,0,const*($T1146/omega)*O1146*(wy*I1146-wz*(H1146-V1146))/Z1146)</f>
        <v>0</v>
      </c>
      <c r="AB1146" s="5">
        <f>IF(M1146=0,0,const*($T1146/omega)*O1146*(wz*(G1146-U1146)-wx*I1146)/Z1146)</f>
        <v>9.8861735226557652</v>
      </c>
      <c r="AC1146" s="5">
        <f>IF(M1146=0,0,const*($T1146/omega)*O1146*(wx*(H1146-V1146)-wy*(G1146-U1146))/Z1146)</f>
        <v>6.5234793288216864</v>
      </c>
      <c r="AD1146" s="5">
        <f t="shared" si="486"/>
        <v>0</v>
      </c>
      <c r="AE1146" s="5">
        <f t="shared" si="486"/>
        <v>-1.5254700034686675</v>
      </c>
      <c r="AF1146" s="5">
        <f t="shared" si="474"/>
        <v>-8.3564537490201829</v>
      </c>
      <c r="AG1146">
        <f t="shared" si="485"/>
        <v>0</v>
      </c>
    </row>
    <row r="1147" spans="1:33" x14ac:dyDescent="0.2">
      <c r="A1147">
        <f t="shared" si="475"/>
        <v>11.149999999999807</v>
      </c>
      <c r="B1147" s="5">
        <f t="shared" si="476"/>
        <v>0</v>
      </c>
      <c r="C1147" s="5">
        <f t="shared" si="477"/>
        <v>1366.8076545701706</v>
      </c>
      <c r="D1147" s="5">
        <f t="shared" si="478"/>
        <v>-578.41845367023677</v>
      </c>
      <c r="E1147" s="2">
        <f t="shared" si="460"/>
        <v>455.60255152339022</v>
      </c>
      <c r="F1147" s="2">
        <f t="shared" si="479"/>
        <v>0</v>
      </c>
      <c r="G1147" s="3">
        <f t="shared" si="480"/>
        <v>0</v>
      </c>
      <c r="H1147" s="3">
        <f t="shared" si="481"/>
        <v>85.729378845750261</v>
      </c>
      <c r="I1147" s="3">
        <f t="shared" si="482"/>
        <v>-130.02746151972761</v>
      </c>
      <c r="J1147" s="2">
        <f t="shared" si="461"/>
        <v>155.74552047022866</v>
      </c>
      <c r="K1147" s="2">
        <f t="shared" si="483"/>
        <v>106.16599895721107</v>
      </c>
      <c r="L1147" s="5">
        <f t="shared" si="462"/>
        <v>22.468828000109166</v>
      </c>
      <c r="M1147" s="3">
        <f t="shared" si="463"/>
        <v>13.386289992984372</v>
      </c>
      <c r="N1147" s="2">
        <v>0</v>
      </c>
      <c r="O1147" s="2">
        <f t="shared" si="464"/>
        <v>155.74552047022866</v>
      </c>
      <c r="P1147" s="2">
        <f t="shared" si="465"/>
        <v>106.16599895721107</v>
      </c>
      <c r="Q1147" s="5">
        <f t="shared" si="466"/>
        <v>1.3126188337690594</v>
      </c>
      <c r="R1147" s="5">
        <f t="shared" si="467"/>
        <v>0.15041957983637266</v>
      </c>
      <c r="S1147" s="4">
        <f t="shared" si="484"/>
        <v>8.594975927762373E-2</v>
      </c>
      <c r="T1147" s="5">
        <f t="shared" si="468"/>
        <v>8.5962565836725791E-2</v>
      </c>
      <c r="U1147" s="4">
        <f t="shared" si="469"/>
        <v>0</v>
      </c>
      <c r="V1147" s="4">
        <f t="shared" si="470"/>
        <v>0</v>
      </c>
      <c r="W1147" s="5">
        <f t="shared" si="471"/>
        <v>0</v>
      </c>
      <c r="X1147" s="5">
        <f t="shared" si="472"/>
        <v>-11.412701308030742</v>
      </c>
      <c r="Y1147" s="5">
        <f t="shared" si="473"/>
        <v>17.309872066566065</v>
      </c>
      <c r="Z1147" s="5">
        <f>1</f>
        <v>1</v>
      </c>
      <c r="AA1147" s="5">
        <f>IF(M1147=0,0,const*($T1147/omega)*O1147*(wy*I1147-wz*(H1147-V1147))/Z1147)</f>
        <v>0</v>
      </c>
      <c r="AB1147" s="5">
        <f>IF(M1147=0,0,const*($T1147/omega)*O1147*(wz*(G1147-U1147)-wx*I1147)/Z1147)</f>
        <v>9.8923359496559087</v>
      </c>
      <c r="AC1147" s="5">
        <f>IF(M1147=0,0,const*($T1147/omega)*O1147*(wx*(H1147-V1147)-wy*(G1147-U1147))/Z1147)</f>
        <v>6.5221900542049633</v>
      </c>
      <c r="AD1147" s="5">
        <f t="shared" si="486"/>
        <v>0</v>
      </c>
      <c r="AE1147" s="5">
        <f t="shared" si="486"/>
        <v>-1.5203653583748338</v>
      </c>
      <c r="AF1147" s="5">
        <f t="shared" si="474"/>
        <v>-8.341937879228972</v>
      </c>
      <c r="AG1147">
        <f t="shared" si="485"/>
        <v>0</v>
      </c>
    </row>
    <row r="1148" spans="1:33" x14ac:dyDescent="0.2">
      <c r="A1148">
        <f t="shared" si="475"/>
        <v>11.159999999999807</v>
      </c>
      <c r="B1148" s="5">
        <f t="shared" si="476"/>
        <v>0</v>
      </c>
      <c r="C1148" s="5">
        <f t="shared" si="477"/>
        <v>1367.6648723403603</v>
      </c>
      <c r="D1148" s="5">
        <f t="shared" si="478"/>
        <v>-579.71914538232807</v>
      </c>
      <c r="E1148" s="2">
        <f t="shared" si="460"/>
        <v>455.88829078012009</v>
      </c>
      <c r="F1148" s="2">
        <f t="shared" si="479"/>
        <v>0</v>
      </c>
      <c r="G1148" s="3">
        <f t="shared" si="480"/>
        <v>0</v>
      </c>
      <c r="H1148" s="3">
        <f t="shared" si="481"/>
        <v>85.714175192166508</v>
      </c>
      <c r="I1148" s="3">
        <f t="shared" si="482"/>
        <v>-130.11088089851989</v>
      </c>
      <c r="J1148" s="2">
        <f t="shared" si="461"/>
        <v>155.80680715893718</v>
      </c>
      <c r="K1148" s="2">
        <f t="shared" si="483"/>
        <v>106.20777584112963</v>
      </c>
      <c r="L1148" s="5">
        <f t="shared" si="462"/>
        <v>22.459989874918119</v>
      </c>
      <c r="M1148" s="3">
        <f t="shared" si="463"/>
        <v>13.377718679608686</v>
      </c>
      <c r="N1148" s="2">
        <v>0</v>
      </c>
      <c r="O1148" s="2">
        <f t="shared" si="464"/>
        <v>155.80680715893718</v>
      </c>
      <c r="P1148" s="2">
        <f t="shared" si="465"/>
        <v>106.20777584112963</v>
      </c>
      <c r="Q1148" s="5">
        <f t="shared" si="466"/>
        <v>1.3131353562450527</v>
      </c>
      <c r="R1148" s="5">
        <f t="shared" si="467"/>
        <v>0.1504010409989647</v>
      </c>
      <c r="S1148" s="4">
        <f t="shared" si="484"/>
        <v>8.5860938450283433E-2</v>
      </c>
      <c r="T1148" s="5">
        <f t="shared" si="468"/>
        <v>8.5927021189796893E-2</v>
      </c>
      <c r="U1148" s="4">
        <f t="shared" si="469"/>
        <v>0</v>
      </c>
      <c r="V1148" s="4">
        <f t="shared" si="470"/>
        <v>0</v>
      </c>
      <c r="W1148" s="5">
        <f t="shared" si="471"/>
        <v>0</v>
      </c>
      <c r="X1148" s="5">
        <f t="shared" si="472"/>
        <v>-11.413760596794138</v>
      </c>
      <c r="Y1148" s="5">
        <f t="shared" si="473"/>
        <v>17.325657538957707</v>
      </c>
      <c r="Z1148" s="5">
        <f>1</f>
        <v>1</v>
      </c>
      <c r="AA1148" s="5">
        <f>IF(M1148=0,0,const*($T1148/omega)*O1148*(wy*I1148-wz*(H1148-V1148))/Z1148)</f>
        <v>0</v>
      </c>
      <c r="AB1148" s="5">
        <f>IF(M1148=0,0,const*($T1148/omega)*O1148*(wz*(G1148-U1148)-wx*I1148)/Z1148)</f>
        <v>9.8984829665336633</v>
      </c>
      <c r="AC1148" s="5">
        <f>IF(M1148=0,0,const*($T1148/omega)*O1148*(wx*(H1148-V1148)-wy*(G1148-U1148))/Z1148)</f>
        <v>6.5209019973654954</v>
      </c>
      <c r="AD1148" s="5">
        <f t="shared" si="486"/>
        <v>0</v>
      </c>
      <c r="AE1148" s="5">
        <f t="shared" si="486"/>
        <v>-1.5152776302604742</v>
      </c>
      <c r="AF1148" s="5">
        <f t="shared" si="474"/>
        <v>-8.3274404636767976</v>
      </c>
      <c r="AG1148">
        <f t="shared" si="485"/>
        <v>0</v>
      </c>
    </row>
    <row r="1149" spans="1:33" x14ac:dyDescent="0.2">
      <c r="A1149">
        <f t="shared" si="475"/>
        <v>11.169999999999806</v>
      </c>
      <c r="B1149" s="5">
        <f t="shared" si="476"/>
        <v>0</v>
      </c>
      <c r="C1149" s="5">
        <f t="shared" si="477"/>
        <v>1368.5219383284004</v>
      </c>
      <c r="D1149" s="5">
        <f t="shared" si="478"/>
        <v>-581.02067056333647</v>
      </c>
      <c r="E1149" s="2">
        <f t="shared" si="460"/>
        <v>456.17397944280015</v>
      </c>
      <c r="F1149" s="2">
        <f t="shared" si="479"/>
        <v>0</v>
      </c>
      <c r="G1149" s="3">
        <f t="shared" si="480"/>
        <v>0</v>
      </c>
      <c r="H1149" s="3">
        <f t="shared" si="481"/>
        <v>85.699022415863908</v>
      </c>
      <c r="I1149" s="3">
        <f t="shared" si="482"/>
        <v>-130.19415530315666</v>
      </c>
      <c r="J1149" s="2">
        <f t="shared" si="461"/>
        <v>155.86802275687344</v>
      </c>
      <c r="K1149" s="2">
        <f t="shared" si="483"/>
        <v>106.24950426508073</v>
      </c>
      <c r="L1149" s="5">
        <f t="shared" si="462"/>
        <v>22.451168939837803</v>
      </c>
      <c r="M1149" s="3">
        <f t="shared" si="463"/>
        <v>13.369151205419545</v>
      </c>
      <c r="N1149" s="2">
        <v>0</v>
      </c>
      <c r="O1149" s="2">
        <f t="shared" si="464"/>
        <v>155.86802275687344</v>
      </c>
      <c r="P1149" s="2">
        <f t="shared" si="465"/>
        <v>106.24950426508073</v>
      </c>
      <c r="Q1149" s="5">
        <f t="shared" si="466"/>
        <v>1.3136512795700315</v>
      </c>
      <c r="R1149" s="5">
        <f t="shared" si="467"/>
        <v>0.15038253004663835</v>
      </c>
      <c r="S1149" s="4">
        <f t="shared" si="484"/>
        <v>8.5772251222260371E-2</v>
      </c>
      <c r="T1149" s="5">
        <f t="shared" si="468"/>
        <v>8.5891507988080887E-2</v>
      </c>
      <c r="U1149" s="4">
        <f t="shared" si="469"/>
        <v>0</v>
      </c>
      <c r="V1149" s="4">
        <f t="shared" si="470"/>
        <v>0</v>
      </c>
      <c r="W1149" s="5">
        <f t="shared" si="471"/>
        <v>0</v>
      </c>
      <c r="X1149" s="5">
        <f t="shared" si="472"/>
        <v>-11.414821372208998</v>
      </c>
      <c r="Y1149" s="5">
        <f t="shared" si="473"/>
        <v>17.341423327788945</v>
      </c>
      <c r="Z1149" s="5">
        <f>1</f>
        <v>1</v>
      </c>
      <c r="AA1149" s="5">
        <f>IF(M1149=0,0,const*($T1149/omega)*O1149*(wy*I1149-wz*(H1149-V1149))/Z1149)</f>
        <v>0</v>
      </c>
      <c r="AB1149" s="5">
        <f>IF(M1149=0,0,const*($T1149/omega)*O1149*(wz*(G1149-U1149)-wx*I1149)/Z1149)</f>
        <v>9.9046145840314122</v>
      </c>
      <c r="AC1149" s="5">
        <f>IF(M1149=0,0,const*($T1149/omega)*O1149*(wx*(H1149-V1149)-wy*(G1149-U1149))/Z1149)</f>
        <v>6.5196151492433421</v>
      </c>
      <c r="AD1149" s="5">
        <f t="shared" si="486"/>
        <v>0</v>
      </c>
      <c r="AE1149" s="5">
        <f t="shared" si="486"/>
        <v>-1.5102067881775856</v>
      </c>
      <c r="AF1149" s="5">
        <f t="shared" si="474"/>
        <v>-8.3129615229677114</v>
      </c>
      <c r="AG1149">
        <f t="shared" si="485"/>
        <v>0</v>
      </c>
    </row>
    <row r="1150" spans="1:33" x14ac:dyDescent="0.2">
      <c r="A1150">
        <f t="shared" si="475"/>
        <v>11.179999999999806</v>
      </c>
      <c r="B1150" s="5">
        <f t="shared" si="476"/>
        <v>0</v>
      </c>
      <c r="C1150" s="5">
        <f t="shared" si="477"/>
        <v>1369.3788530422196</v>
      </c>
      <c r="D1150" s="5">
        <f t="shared" si="478"/>
        <v>-582.32302776444419</v>
      </c>
      <c r="E1150" s="2">
        <f t="shared" si="460"/>
        <v>456.45961768073988</v>
      </c>
      <c r="F1150" s="2">
        <f t="shared" si="479"/>
        <v>0</v>
      </c>
      <c r="G1150" s="3">
        <f t="shared" si="480"/>
        <v>0</v>
      </c>
      <c r="H1150" s="3">
        <f t="shared" si="481"/>
        <v>85.683920347982138</v>
      </c>
      <c r="I1150" s="3">
        <f t="shared" si="482"/>
        <v>-130.27728491838633</v>
      </c>
      <c r="J1150" s="2">
        <f t="shared" si="461"/>
        <v>155.92916716222709</v>
      </c>
      <c r="K1150" s="2">
        <f t="shared" si="483"/>
        <v>106.291184159664</v>
      </c>
      <c r="L1150" s="5">
        <f t="shared" si="462"/>
        <v>22.442365177210814</v>
      </c>
      <c r="M1150" s="3">
        <f t="shared" si="463"/>
        <v>13.360587582559484</v>
      </c>
      <c r="N1150" s="2">
        <v>0</v>
      </c>
      <c r="O1150" s="2">
        <f t="shared" si="464"/>
        <v>155.92916716222709</v>
      </c>
      <c r="P1150" s="2">
        <f t="shared" si="465"/>
        <v>106.291184159664</v>
      </c>
      <c r="Q1150" s="5">
        <f t="shared" si="466"/>
        <v>1.3141666028859416</v>
      </c>
      <c r="R1150" s="5">
        <f t="shared" si="467"/>
        <v>0.15036404694916397</v>
      </c>
      <c r="S1150" s="4">
        <f t="shared" si="484"/>
        <v>8.5683697448722132E-2</v>
      </c>
      <c r="T1150" s="5">
        <f t="shared" si="468"/>
        <v>8.5856026236633146E-2</v>
      </c>
      <c r="U1150" s="4">
        <f t="shared" si="469"/>
        <v>0</v>
      </c>
      <c r="V1150" s="4">
        <f t="shared" si="470"/>
        <v>0</v>
      </c>
      <c r="W1150" s="5">
        <f t="shared" si="471"/>
        <v>0</v>
      </c>
      <c r="X1150" s="5">
        <f t="shared" si="472"/>
        <v>-11.415883614153222</v>
      </c>
      <c r="Y1150" s="5">
        <f t="shared" si="473"/>
        <v>17.357169421709372</v>
      </c>
      <c r="Z1150" s="5">
        <f>1</f>
        <v>1</v>
      </c>
      <c r="AA1150" s="5">
        <f>IF(M1150=0,0,const*($T1150/omega)*O1150*(wy*I1150-wz*(H1150-V1150))/Z1150)</f>
        <v>0</v>
      </c>
      <c r="AB1150" s="5">
        <f>IF(M1150=0,0,const*($T1150/omega)*O1150*(wz*(G1150-U1150)-wx*I1150)/Z1150)</f>
        <v>9.9107308129834308</v>
      </c>
      <c r="AC1150" s="5">
        <f>IF(M1150=0,0,const*($T1150/omega)*O1150*(wx*(H1150-V1150)-wy*(G1150-U1150))/Z1150)</f>
        <v>6.5183295008178082</v>
      </c>
      <c r="AD1150" s="5">
        <f t="shared" si="486"/>
        <v>0</v>
      </c>
      <c r="AE1150" s="5">
        <f t="shared" si="486"/>
        <v>-1.5051528011697908</v>
      </c>
      <c r="AF1150" s="5">
        <f t="shared" si="474"/>
        <v>-8.298501077472821</v>
      </c>
      <c r="AG1150">
        <f t="shared" si="485"/>
        <v>0</v>
      </c>
    </row>
    <row r="1151" spans="1:33" x14ac:dyDescent="0.2">
      <c r="A1151">
        <f t="shared" si="475"/>
        <v>11.189999999999806</v>
      </c>
      <c r="B1151" s="5">
        <f t="shared" si="476"/>
        <v>0</v>
      </c>
      <c r="C1151" s="5">
        <f t="shared" si="477"/>
        <v>1370.2356169880595</v>
      </c>
      <c r="D1151" s="5">
        <f t="shared" si="478"/>
        <v>-583.62621553868189</v>
      </c>
      <c r="E1151" s="2">
        <f t="shared" si="460"/>
        <v>456.74520566268649</v>
      </c>
      <c r="F1151" s="2">
        <f t="shared" si="479"/>
        <v>0</v>
      </c>
      <c r="G1151" s="3">
        <f t="shared" si="480"/>
        <v>0</v>
      </c>
      <c r="H1151" s="3">
        <f t="shared" si="481"/>
        <v>85.668868819970442</v>
      </c>
      <c r="I1151" s="3">
        <f t="shared" si="482"/>
        <v>-130.36026992916106</v>
      </c>
      <c r="J1151" s="2">
        <f t="shared" si="461"/>
        <v>155.99024027450255</v>
      </c>
      <c r="K1151" s="2">
        <f t="shared" si="483"/>
        <v>106.33281545637529</v>
      </c>
      <c r="L1151" s="5">
        <f t="shared" si="462"/>
        <v>22.433578569242375</v>
      </c>
      <c r="M1151" s="3">
        <f t="shared" si="463"/>
        <v>13.352027823097233</v>
      </c>
      <c r="N1151" s="2">
        <v>0</v>
      </c>
      <c r="O1151" s="2">
        <f t="shared" si="464"/>
        <v>155.99024027450255</v>
      </c>
      <c r="P1151" s="2">
        <f t="shared" si="465"/>
        <v>106.33281545637529</v>
      </c>
      <c r="Q1151" s="5">
        <f t="shared" si="466"/>
        <v>1.3146813253458081</v>
      </c>
      <c r="R1151" s="5">
        <f t="shared" si="467"/>
        <v>0.15034559167613792</v>
      </c>
      <c r="S1151" s="4">
        <f t="shared" si="484"/>
        <v>8.5595276984003044E-2</v>
      </c>
      <c r="T1151" s="5">
        <f t="shared" si="468"/>
        <v>8.5820575940112276E-2</v>
      </c>
      <c r="U1151" s="4">
        <f t="shared" si="469"/>
        <v>0</v>
      </c>
      <c r="V1151" s="4">
        <f t="shared" si="470"/>
        <v>0</v>
      </c>
      <c r="W1151" s="5">
        <f t="shared" si="471"/>
        <v>0</v>
      </c>
      <c r="X1151" s="5">
        <f t="shared" si="472"/>
        <v>-11.416947302587866</v>
      </c>
      <c r="Y1151" s="5">
        <f t="shared" si="473"/>
        <v>17.372895809561772</v>
      </c>
      <c r="Z1151" s="5">
        <f>1</f>
        <v>1</v>
      </c>
      <c r="AA1151" s="5">
        <f>IF(M1151=0,0,const*($T1151/omega)*O1151*(wy*I1151-wz*(H1151-V1151))/Z1151)</f>
        <v>0</v>
      </c>
      <c r="AB1151" s="5">
        <f>IF(M1151=0,0,const*($T1151/omega)*O1151*(wz*(G1151-U1151)-wx*I1151)/Z1151)</f>
        <v>9.9168316643153727</v>
      </c>
      <c r="AC1151" s="5">
        <f>IF(M1151=0,0,const*($T1151/omega)*O1151*(wx*(H1151-V1151)-wy*(G1151-U1151))/Z1151)</f>
        <v>6.5170450431072551</v>
      </c>
      <c r="AD1151" s="5">
        <f t="shared" si="486"/>
        <v>0</v>
      </c>
      <c r="AE1151" s="5">
        <f t="shared" si="486"/>
        <v>-1.5001156382724936</v>
      </c>
      <c r="AF1151" s="5">
        <f t="shared" si="474"/>
        <v>-8.2840591473309715</v>
      </c>
      <c r="AG1151">
        <f t="shared" si="485"/>
        <v>0</v>
      </c>
    </row>
    <row r="1152" spans="1:33" x14ac:dyDescent="0.2">
      <c r="A1152">
        <f t="shared" si="475"/>
        <v>11.199999999999806</v>
      </c>
      <c r="B1152" s="5">
        <f t="shared" si="476"/>
        <v>0</v>
      </c>
      <c r="C1152" s="5">
        <f t="shared" si="477"/>
        <v>1371.0922306704774</v>
      </c>
      <c r="D1152" s="5">
        <f t="shared" si="478"/>
        <v>-584.93023244093081</v>
      </c>
      <c r="E1152" s="2">
        <f t="shared" si="460"/>
        <v>457.03074355682583</v>
      </c>
      <c r="F1152" s="2">
        <f t="shared" si="479"/>
        <v>0</v>
      </c>
      <c r="G1152" s="3">
        <f t="shared" si="480"/>
        <v>0</v>
      </c>
      <c r="H1152" s="3">
        <f t="shared" si="481"/>
        <v>85.653867663587718</v>
      </c>
      <c r="I1152" s="3">
        <f t="shared" si="482"/>
        <v>-130.44311052063438</v>
      </c>
      <c r="J1152" s="2">
        <f t="shared" si="461"/>
        <v>156.05124199451228</v>
      </c>
      <c r="K1152" s="2">
        <f t="shared" si="483"/>
        <v>106.37439808760209</v>
      </c>
      <c r="L1152" s="5">
        <f t="shared" si="462"/>
        <v>22.424809098001987</v>
      </c>
      <c r="M1152" s="3">
        <f t="shared" si="463"/>
        <v>13.343471939027928</v>
      </c>
      <c r="N1152" s="2">
        <v>0</v>
      </c>
      <c r="O1152" s="2">
        <f t="shared" si="464"/>
        <v>156.05124199451228</v>
      </c>
      <c r="P1152" s="2">
        <f t="shared" si="465"/>
        <v>106.37439808760209</v>
      </c>
      <c r="Q1152" s="5">
        <f t="shared" si="466"/>
        <v>1.3151954461136819</v>
      </c>
      <c r="R1152" s="5">
        <f t="shared" si="467"/>
        <v>0.15032716419698494</v>
      </c>
      <c r="S1152" s="4">
        <f t="shared" si="484"/>
        <v>8.5506989681614756E-2</v>
      </c>
      <c r="T1152" s="5">
        <f t="shared" si="468"/>
        <v>8.5785157102783144E-2</v>
      </c>
      <c r="U1152" s="4">
        <f t="shared" si="469"/>
        <v>0</v>
      </c>
      <c r="V1152" s="4">
        <f t="shared" si="470"/>
        <v>0</v>
      </c>
      <c r="W1152" s="5">
        <f t="shared" si="471"/>
        <v>0</v>
      </c>
      <c r="X1152" s="5">
        <f t="shared" si="472"/>
        <v>-11.418012417556774</v>
      </c>
      <c r="Y1152" s="5">
        <f t="shared" si="473"/>
        <v>17.388602480381547</v>
      </c>
      <c r="Z1152" s="5">
        <f>1</f>
        <v>1</v>
      </c>
      <c r="AA1152" s="5">
        <f>IF(M1152=0,0,const*($T1152/omega)*O1152*(wy*I1152-wz*(H1152-V1152))/Z1152)</f>
        <v>0</v>
      </c>
      <c r="AB1152" s="5">
        <f>IF(M1152=0,0,const*($T1152/omega)*O1152*(wz*(G1152-U1152)-wx*I1152)/Z1152)</f>
        <v>9.9229171490437373</v>
      </c>
      <c r="AC1152" s="5">
        <f>IF(M1152=0,0,const*($T1152/omega)*O1152*(wx*(H1152-V1152)-wy*(G1152-U1152))/Z1152)</f>
        <v>6.5157617671689048</v>
      </c>
      <c r="AD1152" s="5">
        <f t="shared" si="486"/>
        <v>0</v>
      </c>
      <c r="AE1152" s="5">
        <f t="shared" si="486"/>
        <v>-1.4950952685130368</v>
      </c>
      <c r="AF1152" s="5">
        <f t="shared" si="474"/>
        <v>-8.269635752449549</v>
      </c>
      <c r="AG1152">
        <f t="shared" si="485"/>
        <v>0</v>
      </c>
    </row>
    <row r="1153" spans="1:33" x14ac:dyDescent="0.2">
      <c r="A1153">
        <f t="shared" si="475"/>
        <v>11.209999999999805</v>
      </c>
      <c r="B1153" s="5">
        <f t="shared" si="476"/>
        <v>0</v>
      </c>
      <c r="C1153" s="5">
        <f t="shared" si="477"/>
        <v>1371.94869459235</v>
      </c>
      <c r="D1153" s="5">
        <f t="shared" si="478"/>
        <v>-586.23507702792483</v>
      </c>
      <c r="E1153" s="2">
        <f t="shared" si="460"/>
        <v>457.31623153078334</v>
      </c>
      <c r="F1153" s="2">
        <f t="shared" si="479"/>
        <v>0</v>
      </c>
      <c r="G1153" s="3">
        <f t="shared" si="480"/>
        <v>0</v>
      </c>
      <c r="H1153" s="3">
        <f t="shared" si="481"/>
        <v>85.638916710902592</v>
      </c>
      <c r="I1153" s="3">
        <f t="shared" si="482"/>
        <v>-130.52580687815887</v>
      </c>
      <c r="J1153" s="2">
        <f t="shared" si="461"/>
        <v>156.11217222436991</v>
      </c>
      <c r="K1153" s="2">
        <f t="shared" si="483"/>
        <v>106.41593198661889</v>
      </c>
      <c r="L1153" s="5">
        <f t="shared" si="462"/>
        <v>22.416056745425077</v>
      </c>
      <c r="M1153" s="3">
        <f t="shared" si="463"/>
        <v>13.334919942273324</v>
      </c>
      <c r="N1153" s="2">
        <v>0</v>
      </c>
      <c r="O1153" s="2">
        <f t="shared" si="464"/>
        <v>156.11217222436991</v>
      </c>
      <c r="P1153" s="2">
        <f t="shared" si="465"/>
        <v>106.41593198661889</v>
      </c>
      <c r="Q1153" s="5">
        <f t="shared" si="466"/>
        <v>1.3157089643645796</v>
      </c>
      <c r="R1153" s="5">
        <f t="shared" si="467"/>
        <v>0.1503087644809602</v>
      </c>
      <c r="S1153" s="4">
        <f t="shared" si="484"/>
        <v>8.5418835394256806E-2</v>
      </c>
      <c r="T1153" s="5">
        <f t="shared" si="468"/>
        <v>8.5749769728519887E-2</v>
      </c>
      <c r="U1153" s="4">
        <f t="shared" si="469"/>
        <v>0</v>
      </c>
      <c r="V1153" s="4">
        <f t="shared" si="470"/>
        <v>0</v>
      </c>
      <c r="W1153" s="5">
        <f t="shared" si="471"/>
        <v>0</v>
      </c>
      <c r="X1153" s="5">
        <f t="shared" si="472"/>
        <v>-11.419078939186207</v>
      </c>
      <c r="Y1153" s="5">
        <f t="shared" si="473"/>
        <v>17.4042894233962</v>
      </c>
      <c r="Z1153" s="5">
        <f>1</f>
        <v>1</v>
      </c>
      <c r="AA1153" s="5">
        <f>IF(M1153=0,0,const*($T1153/omega)*O1153*(wy*I1153-wz*(H1153-V1153))/Z1153)</f>
        <v>0</v>
      </c>
      <c r="AB1153" s="5">
        <f>IF(M1153=0,0,const*($T1153/omega)*O1153*(wz*(G1153-U1153)-wx*I1153)/Z1153)</f>
        <v>9.9289872782753434</v>
      </c>
      <c r="AC1153" s="5">
        <f>IF(M1153=0,0,const*($T1153/omega)*O1153*(wx*(H1153-V1153)-wy*(G1153-U1153))/Z1153)</f>
        <v>6.5144796640986486</v>
      </c>
      <c r="AD1153" s="5">
        <f t="shared" si="486"/>
        <v>0</v>
      </c>
      <c r="AE1153" s="5">
        <f t="shared" si="486"/>
        <v>-1.4900916609108634</v>
      </c>
      <c r="AF1153" s="5">
        <f t="shared" si="474"/>
        <v>-8.2552309125051515</v>
      </c>
      <c r="AG1153">
        <f t="shared" si="485"/>
        <v>0</v>
      </c>
    </row>
    <row r="1154" spans="1:33" x14ac:dyDescent="0.2">
      <c r="A1154">
        <f t="shared" si="475"/>
        <v>11.219999999999805</v>
      </c>
      <c r="B1154" s="5">
        <f t="shared" si="476"/>
        <v>0</v>
      </c>
      <c r="C1154" s="5">
        <f t="shared" si="477"/>
        <v>1372.8050092548758</v>
      </c>
      <c r="D1154" s="5">
        <f t="shared" si="478"/>
        <v>-587.54074785825196</v>
      </c>
      <c r="E1154" s="2">
        <f t="shared" si="460"/>
        <v>457.60166975162525</v>
      </c>
      <c r="F1154" s="2">
        <f t="shared" si="479"/>
        <v>0</v>
      </c>
      <c r="G1154" s="3">
        <f t="shared" si="480"/>
        <v>0</v>
      </c>
      <c r="H1154" s="3">
        <f t="shared" si="481"/>
        <v>85.624015794293484</v>
      </c>
      <c r="I1154" s="3">
        <f t="shared" si="482"/>
        <v>-130.60835918728392</v>
      </c>
      <c r="J1154" s="2">
        <f t="shared" si="461"/>
        <v>156.17303086748362</v>
      </c>
      <c r="K1154" s="2">
        <f t="shared" si="483"/>
        <v>106.45741708758256</v>
      </c>
      <c r="L1154" s="5">
        <f t="shared" si="462"/>
        <v>22.407321493314591</v>
      </c>
      <c r="M1154" s="3">
        <f t="shared" si="463"/>
        <v>13.326371844681988</v>
      </c>
      <c r="N1154" s="2">
        <v>0</v>
      </c>
      <c r="O1154" s="2">
        <f t="shared" si="464"/>
        <v>156.17303086748362</v>
      </c>
      <c r="P1154" s="2">
        <f t="shared" si="465"/>
        <v>106.45741708758256</v>
      </c>
      <c r="Q1154" s="5">
        <f t="shared" si="466"/>
        <v>1.3162218792844276</v>
      </c>
      <c r="R1154" s="5">
        <f t="shared" si="467"/>
        <v>0.15029039249715156</v>
      </c>
      <c r="S1154" s="4">
        <f t="shared" si="484"/>
        <v>8.533081397382701E-2</v>
      </c>
      <c r="T1154" s="5">
        <f t="shared" si="468"/>
        <v>8.5714413820808952E-2</v>
      </c>
      <c r="U1154" s="4">
        <f t="shared" si="469"/>
        <v>0</v>
      </c>
      <c r="V1154" s="4">
        <f t="shared" si="470"/>
        <v>0</v>
      </c>
      <c r="W1154" s="5">
        <f t="shared" si="471"/>
        <v>0</v>
      </c>
      <c r="X1154" s="5">
        <f t="shared" si="472"/>
        <v>-11.420146847684492</v>
      </c>
      <c r="Y1154" s="5">
        <f t="shared" si="473"/>
        <v>17.419956628024817</v>
      </c>
      <c r="Z1154" s="5">
        <f>1</f>
        <v>1</v>
      </c>
      <c r="AA1154" s="5">
        <f>IF(M1154=0,0,const*($T1154/omega)*O1154*(wy*I1154-wz*(H1154-V1154))/Z1154)</f>
        <v>0</v>
      </c>
      <c r="AB1154" s="5">
        <f>IF(M1154=0,0,const*($T1154/omega)*O1154*(wz*(G1154-U1154)-wx*I1154)/Z1154)</f>
        <v>9.9350420632068168</v>
      </c>
      <c r="AC1154" s="5">
        <f>IF(M1154=0,0,const*($T1154/omega)*O1154*(wx*(H1154-V1154)-wy*(G1154-U1154))/Z1154)</f>
        <v>6.5131987250308621</v>
      </c>
      <c r="AD1154" s="5">
        <f t="shared" si="486"/>
        <v>0</v>
      </c>
      <c r="AE1154" s="5">
        <f t="shared" si="486"/>
        <v>-1.4851047844776755</v>
      </c>
      <c r="AF1154" s="5">
        <f t="shared" si="474"/>
        <v>-8.2408446469443213</v>
      </c>
      <c r="AG1154">
        <f t="shared" si="485"/>
        <v>0</v>
      </c>
    </row>
    <row r="1155" spans="1:33" x14ac:dyDescent="0.2">
      <c r="A1155">
        <f t="shared" si="475"/>
        <v>11.229999999999805</v>
      </c>
      <c r="B1155" s="5">
        <f t="shared" si="476"/>
        <v>0</v>
      </c>
      <c r="C1155" s="5">
        <f t="shared" si="477"/>
        <v>1373.6611751575795</v>
      </c>
      <c r="D1155" s="5">
        <f t="shared" si="478"/>
        <v>-588.84724349235717</v>
      </c>
      <c r="E1155" s="2">
        <f t="shared" si="460"/>
        <v>457.8870583858598</v>
      </c>
      <c r="F1155" s="2">
        <f t="shared" si="479"/>
        <v>0</v>
      </c>
      <c r="G1155" s="3">
        <f t="shared" si="480"/>
        <v>0</v>
      </c>
      <c r="H1155" s="3">
        <f t="shared" si="481"/>
        <v>85.609164746448712</v>
      </c>
      <c r="I1155" s="3">
        <f t="shared" si="482"/>
        <v>-130.69076763375335</v>
      </c>
      <c r="J1155" s="2">
        <f t="shared" si="461"/>
        <v>156.23381782854923</v>
      </c>
      <c r="K1155" s="2">
        <f t="shared" si="483"/>
        <v>106.49885332552776</v>
      </c>
      <c r="L1155" s="5">
        <f t="shared" si="462"/>
        <v>22.398603323342623</v>
      </c>
      <c r="M1155" s="3">
        <f t="shared" si="463"/>
        <v>13.317827658029527</v>
      </c>
      <c r="N1155" s="2">
        <v>0</v>
      </c>
      <c r="O1155" s="2">
        <f t="shared" si="464"/>
        <v>156.23381782854923</v>
      </c>
      <c r="P1155" s="2">
        <f t="shared" si="465"/>
        <v>106.49885332552776</v>
      </c>
      <c r="Q1155" s="5">
        <f t="shared" si="466"/>
        <v>1.3167341900700051</v>
      </c>
      <c r="R1155" s="5">
        <f t="shared" si="467"/>
        <v>0.1502720482144817</v>
      </c>
      <c r="S1155" s="4">
        <f t="shared" si="484"/>
        <v>8.5242925271431902E-2</v>
      </c>
      <c r="T1155" s="5">
        <f t="shared" si="468"/>
        <v>8.5679089382751997E-2</v>
      </c>
      <c r="U1155" s="4">
        <f t="shared" si="469"/>
        <v>0</v>
      </c>
      <c r="V1155" s="4">
        <f t="shared" si="470"/>
        <v>0</v>
      </c>
      <c r="W1155" s="5">
        <f t="shared" si="471"/>
        <v>0</v>
      </c>
      <c r="X1155" s="5">
        <f t="shared" si="472"/>
        <v>-11.421216123341647</v>
      </c>
      <c r="Y1155" s="5">
        <f t="shared" si="473"/>
        <v>17.435604083877475</v>
      </c>
      <c r="Z1155" s="5">
        <f>1</f>
        <v>1</v>
      </c>
      <c r="AA1155" s="5">
        <f>IF(M1155=0,0,const*($T1155/omega)*O1155*(wy*I1155-wz*(H1155-V1155))/Z1155)</f>
        <v>0</v>
      </c>
      <c r="AB1155" s="5">
        <f>IF(M1155=0,0,const*($T1155/omega)*O1155*(wz*(G1155-U1155)-wx*I1155)/Z1155)</f>
        <v>9.9410815151240506</v>
      </c>
      <c r="AC1155" s="5">
        <f>IF(M1155=0,0,const*($T1155/omega)*O1155*(wx*(H1155-V1155)-wy*(G1155-U1155))/Z1155)</f>
        <v>6.5119189411382088</v>
      </c>
      <c r="AD1155" s="5">
        <f t="shared" si="486"/>
        <v>0</v>
      </c>
      <c r="AE1155" s="5">
        <f t="shared" si="486"/>
        <v>-1.4801346082175968</v>
      </c>
      <c r="AF1155" s="5">
        <f t="shared" si="474"/>
        <v>-8.2264769749843154</v>
      </c>
      <c r="AG1155">
        <f t="shared" si="485"/>
        <v>0</v>
      </c>
    </row>
    <row r="1156" spans="1:33" x14ac:dyDescent="0.2">
      <c r="A1156">
        <f t="shared" si="475"/>
        <v>11.239999999999805</v>
      </c>
      <c r="B1156" s="5">
        <f t="shared" si="476"/>
        <v>0</v>
      </c>
      <c r="C1156" s="5">
        <f t="shared" si="477"/>
        <v>1374.5171927983135</v>
      </c>
      <c r="D1156" s="5">
        <f t="shared" si="478"/>
        <v>-590.1545624925435</v>
      </c>
      <c r="E1156" s="2">
        <f t="shared" si="460"/>
        <v>458.17239759943783</v>
      </c>
      <c r="F1156" s="2">
        <f t="shared" si="479"/>
        <v>0</v>
      </c>
      <c r="G1156" s="3">
        <f t="shared" si="480"/>
        <v>0</v>
      </c>
      <c r="H1156" s="3">
        <f t="shared" si="481"/>
        <v>85.594363400366532</v>
      </c>
      <c r="I1156" s="3">
        <f t="shared" si="482"/>
        <v>-130.77303240350321</v>
      </c>
      <c r="J1156" s="2">
        <f t="shared" si="461"/>
        <v>156.29453301354371</v>
      </c>
      <c r="K1156" s="2">
        <f t="shared" si="483"/>
        <v>106.54024063636244</v>
      </c>
      <c r="L1156" s="5">
        <f t="shared" si="462"/>
        <v>22.389902217051997</v>
      </c>
      <c r="M1156" s="3">
        <f t="shared" si="463"/>
        <v>13.309287394018776</v>
      </c>
      <c r="N1156" s="2">
        <v>0</v>
      </c>
      <c r="O1156" s="2">
        <f t="shared" si="464"/>
        <v>156.29453301354371</v>
      </c>
      <c r="P1156" s="2">
        <f t="shared" si="465"/>
        <v>106.54024063636244</v>
      </c>
      <c r="Q1156" s="5">
        <f t="shared" si="466"/>
        <v>1.3172458959288893</v>
      </c>
      <c r="R1156" s="5">
        <f t="shared" si="467"/>
        <v>0.15025373160171032</v>
      </c>
      <c r="S1156" s="4">
        <f t="shared" si="484"/>
        <v>8.5155169137396888E-2</v>
      </c>
      <c r="T1156" s="5">
        <f t="shared" si="468"/>
        <v>8.5643796417068971E-2</v>
      </c>
      <c r="U1156" s="4">
        <f t="shared" si="469"/>
        <v>0</v>
      </c>
      <c r="V1156" s="4">
        <f t="shared" si="470"/>
        <v>0</v>
      </c>
      <c r="W1156" s="5">
        <f t="shared" si="471"/>
        <v>0</v>
      </c>
      <c r="X1156" s="5">
        <f t="shared" si="472"/>
        <v>-11.422286746529043</v>
      </c>
      <c r="Y1156" s="5">
        <f t="shared" si="473"/>
        <v>17.451231780754753</v>
      </c>
      <c r="Z1156" s="5">
        <f>1</f>
        <v>1</v>
      </c>
      <c r="AA1156" s="5">
        <f>IF(M1156=0,0,const*($T1156/omega)*O1156*(wy*I1156-wz*(H1156-V1156))/Z1156)</f>
        <v>0</v>
      </c>
      <c r="AB1156" s="5">
        <f>IF(M1156=0,0,const*($T1156/omega)*O1156*(wz*(G1156-U1156)-wx*I1156)/Z1156)</f>
        <v>9.9471056454016971</v>
      </c>
      <c r="AC1156" s="5">
        <f>IF(M1156=0,0,const*($T1156/omega)*O1156*(wx*(H1156-V1156)-wy*(G1156-U1156))/Z1156)</f>
        <v>6.5106403036314564</v>
      </c>
      <c r="AD1156" s="5">
        <f t="shared" si="486"/>
        <v>0</v>
      </c>
      <c r="AE1156" s="5">
        <f t="shared" si="486"/>
        <v>-1.4751811011273457</v>
      </c>
      <c r="AF1156" s="5">
        <f t="shared" si="474"/>
        <v>-8.2121279156137916</v>
      </c>
      <c r="AG1156">
        <f t="shared" si="485"/>
        <v>0</v>
      </c>
    </row>
    <row r="1157" spans="1:33" x14ac:dyDescent="0.2">
      <c r="A1157">
        <f t="shared" si="475"/>
        <v>11.249999999999805</v>
      </c>
      <c r="B1157" s="5">
        <f t="shared" si="476"/>
        <v>0</v>
      </c>
      <c r="C1157" s="5">
        <f t="shared" si="477"/>
        <v>1375.373062673262</v>
      </c>
      <c r="D1157" s="5">
        <f t="shared" si="478"/>
        <v>-591.4627034229743</v>
      </c>
      <c r="E1157" s="2">
        <f t="shared" si="460"/>
        <v>458.45768755775401</v>
      </c>
      <c r="F1157" s="2">
        <f t="shared" si="479"/>
        <v>0</v>
      </c>
      <c r="G1157" s="3">
        <f t="shared" si="480"/>
        <v>0</v>
      </c>
      <c r="H1157" s="3">
        <f t="shared" si="481"/>
        <v>85.579611589355252</v>
      </c>
      <c r="I1157" s="3">
        <f t="shared" si="482"/>
        <v>-130.85515368265933</v>
      </c>
      <c r="J1157" s="2">
        <f t="shared" si="461"/>
        <v>156.35517632971829</v>
      </c>
      <c r="K1157" s="2">
        <f t="shared" si="483"/>
        <v>106.58157895686318</v>
      </c>
      <c r="L1157" s="5">
        <f t="shared" si="462"/>
        <v>22.381218155857866</v>
      </c>
      <c r="M1157" s="3">
        <f t="shared" si="463"/>
        <v>13.300751064280018</v>
      </c>
      <c r="N1157" s="2">
        <v>0</v>
      </c>
      <c r="O1157" s="2">
        <f t="shared" si="464"/>
        <v>156.35517632971829</v>
      </c>
      <c r="P1157" s="2">
        <f t="shared" si="465"/>
        <v>106.58157895686318</v>
      </c>
      <c r="Q1157" s="5">
        <f t="shared" si="466"/>
        <v>1.3177569960793949</v>
      </c>
      <c r="R1157" s="5">
        <f t="shared" si="467"/>
        <v>0.15023544262743616</v>
      </c>
      <c r="S1157" s="4">
        <f t="shared" si="484"/>
        <v>8.5067545421276564E-2</v>
      </c>
      <c r="T1157" s="5">
        <f t="shared" si="468"/>
        <v>8.5608534926100988E-2</v>
      </c>
      <c r="U1157" s="4">
        <f t="shared" si="469"/>
        <v>0</v>
      </c>
      <c r="V1157" s="4">
        <f t="shared" si="470"/>
        <v>0</v>
      </c>
      <c r="W1157" s="5">
        <f t="shared" si="471"/>
        <v>0</v>
      </c>
      <c r="X1157" s="5">
        <f t="shared" si="472"/>
        <v>-11.423358697699024</v>
      </c>
      <c r="Y1157" s="5">
        <f t="shared" si="473"/>
        <v>17.466839708647139</v>
      </c>
      <c r="Z1157" s="5">
        <f>1</f>
        <v>1</v>
      </c>
      <c r="AA1157" s="5">
        <f>IF(M1157=0,0,const*($T1157/omega)*O1157*(wy*I1157-wz*(H1157-V1157))/Z1157)</f>
        <v>0</v>
      </c>
      <c r="AB1157" s="5">
        <f>IF(M1157=0,0,const*($T1157/omega)*O1157*(wz*(G1157-U1157)-wx*I1157)/Z1157)</f>
        <v>9.9531144655026349</v>
      </c>
      <c r="AC1157" s="5">
        <f>IF(M1157=0,0,const*($T1157/omega)*O1157*(wx*(H1157-V1157)-wy*(G1157-U1157))/Z1157)</f>
        <v>6.509362803759295</v>
      </c>
      <c r="AD1157" s="5">
        <f t="shared" si="486"/>
        <v>0</v>
      </c>
      <c r="AE1157" s="5">
        <f t="shared" si="486"/>
        <v>-1.4702442321963893</v>
      </c>
      <c r="AF1157" s="5">
        <f t="shared" si="474"/>
        <v>-8.1977974875935651</v>
      </c>
      <c r="AG1157">
        <f t="shared" si="485"/>
        <v>0</v>
      </c>
    </row>
    <row r="1158" spans="1:33" x14ac:dyDescent="0.2">
      <c r="A1158">
        <f t="shared" si="475"/>
        <v>11.259999999999804</v>
      </c>
      <c r="B1158" s="5">
        <f t="shared" si="476"/>
        <v>0</v>
      </c>
      <c r="C1158" s="5">
        <f t="shared" si="477"/>
        <v>1376.2287852769439</v>
      </c>
      <c r="D1158" s="5">
        <f t="shared" si="478"/>
        <v>-592.77166484967529</v>
      </c>
      <c r="E1158" s="2">
        <f t="shared" si="460"/>
        <v>458.74292842564796</v>
      </c>
      <c r="F1158" s="2">
        <f t="shared" si="479"/>
        <v>0</v>
      </c>
      <c r="G1158" s="3">
        <f t="shared" si="480"/>
        <v>0</v>
      </c>
      <c r="H1158" s="3">
        <f t="shared" si="481"/>
        <v>85.564909147033291</v>
      </c>
      <c r="I1158" s="3">
        <f t="shared" si="482"/>
        <v>-130.93713165753528</v>
      </c>
      <c r="J1158" s="2">
        <f t="shared" si="461"/>
        <v>156.41574768559204</v>
      </c>
      <c r="K1158" s="2">
        <f t="shared" si="483"/>
        <v>106.62286822467078</v>
      </c>
      <c r="L1158" s="5">
        <f t="shared" si="462"/>
        <v>22.372551121049252</v>
      </c>
      <c r="M1158" s="3">
        <f t="shared" si="463"/>
        <v>13.292218680371189</v>
      </c>
      <c r="N1158" s="2">
        <v>0</v>
      </c>
      <c r="O1158" s="2">
        <f t="shared" si="464"/>
        <v>156.41574768559204</v>
      </c>
      <c r="P1158" s="2">
        <f t="shared" si="465"/>
        <v>106.62286822467078</v>
      </c>
      <c r="Q1158" s="5">
        <f t="shared" si="466"/>
        <v>1.3182674897505244</v>
      </c>
      <c r="R1158" s="5">
        <f t="shared" si="467"/>
        <v>0.15021718126009923</v>
      </c>
      <c r="S1158" s="4">
        <f t="shared" si="484"/>
        <v>8.4980053971864741E-2</v>
      </c>
      <c r="T1158" s="5">
        <f t="shared" si="468"/>
        <v>8.557330491181328E-2</v>
      </c>
      <c r="U1158" s="4">
        <f t="shared" si="469"/>
        <v>0</v>
      </c>
      <c r="V1158" s="4">
        <f t="shared" si="470"/>
        <v>0</v>
      </c>
      <c r="W1158" s="5">
        <f t="shared" si="471"/>
        <v>0</v>
      </c>
      <c r="X1158" s="5">
        <f t="shared" si="472"/>
        <v>-11.424431957384586</v>
      </c>
      <c r="Y1158" s="5">
        <f t="shared" si="473"/>
        <v>17.482427857734532</v>
      </c>
      <c r="Z1158" s="5">
        <f>1</f>
        <v>1</v>
      </c>
      <c r="AA1158" s="5">
        <f>IF(M1158=0,0,const*($T1158/omega)*O1158*(wy*I1158-wz*(H1158-V1158))/Z1158)</f>
        <v>0</v>
      </c>
      <c r="AB1158" s="5">
        <f>IF(M1158=0,0,const*($T1158/omega)*O1158*(wz*(G1158-U1158)-wx*I1158)/Z1158)</f>
        <v>9.9591079869774664</v>
      </c>
      <c r="AC1158" s="5">
        <f>IF(M1158=0,0,const*($T1158/omega)*O1158*(wx*(H1158-V1158)-wy*(G1158-U1158))/Z1158)</f>
        <v>6.5080864328081551</v>
      </c>
      <c r="AD1158" s="5">
        <f t="shared" si="486"/>
        <v>0</v>
      </c>
      <c r="AE1158" s="5">
        <f t="shared" si="486"/>
        <v>-1.4653239704071197</v>
      </c>
      <c r="AF1158" s="5">
        <f t="shared" si="474"/>
        <v>-8.1834857094573117</v>
      </c>
      <c r="AG1158">
        <f t="shared" si="485"/>
        <v>0</v>
      </c>
    </row>
    <row r="1159" spans="1:33" x14ac:dyDescent="0.2">
      <c r="B1159" s="5"/>
      <c r="R1159" s="5"/>
    </row>
  </sheetData>
  <mergeCells count="4">
    <mergeCell ref="A1:B1"/>
    <mergeCell ref="A4:B4"/>
    <mergeCell ref="A14:B14"/>
    <mergeCell ref="A23:B23"/>
  </mergeCells>
  <pageMargins left="0.75" right="0.75" top="1" bottom="1" header="0.5" footer="0.5"/>
  <pageSetup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3AF37-B5C4-4280-865E-BFC853EBAFB2}">
  <dimension ref="A1:W38"/>
  <sheetViews>
    <sheetView workbookViewId="0">
      <selection activeCell="F13" sqref="F13"/>
    </sheetView>
  </sheetViews>
  <sheetFormatPr defaultRowHeight="12.75" x14ac:dyDescent="0.2"/>
  <cols>
    <col min="1" max="1" width="12.42578125" bestFit="1" customWidth="1"/>
    <col min="3" max="3" width="13.140625" bestFit="1" customWidth="1"/>
    <col min="7" max="7" width="7" bestFit="1" customWidth="1"/>
  </cols>
  <sheetData>
    <row r="1" spans="1:23" x14ac:dyDescent="0.2">
      <c r="A1" s="65" t="s">
        <v>88</v>
      </c>
      <c r="B1" s="65" t="s">
        <v>89</v>
      </c>
    </row>
    <row r="2" spans="1:23" x14ac:dyDescent="0.2">
      <c r="A2" s="65" t="s">
        <v>90</v>
      </c>
      <c r="B2" s="66">
        <v>1</v>
      </c>
      <c r="C2" s="87" t="s">
        <v>117</v>
      </c>
    </row>
    <row r="3" spans="1:23" x14ac:dyDescent="0.2">
      <c r="A3" s="65" t="s">
        <v>91</v>
      </c>
      <c r="B3" s="66">
        <f>VLOOKUP(B$2,$B$12:$F$24,2,FALSE)</f>
        <v>10.9</v>
      </c>
      <c r="C3" s="15"/>
    </row>
    <row r="4" spans="1:23" x14ac:dyDescent="0.2">
      <c r="A4" s="65" t="s">
        <v>92</v>
      </c>
      <c r="B4" s="66">
        <f>VLOOKUP(B$2,$B$12:$F$24,3,FALSE)</f>
        <v>2686</v>
      </c>
    </row>
    <row r="5" spans="1:23" x14ac:dyDescent="0.2">
      <c r="A5" s="65" t="s">
        <v>96</v>
      </c>
      <c r="B5" s="66">
        <f>VLOOKUP(B$2,$B$12:$F$24,5,FALSE)</f>
        <v>167</v>
      </c>
    </row>
    <row r="6" spans="1:23" x14ac:dyDescent="0.2">
      <c r="A6" s="65" t="s">
        <v>95</v>
      </c>
      <c r="B6" s="63">
        <f ca="1">'Ball Trajectory'!B29</f>
        <v>259.29470377066048</v>
      </c>
    </row>
    <row r="9" spans="1:23" ht="13.5" thickBot="1" x14ac:dyDescent="0.25"/>
    <row r="10" spans="1:23" x14ac:dyDescent="0.2">
      <c r="I10" s="15" t="s">
        <v>97</v>
      </c>
      <c r="L10" s="79">
        <v>2686</v>
      </c>
      <c r="M10" s="80">
        <v>3655</v>
      </c>
      <c r="N10" s="80">
        <v>4350</v>
      </c>
      <c r="O10" s="80">
        <v>4437</v>
      </c>
      <c r="P10" s="80">
        <v>4630</v>
      </c>
      <c r="Q10" s="80">
        <v>4836</v>
      </c>
      <c r="R10" s="80">
        <v>5361</v>
      </c>
      <c r="S10" s="80">
        <v>6231</v>
      </c>
      <c r="T10" s="80">
        <v>7097</v>
      </c>
      <c r="U10" s="80">
        <v>7998</v>
      </c>
      <c r="V10" s="80">
        <v>8647</v>
      </c>
      <c r="W10" s="81">
        <v>9304</v>
      </c>
    </row>
    <row r="11" spans="1:23" x14ac:dyDescent="0.2">
      <c r="I11" s="15" t="s">
        <v>98</v>
      </c>
      <c r="L11" s="82">
        <v>10.9</v>
      </c>
      <c r="M11">
        <v>9.1999999999999993</v>
      </c>
      <c r="N11">
        <v>9.4</v>
      </c>
      <c r="O11">
        <v>10.199999999999999</v>
      </c>
      <c r="P11">
        <v>10.4</v>
      </c>
      <c r="Q11">
        <v>11</v>
      </c>
      <c r="R11">
        <v>12.1</v>
      </c>
      <c r="S11">
        <v>14.1</v>
      </c>
      <c r="T11">
        <v>16.3</v>
      </c>
      <c r="U11">
        <v>18.100000000000001</v>
      </c>
      <c r="V11">
        <v>20.399999999999999</v>
      </c>
      <c r="W11" s="83">
        <v>24.2</v>
      </c>
    </row>
    <row r="12" spans="1:23" ht="15.75" thickBot="1" x14ac:dyDescent="0.3">
      <c r="A12" s="88" t="s">
        <v>105</v>
      </c>
      <c r="B12" s="89" t="s">
        <v>90</v>
      </c>
      <c r="C12" s="89" t="s">
        <v>91</v>
      </c>
      <c r="D12" s="89" t="s">
        <v>92</v>
      </c>
      <c r="E12" s="89" t="s">
        <v>93</v>
      </c>
      <c r="F12" s="89" t="s">
        <v>94</v>
      </c>
      <c r="G12" s="89" t="s">
        <v>99</v>
      </c>
      <c r="H12" s="89" t="s">
        <v>100</v>
      </c>
      <c r="I12" s="89" t="s">
        <v>104</v>
      </c>
      <c r="J12" s="89" t="s">
        <v>94</v>
      </c>
      <c r="K12" s="62">
        <f ca="1">B6</f>
        <v>259.29470377066048</v>
      </c>
      <c r="L12" s="84">
        <v>1</v>
      </c>
      <c r="M12" s="85">
        <f t="shared" ref="M12:W12" si="0">L12+1</f>
        <v>2</v>
      </c>
      <c r="N12" s="85">
        <f t="shared" si="0"/>
        <v>3</v>
      </c>
      <c r="O12" s="85">
        <f t="shared" si="0"/>
        <v>4</v>
      </c>
      <c r="P12" s="85">
        <f t="shared" si="0"/>
        <v>5</v>
      </c>
      <c r="Q12" s="85">
        <f t="shared" si="0"/>
        <v>6</v>
      </c>
      <c r="R12" s="85">
        <f t="shared" si="0"/>
        <v>7</v>
      </c>
      <c r="S12" s="85">
        <f t="shared" si="0"/>
        <v>8</v>
      </c>
      <c r="T12" s="85">
        <f t="shared" si="0"/>
        <v>9</v>
      </c>
      <c r="U12" s="85">
        <f t="shared" si="0"/>
        <v>10</v>
      </c>
      <c r="V12" s="85">
        <f t="shared" si="0"/>
        <v>11</v>
      </c>
      <c r="W12" s="60">
        <f t="shared" si="0"/>
        <v>12</v>
      </c>
    </row>
    <row r="13" spans="1:23" x14ac:dyDescent="0.2">
      <c r="A13" s="43" t="s">
        <v>106</v>
      </c>
      <c r="B13" s="42">
        <v>1</v>
      </c>
      <c r="C13" s="42">
        <v>10.9</v>
      </c>
      <c r="D13" s="42">
        <v>2686</v>
      </c>
      <c r="E13" s="42">
        <v>275</v>
      </c>
      <c r="F13" s="42">
        <v>167</v>
      </c>
      <c r="G13" s="90">
        <f>L13</f>
        <v>259.29470377066048</v>
      </c>
      <c r="H13" s="91">
        <f>(E13-G13)^2</f>
        <v>246.65632965130627</v>
      </c>
      <c r="I13" s="91">
        <f>G13-E13</f>
        <v>-15.705296229339524</v>
      </c>
      <c r="K13" s="76">
        <v>167</v>
      </c>
      <c r="L13" s="67">
        <f t="dataTable" ref="L13:W24" dt2D="1" dtr="1" r1="B2" r2="B5" ca="1"/>
        <v>259.29470377066048</v>
      </c>
      <c r="M13" s="68">
        <v>259.29470377066048</v>
      </c>
      <c r="N13" s="68">
        <v>259.29470377066048</v>
      </c>
      <c r="O13" s="68">
        <v>259.29470377066048</v>
      </c>
      <c r="P13" s="68">
        <v>259.29470377066048</v>
      </c>
      <c r="Q13" s="68">
        <v>259.29470377066048</v>
      </c>
      <c r="R13" s="68">
        <v>259.29470377066048</v>
      </c>
      <c r="S13" s="68">
        <v>259.29470377066048</v>
      </c>
      <c r="T13" s="68">
        <v>259.29470377066048</v>
      </c>
      <c r="U13" s="68">
        <v>259.29470377066048</v>
      </c>
      <c r="V13" s="68">
        <v>259.29470377066048</v>
      </c>
      <c r="W13" s="69">
        <v>259.29470377066048</v>
      </c>
    </row>
    <row r="14" spans="1:23" x14ac:dyDescent="0.2">
      <c r="A14" s="43" t="s">
        <v>107</v>
      </c>
      <c r="B14" s="42">
        <f>B13+1</f>
        <v>2</v>
      </c>
      <c r="C14" s="42">
        <v>9.1999999999999993</v>
      </c>
      <c r="D14" s="42">
        <v>3655</v>
      </c>
      <c r="E14" s="42">
        <v>243</v>
      </c>
      <c r="F14" s="42">
        <v>158</v>
      </c>
      <c r="G14" s="90">
        <f>M14</f>
        <v>259.29470377066048</v>
      </c>
      <c r="H14" s="91">
        <f t="shared" ref="H14:H24" si="1">(E14-G14)^2</f>
        <v>265.51737097357676</v>
      </c>
      <c r="I14" s="91">
        <f t="shared" ref="I14:I24" si="2">G14-E14</f>
        <v>16.294703770660476</v>
      </c>
      <c r="K14" s="77">
        <v>158</v>
      </c>
      <c r="L14" s="70">
        <v>259.29470377066048</v>
      </c>
      <c r="M14" s="71">
        <v>259.29470377066048</v>
      </c>
      <c r="N14" s="62">
        <v>259.29470377066048</v>
      </c>
      <c r="O14" s="62">
        <v>259.29470377066048</v>
      </c>
      <c r="P14" s="62">
        <v>259.29470377066048</v>
      </c>
      <c r="Q14" s="62">
        <v>259.29470377066048</v>
      </c>
      <c r="R14" s="62">
        <v>259.29470377066048</v>
      </c>
      <c r="S14" s="62">
        <v>259.29470377066048</v>
      </c>
      <c r="T14" s="62">
        <v>259.29470377066048</v>
      </c>
      <c r="U14" s="62">
        <v>259.29470377066048</v>
      </c>
      <c r="V14" s="62">
        <v>259.29470377066048</v>
      </c>
      <c r="W14" s="72">
        <v>259.29470377066048</v>
      </c>
    </row>
    <row r="15" spans="1:23" x14ac:dyDescent="0.2">
      <c r="A15" s="43" t="s">
        <v>108</v>
      </c>
      <c r="B15" s="42">
        <f t="shared" ref="B15:B24" si="3">B14+1</f>
        <v>3</v>
      </c>
      <c r="C15" s="42">
        <v>9.4</v>
      </c>
      <c r="D15" s="42">
        <v>4350</v>
      </c>
      <c r="E15" s="42">
        <v>230</v>
      </c>
      <c r="F15" s="42">
        <v>152</v>
      </c>
      <c r="G15" s="90">
        <f>N15</f>
        <v>259.29470377066048</v>
      </c>
      <c r="H15" s="91">
        <f t="shared" si="1"/>
        <v>858.17966901074908</v>
      </c>
      <c r="I15" s="91">
        <f t="shared" si="2"/>
        <v>29.294703770660476</v>
      </c>
      <c r="K15" s="77">
        <v>152</v>
      </c>
      <c r="L15" s="70">
        <v>259.29470377066048</v>
      </c>
      <c r="M15" s="62">
        <v>259.29470377066048</v>
      </c>
      <c r="N15" s="71">
        <v>259.29470377066048</v>
      </c>
      <c r="O15" s="62">
        <v>259.29470377066048</v>
      </c>
      <c r="P15" s="62">
        <v>259.29470377066048</v>
      </c>
      <c r="Q15" s="62">
        <v>259.29470377066048</v>
      </c>
      <c r="R15" s="62">
        <v>259.29470377066048</v>
      </c>
      <c r="S15" s="62">
        <v>259.29470377066048</v>
      </c>
      <c r="T15" s="62">
        <v>259.29470377066048</v>
      </c>
      <c r="U15" s="62">
        <v>259.29470377066048</v>
      </c>
      <c r="V15" s="62">
        <v>259.29470377066048</v>
      </c>
      <c r="W15" s="72">
        <v>259.29470377066048</v>
      </c>
    </row>
    <row r="16" spans="1:23" x14ac:dyDescent="0.2">
      <c r="A16" s="43" t="s">
        <v>109</v>
      </c>
      <c r="B16" s="42">
        <f t="shared" si="3"/>
        <v>4</v>
      </c>
      <c r="C16" s="42">
        <v>10.199999999999999</v>
      </c>
      <c r="D16" s="42">
        <v>4437</v>
      </c>
      <c r="E16" s="42">
        <v>225</v>
      </c>
      <c r="F16" s="42">
        <v>146</v>
      </c>
      <c r="G16" s="90">
        <f>O16</f>
        <v>259.29470377066048</v>
      </c>
      <c r="H16" s="91">
        <f t="shared" si="1"/>
        <v>1176.126706717354</v>
      </c>
      <c r="I16" s="91">
        <f t="shared" si="2"/>
        <v>34.294703770660476</v>
      </c>
      <c r="K16" s="77">
        <v>146</v>
      </c>
      <c r="L16" s="70">
        <v>259.29470377066048</v>
      </c>
      <c r="M16" s="62">
        <v>259.29470377066048</v>
      </c>
      <c r="N16" s="62">
        <v>259.29470377066048</v>
      </c>
      <c r="O16" s="71">
        <v>259.29470377066048</v>
      </c>
      <c r="P16" s="62">
        <v>259.29470377066048</v>
      </c>
      <c r="Q16" s="62">
        <v>259.29470377066048</v>
      </c>
      <c r="R16" s="62">
        <v>259.29470377066048</v>
      </c>
      <c r="S16" s="62">
        <v>259.29470377066048</v>
      </c>
      <c r="T16" s="62">
        <v>259.29470377066048</v>
      </c>
      <c r="U16" s="62">
        <v>259.29470377066048</v>
      </c>
      <c r="V16" s="62">
        <v>259.29470377066048</v>
      </c>
      <c r="W16" s="72">
        <v>259.29470377066048</v>
      </c>
    </row>
    <row r="17" spans="1:23" x14ac:dyDescent="0.2">
      <c r="A17" s="43" t="s">
        <v>110</v>
      </c>
      <c r="B17" s="42">
        <f t="shared" si="3"/>
        <v>5</v>
      </c>
      <c r="C17" s="42">
        <v>10.4</v>
      </c>
      <c r="D17" s="42">
        <v>4630</v>
      </c>
      <c r="E17" s="42">
        <v>212</v>
      </c>
      <c r="F17" s="42">
        <v>142</v>
      </c>
      <c r="G17" s="90">
        <f>P17</f>
        <v>259.29470377066048</v>
      </c>
      <c r="H17" s="91">
        <f t="shared" si="1"/>
        <v>2236.7890047545261</v>
      </c>
      <c r="I17" s="91">
        <f t="shared" si="2"/>
        <v>47.294703770660476</v>
      </c>
      <c r="K17" s="77">
        <v>142</v>
      </c>
      <c r="L17" s="70">
        <v>259.29470377066048</v>
      </c>
      <c r="M17" s="62">
        <v>259.29470377066048</v>
      </c>
      <c r="N17" s="62">
        <v>259.29470377066048</v>
      </c>
      <c r="O17" s="62">
        <v>259.29470377066048</v>
      </c>
      <c r="P17" s="71">
        <v>259.29470377066048</v>
      </c>
      <c r="Q17" s="62">
        <v>259.29470377066048</v>
      </c>
      <c r="R17" s="62">
        <v>259.29470377066048</v>
      </c>
      <c r="S17" s="62">
        <v>259.29470377066048</v>
      </c>
      <c r="T17" s="62">
        <v>259.29470377066048</v>
      </c>
      <c r="U17" s="62">
        <v>259.29470377066048</v>
      </c>
      <c r="V17" s="62">
        <v>259.29470377066048</v>
      </c>
      <c r="W17" s="72">
        <v>259.29470377066048</v>
      </c>
    </row>
    <row r="18" spans="1:23" x14ac:dyDescent="0.2">
      <c r="A18" s="43" t="s">
        <v>118</v>
      </c>
      <c r="B18" s="42">
        <f t="shared" si="3"/>
        <v>6</v>
      </c>
      <c r="C18" s="42">
        <v>11</v>
      </c>
      <c r="D18" s="42">
        <v>4836</v>
      </c>
      <c r="E18" s="42">
        <v>203</v>
      </c>
      <c r="F18" s="42">
        <v>137</v>
      </c>
      <c r="G18" s="90">
        <f>Q18</f>
        <v>259.29470377066048</v>
      </c>
      <c r="H18" s="91">
        <f t="shared" si="1"/>
        <v>3169.0936726264149</v>
      </c>
      <c r="I18" s="91">
        <f t="shared" si="2"/>
        <v>56.294703770660476</v>
      </c>
      <c r="K18" s="77">
        <v>137</v>
      </c>
      <c r="L18" s="70">
        <v>259.29470377066048</v>
      </c>
      <c r="M18" s="62">
        <v>259.29470377066048</v>
      </c>
      <c r="N18" s="62">
        <v>259.29470377066048</v>
      </c>
      <c r="O18" s="62">
        <v>259.29470377066048</v>
      </c>
      <c r="P18" s="62">
        <v>259.29470377066048</v>
      </c>
      <c r="Q18" s="71">
        <v>259.29470377066048</v>
      </c>
      <c r="R18" s="62">
        <v>259.29470377066048</v>
      </c>
      <c r="S18" s="62">
        <v>259.29470377066048</v>
      </c>
      <c r="T18" s="62">
        <v>259.29470377066048</v>
      </c>
      <c r="U18" s="62">
        <v>259.29470377066048</v>
      </c>
      <c r="V18" s="62">
        <v>259.29470377066048</v>
      </c>
      <c r="W18" s="72">
        <v>259.29470377066048</v>
      </c>
    </row>
    <row r="19" spans="1:23" x14ac:dyDescent="0.2">
      <c r="A19" s="43" t="s">
        <v>111</v>
      </c>
      <c r="B19" s="42">
        <f t="shared" si="3"/>
        <v>7</v>
      </c>
      <c r="C19" s="42">
        <v>12.1</v>
      </c>
      <c r="D19" s="42">
        <v>5361</v>
      </c>
      <c r="E19" s="42">
        <v>194</v>
      </c>
      <c r="F19" s="42">
        <v>132</v>
      </c>
      <c r="G19" s="90">
        <f>R19</f>
        <v>259.29470377066048</v>
      </c>
      <c r="H19" s="91">
        <f t="shared" si="1"/>
        <v>4263.3983404983037</v>
      </c>
      <c r="I19" s="91">
        <f t="shared" si="2"/>
        <v>65.294703770660476</v>
      </c>
      <c r="K19" s="77">
        <v>132</v>
      </c>
      <c r="L19" s="70">
        <v>259.29470377066048</v>
      </c>
      <c r="M19" s="62">
        <v>259.29470377066048</v>
      </c>
      <c r="N19" s="62">
        <v>259.29470377066048</v>
      </c>
      <c r="O19" s="62">
        <v>259.29470377066048</v>
      </c>
      <c r="P19" s="62">
        <v>259.29470377066048</v>
      </c>
      <c r="Q19" s="62">
        <v>259.29470377066048</v>
      </c>
      <c r="R19" s="71">
        <v>259.29470377066048</v>
      </c>
      <c r="S19" s="62">
        <v>259.29470377066048</v>
      </c>
      <c r="T19" s="62">
        <v>259.29470377066048</v>
      </c>
      <c r="U19" s="62">
        <v>259.29470377066048</v>
      </c>
      <c r="V19" s="62">
        <v>259.29470377066048</v>
      </c>
      <c r="W19" s="72">
        <v>259.29470377066048</v>
      </c>
    </row>
    <row r="20" spans="1:23" x14ac:dyDescent="0.2">
      <c r="A20" s="15" t="s">
        <v>112</v>
      </c>
      <c r="B20">
        <f t="shared" si="3"/>
        <v>8</v>
      </c>
      <c r="C20">
        <v>14.1</v>
      </c>
      <c r="D20">
        <v>6231</v>
      </c>
      <c r="E20">
        <v>183</v>
      </c>
      <c r="F20">
        <v>127</v>
      </c>
      <c r="G20" s="62">
        <f>S20</f>
        <v>259.29470377066048</v>
      </c>
      <c r="H20" s="2">
        <f t="shared" si="1"/>
        <v>5820.8818234528335</v>
      </c>
      <c r="I20" s="2">
        <f t="shared" si="2"/>
        <v>76.294703770660476</v>
      </c>
      <c r="K20" s="77">
        <v>127</v>
      </c>
      <c r="L20" s="70">
        <v>259.29470377066048</v>
      </c>
      <c r="M20" s="62">
        <v>259.29470377066048</v>
      </c>
      <c r="N20" s="62">
        <v>259.29470377066048</v>
      </c>
      <c r="O20" s="62">
        <v>259.29470377066048</v>
      </c>
      <c r="P20" s="62">
        <v>259.29470377066048</v>
      </c>
      <c r="Q20" s="62">
        <v>259.29470377066048</v>
      </c>
      <c r="R20" s="62">
        <v>259.29470377066048</v>
      </c>
      <c r="S20" s="71">
        <v>259.29470377066048</v>
      </c>
      <c r="T20" s="62">
        <v>259.29470377066048</v>
      </c>
      <c r="U20" s="62">
        <v>259.29470377066048</v>
      </c>
      <c r="V20" s="62">
        <v>259.29470377066048</v>
      </c>
      <c r="W20" s="72">
        <v>259.29470377066048</v>
      </c>
    </row>
    <row r="21" spans="1:23" x14ac:dyDescent="0.2">
      <c r="A21" s="15" t="s">
        <v>113</v>
      </c>
      <c r="B21">
        <f t="shared" si="3"/>
        <v>9</v>
      </c>
      <c r="C21">
        <v>16.3</v>
      </c>
      <c r="D21">
        <v>7097</v>
      </c>
      <c r="E21">
        <v>172</v>
      </c>
      <c r="F21">
        <v>120</v>
      </c>
      <c r="G21" s="62">
        <f>T21</f>
        <v>259.29470377066048</v>
      </c>
      <c r="H21" s="2">
        <f t="shared" si="1"/>
        <v>7620.3653064073642</v>
      </c>
      <c r="I21" s="2">
        <f t="shared" si="2"/>
        <v>87.294703770660476</v>
      </c>
      <c r="K21" s="77">
        <v>120</v>
      </c>
      <c r="L21" s="70">
        <v>259.29470377066048</v>
      </c>
      <c r="M21" s="62">
        <v>259.29470377066048</v>
      </c>
      <c r="N21" s="62">
        <v>259.29470377066048</v>
      </c>
      <c r="O21" s="62">
        <v>259.29470377066048</v>
      </c>
      <c r="P21" s="62">
        <v>259.29470377066048</v>
      </c>
      <c r="Q21" s="62">
        <v>259.29470377066048</v>
      </c>
      <c r="R21" s="62">
        <v>259.29470377066048</v>
      </c>
      <c r="S21" s="62">
        <v>259.29470377066048</v>
      </c>
      <c r="T21" s="71">
        <v>259.29470377066048</v>
      </c>
      <c r="U21" s="62">
        <v>259.29470377066048</v>
      </c>
      <c r="V21" s="62">
        <v>259.29470377066048</v>
      </c>
      <c r="W21" s="72">
        <v>259.29470377066048</v>
      </c>
    </row>
    <row r="22" spans="1:23" x14ac:dyDescent="0.2">
      <c r="A22" s="15" t="s">
        <v>114</v>
      </c>
      <c r="B22">
        <f t="shared" si="3"/>
        <v>10</v>
      </c>
      <c r="C22">
        <v>18.100000000000001</v>
      </c>
      <c r="D22">
        <v>7998</v>
      </c>
      <c r="E22">
        <v>160</v>
      </c>
      <c r="F22">
        <v>115</v>
      </c>
      <c r="G22" s="62">
        <f>U22</f>
        <v>259.29470377066048</v>
      </c>
      <c r="H22" s="2">
        <f t="shared" si="1"/>
        <v>9859.4381969032165</v>
      </c>
      <c r="I22" s="2">
        <f t="shared" si="2"/>
        <v>99.294703770660476</v>
      </c>
      <c r="K22" s="77">
        <v>115</v>
      </c>
      <c r="L22" s="70">
        <v>259.29470377066048</v>
      </c>
      <c r="M22" s="62">
        <v>259.29470377066048</v>
      </c>
      <c r="N22" s="62">
        <v>259.29470377066048</v>
      </c>
      <c r="O22" s="62">
        <v>259.29470377066048</v>
      </c>
      <c r="P22" s="62">
        <v>259.29470377066048</v>
      </c>
      <c r="Q22" s="62">
        <v>259.29470377066048</v>
      </c>
      <c r="R22" s="62">
        <v>259.29470377066048</v>
      </c>
      <c r="S22" s="62">
        <v>259.29470377066048</v>
      </c>
      <c r="T22" s="62">
        <v>259.29470377066048</v>
      </c>
      <c r="U22" s="71">
        <v>259.29470377066048</v>
      </c>
      <c r="V22" s="62">
        <v>259.29470377066048</v>
      </c>
      <c r="W22" s="72">
        <v>259.29470377066048</v>
      </c>
    </row>
    <row r="23" spans="1:23" x14ac:dyDescent="0.2">
      <c r="A23" s="15" t="s">
        <v>115</v>
      </c>
      <c r="B23">
        <f t="shared" si="3"/>
        <v>11</v>
      </c>
      <c r="C23">
        <v>20.399999999999999</v>
      </c>
      <c r="D23">
        <v>8647</v>
      </c>
      <c r="E23">
        <v>148</v>
      </c>
      <c r="F23">
        <v>109</v>
      </c>
      <c r="G23" s="62">
        <f>V23</f>
        <v>259.29470377066048</v>
      </c>
      <c r="H23" s="2">
        <f t="shared" si="1"/>
        <v>12386.511087399067</v>
      </c>
      <c r="I23" s="2">
        <f t="shared" si="2"/>
        <v>111.29470377066048</v>
      </c>
      <c r="K23" s="77">
        <v>109</v>
      </c>
      <c r="L23" s="70">
        <v>259.29470377066048</v>
      </c>
      <c r="M23" s="62">
        <v>259.29470377066048</v>
      </c>
      <c r="N23" s="62">
        <v>259.29470377066048</v>
      </c>
      <c r="O23" s="62">
        <v>259.29470377066048</v>
      </c>
      <c r="P23" s="62">
        <v>259.29470377066048</v>
      </c>
      <c r="Q23" s="62">
        <v>259.29470377066048</v>
      </c>
      <c r="R23" s="62">
        <v>259.29470377066048</v>
      </c>
      <c r="S23" s="62">
        <v>259.29470377066048</v>
      </c>
      <c r="T23" s="62">
        <v>259.29470377066048</v>
      </c>
      <c r="U23" s="62">
        <v>259.29470377066048</v>
      </c>
      <c r="V23" s="71">
        <v>259.29470377066048</v>
      </c>
      <c r="W23" s="72">
        <v>259.29470377066048</v>
      </c>
    </row>
    <row r="24" spans="1:23" ht="13.5" thickBot="1" x14ac:dyDescent="0.25">
      <c r="A24" s="15" t="s">
        <v>116</v>
      </c>
      <c r="B24">
        <f t="shared" si="3"/>
        <v>12</v>
      </c>
      <c r="C24">
        <v>24.2</v>
      </c>
      <c r="D24">
        <v>9304</v>
      </c>
      <c r="E24">
        <v>136</v>
      </c>
      <c r="F24">
        <v>102</v>
      </c>
      <c r="G24" s="62">
        <f>W24</f>
        <v>259.29470377066048</v>
      </c>
      <c r="H24" s="2">
        <f t="shared" si="1"/>
        <v>15201.583977894919</v>
      </c>
      <c r="I24" s="2">
        <f t="shared" si="2"/>
        <v>123.29470377066048</v>
      </c>
      <c r="K24" s="78">
        <v>102</v>
      </c>
      <c r="L24" s="73">
        <v>259.29470377066048</v>
      </c>
      <c r="M24" s="74">
        <v>259.29470377066048</v>
      </c>
      <c r="N24" s="74">
        <v>259.29470377066048</v>
      </c>
      <c r="O24" s="74">
        <v>259.29470377066048</v>
      </c>
      <c r="P24" s="74">
        <v>259.29470377066048</v>
      </c>
      <c r="Q24" s="74">
        <v>259.29470377066048</v>
      </c>
      <c r="R24" s="74">
        <v>259.29470377066048</v>
      </c>
      <c r="S24" s="74">
        <v>259.29470377066048</v>
      </c>
      <c r="T24" s="74">
        <v>259.29470377066048</v>
      </c>
      <c r="U24" s="74">
        <v>259.29470377066048</v>
      </c>
      <c r="V24" s="74">
        <v>259.29470377066048</v>
      </c>
      <c r="W24" s="75">
        <v>259.29470377066048</v>
      </c>
    </row>
    <row r="25" spans="1:23" ht="13.5" thickBot="1" x14ac:dyDescent="0.25"/>
    <row r="26" spans="1:23" x14ac:dyDescent="0.2">
      <c r="M26" s="79"/>
      <c r="N26" s="69">
        <f ca="1">B6</f>
        <v>259.29470377066048</v>
      </c>
    </row>
    <row r="27" spans="1:23" x14ac:dyDescent="0.2">
      <c r="H27" s="2">
        <f>SQRT(SUM(H13:H19)/7)</f>
        <v>41.774498533764131</v>
      </c>
      <c r="J27">
        <v>167</v>
      </c>
      <c r="K27">
        <v>2686</v>
      </c>
      <c r="L27">
        <v>10.9</v>
      </c>
      <c r="M27" s="82">
        <v>1</v>
      </c>
      <c r="N27" s="72">
        <f t="dataTable" ref="N27:N38" dt2D="0" dtr="0" r1="B2" ca="1"/>
        <v>259.29470377066048</v>
      </c>
    </row>
    <row r="28" spans="1:23" x14ac:dyDescent="0.2">
      <c r="J28">
        <v>158</v>
      </c>
      <c r="K28">
        <v>3655</v>
      </c>
      <c r="L28">
        <v>9.1999999999999993</v>
      </c>
      <c r="M28" s="82">
        <f t="shared" ref="M28:M38" si="4">M27+1</f>
        <v>2</v>
      </c>
      <c r="N28" s="72">
        <v>259.29470377066048</v>
      </c>
    </row>
    <row r="29" spans="1:23" x14ac:dyDescent="0.2">
      <c r="J29">
        <v>152</v>
      </c>
      <c r="K29">
        <v>4350</v>
      </c>
      <c r="L29">
        <v>9.4</v>
      </c>
      <c r="M29" s="82">
        <f t="shared" si="4"/>
        <v>3</v>
      </c>
      <c r="N29" s="72">
        <v>259.29470377066048</v>
      </c>
    </row>
    <row r="30" spans="1:23" x14ac:dyDescent="0.2">
      <c r="J30">
        <v>146</v>
      </c>
      <c r="K30">
        <v>4437</v>
      </c>
      <c r="L30">
        <v>10.199999999999999</v>
      </c>
      <c r="M30" s="82">
        <f t="shared" si="4"/>
        <v>4</v>
      </c>
      <c r="N30" s="72">
        <v>259.29470377066048</v>
      </c>
    </row>
    <row r="31" spans="1:23" x14ac:dyDescent="0.2">
      <c r="J31">
        <v>142</v>
      </c>
      <c r="K31">
        <v>4630</v>
      </c>
      <c r="L31">
        <v>10.4</v>
      </c>
      <c r="M31" s="82">
        <f t="shared" si="4"/>
        <v>5</v>
      </c>
      <c r="N31" s="72">
        <v>259.29470377066048</v>
      </c>
    </row>
    <row r="32" spans="1:23" x14ac:dyDescent="0.2">
      <c r="J32">
        <v>137</v>
      </c>
      <c r="K32">
        <v>4836</v>
      </c>
      <c r="L32">
        <v>11</v>
      </c>
      <c r="M32" s="82">
        <f t="shared" si="4"/>
        <v>6</v>
      </c>
      <c r="N32" s="72">
        <v>259.29470377066048</v>
      </c>
    </row>
    <row r="33" spans="10:14" x14ac:dyDescent="0.2">
      <c r="J33">
        <v>132</v>
      </c>
      <c r="K33">
        <v>5361</v>
      </c>
      <c r="L33">
        <v>12.1</v>
      </c>
      <c r="M33" s="82">
        <f t="shared" si="4"/>
        <v>7</v>
      </c>
      <c r="N33" s="72">
        <v>259.29470377066048</v>
      </c>
    </row>
    <row r="34" spans="10:14" x14ac:dyDescent="0.2">
      <c r="J34">
        <v>127</v>
      </c>
      <c r="K34">
        <v>6231</v>
      </c>
      <c r="L34">
        <v>14.1</v>
      </c>
      <c r="M34" s="82">
        <f t="shared" si="4"/>
        <v>8</v>
      </c>
      <c r="N34" s="72">
        <v>259.29470377066048</v>
      </c>
    </row>
    <row r="35" spans="10:14" x14ac:dyDescent="0.2">
      <c r="J35">
        <v>120</v>
      </c>
      <c r="K35">
        <v>7097</v>
      </c>
      <c r="L35">
        <v>16.3</v>
      </c>
      <c r="M35" s="82">
        <f t="shared" si="4"/>
        <v>9</v>
      </c>
      <c r="N35" s="72">
        <v>259.29470377066048</v>
      </c>
    </row>
    <row r="36" spans="10:14" x14ac:dyDescent="0.2">
      <c r="J36">
        <v>115</v>
      </c>
      <c r="K36">
        <v>7998</v>
      </c>
      <c r="L36">
        <v>18.100000000000001</v>
      </c>
      <c r="M36" s="82">
        <f t="shared" si="4"/>
        <v>10</v>
      </c>
      <c r="N36" s="72">
        <v>259.29470377066048</v>
      </c>
    </row>
    <row r="37" spans="10:14" x14ac:dyDescent="0.2">
      <c r="J37">
        <v>109</v>
      </c>
      <c r="K37">
        <v>8647</v>
      </c>
      <c r="L37">
        <v>20.399999999999999</v>
      </c>
      <c r="M37" s="82">
        <f t="shared" si="4"/>
        <v>11</v>
      </c>
      <c r="N37" s="72">
        <v>259.29470377066048</v>
      </c>
    </row>
    <row r="38" spans="10:14" ht="13.5" thickBot="1" x14ac:dyDescent="0.25">
      <c r="J38">
        <v>102</v>
      </c>
      <c r="K38">
        <v>9304</v>
      </c>
      <c r="L38">
        <v>24.2</v>
      </c>
      <c r="M38" s="84">
        <f t="shared" si="4"/>
        <v>12</v>
      </c>
      <c r="N38" s="86">
        <v>259.29470377066048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BB230-EA41-4F62-981D-21E85C9539CA}">
  <dimension ref="A1:G24"/>
  <sheetViews>
    <sheetView topLeftCell="D1" workbookViewId="0">
      <selection activeCell="F3" sqref="F3"/>
    </sheetView>
  </sheetViews>
  <sheetFormatPr defaultRowHeight="12.75" x14ac:dyDescent="0.2"/>
  <sheetData>
    <row r="1" spans="1:7" x14ac:dyDescent="0.2">
      <c r="A1" s="1" t="s">
        <v>84</v>
      </c>
      <c r="B1" s="1" t="s">
        <v>73</v>
      </c>
      <c r="C1" s="1" t="s">
        <v>11</v>
      </c>
      <c r="D1" s="1"/>
      <c r="E1" s="1" t="s">
        <v>13</v>
      </c>
    </row>
    <row r="2" spans="1:7" x14ac:dyDescent="0.2">
      <c r="A2">
        <v>30</v>
      </c>
      <c r="B2" s="2">
        <f>(A2/80)</f>
        <v>0.375</v>
      </c>
      <c r="C2" s="5">
        <f>IF(B2&lt;=C$23,D$23,IF(B2&lt;C$24,D$23+(D$23-D$24)*(B2-C$23)/(C$24-C$23),D$24))</f>
        <v>1.9451114042783459</v>
      </c>
      <c r="E2">
        <v>0</v>
      </c>
      <c r="F2">
        <f t="shared" ref="F2:F13" si="0">ClAmp*E2^0.4</f>
        <v>0</v>
      </c>
      <c r="G2">
        <f>1.99*E2-3.255*E2^2</f>
        <v>0</v>
      </c>
    </row>
    <row r="3" spans="1:7" x14ac:dyDescent="0.2">
      <c r="A3">
        <f>A2+10</f>
        <v>40</v>
      </c>
      <c r="B3" s="2">
        <f t="shared" ref="B3:B18" si="1">(A3/80)</f>
        <v>0.5</v>
      </c>
      <c r="C3" s="5">
        <f t="shared" ref="C3" si="2">IF(B3&lt;=C$23,D$23,IF(B3&lt;C$24,D$23+(D$23-D$24)*(B3-C$23)/(C$24-C$23),D$24))</f>
        <v>1.9451114042783459</v>
      </c>
      <c r="E3">
        <f>E2+0.05</f>
        <v>0.05</v>
      </c>
      <c r="F3" s="5">
        <f t="shared" si="0"/>
        <v>6.9214885664861642E-2</v>
      </c>
      <c r="G3" s="5">
        <f t="shared" ref="G3:G13" si="3">1.99*E3-3.255*E3^2</f>
        <v>9.1362499999999999E-2</v>
      </c>
    </row>
    <row r="4" spans="1:7" x14ac:dyDescent="0.2">
      <c r="A4">
        <f t="shared" ref="A4:A18" si="4">A3+10</f>
        <v>50</v>
      </c>
      <c r="B4" s="2">
        <f t="shared" si="1"/>
        <v>0.625</v>
      </c>
      <c r="C4" s="5">
        <f>IF(B4&lt;=C$23,D$23,IF(B4&lt;C$24,D$23-(D$23-D$24)*(B4-C$23)/(C$24-C$23),D$24))</f>
        <v>1.4919535523944865</v>
      </c>
      <c r="E4">
        <f t="shared" ref="E4:E11" si="5">E3+0.05</f>
        <v>0.1</v>
      </c>
      <c r="F4" s="5">
        <f t="shared" si="0"/>
        <v>9.1329589178026332E-2</v>
      </c>
      <c r="G4" s="5">
        <f t="shared" si="3"/>
        <v>0.16645000000000001</v>
      </c>
    </row>
    <row r="5" spans="1:7" x14ac:dyDescent="0.2">
      <c r="A5">
        <f t="shared" si="4"/>
        <v>60</v>
      </c>
      <c r="B5" s="2">
        <f t="shared" si="1"/>
        <v>0.75</v>
      </c>
      <c r="C5" s="5">
        <f t="shared" ref="C5:C18" si="6">IF(B5&lt;=C$23,D$23,IF(B5&lt;C$24,D$23-(D$23-D$24)*(B5-C$23)/(C$24-C$23),D$24))</f>
        <v>1.038795700510627</v>
      </c>
      <c r="E5">
        <f t="shared" si="5"/>
        <v>0.15000000000000002</v>
      </c>
      <c r="F5" s="5">
        <f t="shared" si="0"/>
        <v>0.10741081396807323</v>
      </c>
      <c r="G5" s="5">
        <f t="shared" si="3"/>
        <v>0.22526250000000003</v>
      </c>
    </row>
    <row r="6" spans="1:7" x14ac:dyDescent="0.2">
      <c r="A6">
        <f t="shared" si="4"/>
        <v>70</v>
      </c>
      <c r="B6" s="2">
        <f t="shared" si="1"/>
        <v>0.875</v>
      </c>
      <c r="C6" s="5">
        <f t="shared" si="6"/>
        <v>0.58563784862676749</v>
      </c>
      <c r="E6">
        <f t="shared" si="5"/>
        <v>0.2</v>
      </c>
      <c r="F6" s="5">
        <f t="shared" si="0"/>
        <v>0.12051011540804425</v>
      </c>
      <c r="G6" s="5">
        <f t="shared" si="3"/>
        <v>0.26780000000000004</v>
      </c>
    </row>
    <row r="7" spans="1:7" x14ac:dyDescent="0.2">
      <c r="A7">
        <f t="shared" si="4"/>
        <v>80</v>
      </c>
      <c r="B7" s="2">
        <f t="shared" si="1"/>
        <v>1</v>
      </c>
      <c r="C7" s="5">
        <f t="shared" si="6"/>
        <v>0.13247999674290811</v>
      </c>
      <c r="E7">
        <f t="shared" si="5"/>
        <v>0.25</v>
      </c>
      <c r="F7" s="5">
        <f t="shared" si="0"/>
        <v>0.13176118971368306</v>
      </c>
      <c r="G7" s="5">
        <f t="shared" si="3"/>
        <v>0.2940625</v>
      </c>
    </row>
    <row r="8" spans="1:7" x14ac:dyDescent="0.2">
      <c r="A8">
        <f t="shared" si="4"/>
        <v>90</v>
      </c>
      <c r="B8" s="2">
        <f t="shared" si="1"/>
        <v>1.125</v>
      </c>
      <c r="C8" s="5">
        <f t="shared" si="6"/>
        <v>0.13247999674290811</v>
      </c>
      <c r="E8">
        <f t="shared" si="5"/>
        <v>0.3</v>
      </c>
      <c r="F8" s="5">
        <f t="shared" si="0"/>
        <v>0.14172941873342829</v>
      </c>
      <c r="G8" s="5">
        <f t="shared" si="3"/>
        <v>0.30404999999999999</v>
      </c>
    </row>
    <row r="9" spans="1:7" x14ac:dyDescent="0.2">
      <c r="A9">
        <f t="shared" si="4"/>
        <v>100</v>
      </c>
      <c r="B9" s="2">
        <f t="shared" si="1"/>
        <v>1.25</v>
      </c>
      <c r="C9" s="5">
        <f t="shared" si="6"/>
        <v>0.13247999674290811</v>
      </c>
      <c r="E9">
        <f t="shared" si="5"/>
        <v>0.35</v>
      </c>
      <c r="F9" s="5">
        <f t="shared" si="0"/>
        <v>0.15074354415934324</v>
      </c>
      <c r="G9" s="5">
        <f t="shared" si="3"/>
        <v>0.2977625000000001</v>
      </c>
    </row>
    <row r="10" spans="1:7" x14ac:dyDescent="0.2">
      <c r="A10">
        <f t="shared" si="4"/>
        <v>110</v>
      </c>
      <c r="B10" s="2">
        <f t="shared" si="1"/>
        <v>1.375</v>
      </c>
      <c r="C10" s="5">
        <f t="shared" si="6"/>
        <v>0.13247999674290811</v>
      </c>
      <c r="E10">
        <f t="shared" si="5"/>
        <v>0.39999999999999997</v>
      </c>
      <c r="F10" s="5">
        <f t="shared" si="0"/>
        <v>0.15901405060906884</v>
      </c>
      <c r="G10" s="5">
        <f t="shared" si="3"/>
        <v>0.2752</v>
      </c>
    </row>
    <row r="11" spans="1:7" x14ac:dyDescent="0.2">
      <c r="A11">
        <f t="shared" si="4"/>
        <v>120</v>
      </c>
      <c r="B11" s="2">
        <f t="shared" si="1"/>
        <v>1.5</v>
      </c>
      <c r="C11" s="5">
        <f t="shared" si="6"/>
        <v>0.13247999674290811</v>
      </c>
      <c r="E11">
        <f t="shared" si="5"/>
        <v>0.44999999999999996</v>
      </c>
      <c r="F11" s="5">
        <f t="shared" si="0"/>
        <v>0.16668499624700051</v>
      </c>
      <c r="G11" s="5">
        <f t="shared" si="3"/>
        <v>0.23636250000000014</v>
      </c>
    </row>
    <row r="12" spans="1:7" x14ac:dyDescent="0.2">
      <c r="A12">
        <f t="shared" si="4"/>
        <v>130</v>
      </c>
      <c r="B12" s="2">
        <f t="shared" si="1"/>
        <v>1.625</v>
      </c>
      <c r="C12" s="5">
        <f t="shared" si="6"/>
        <v>0.13247999674290811</v>
      </c>
      <c r="E12">
        <f t="shared" ref="E12:E13" si="7">E11+0.05</f>
        <v>0.49999999999999994</v>
      </c>
      <c r="F12" s="5">
        <f t="shared" si="0"/>
        <v>0.17385993216005288</v>
      </c>
      <c r="G12" s="5">
        <f t="shared" si="3"/>
        <v>0.18125000000000013</v>
      </c>
    </row>
    <row r="13" spans="1:7" x14ac:dyDescent="0.2">
      <c r="A13">
        <f t="shared" si="4"/>
        <v>140</v>
      </c>
      <c r="B13" s="2">
        <f t="shared" si="1"/>
        <v>1.75</v>
      </c>
      <c r="C13" s="5">
        <f t="shared" si="6"/>
        <v>0.13247999674290811</v>
      </c>
      <c r="E13">
        <f t="shared" si="7"/>
        <v>0.54999999999999993</v>
      </c>
      <c r="F13" s="5">
        <f t="shared" si="0"/>
        <v>0.1806161496834397</v>
      </c>
      <c r="G13" s="5">
        <f t="shared" si="3"/>
        <v>0.10986250000000009</v>
      </c>
    </row>
    <row r="14" spans="1:7" x14ac:dyDescent="0.2">
      <c r="A14">
        <f t="shared" si="4"/>
        <v>150</v>
      </c>
      <c r="B14" s="2">
        <f t="shared" si="1"/>
        <v>1.875</v>
      </c>
      <c r="C14" s="5">
        <f t="shared" si="6"/>
        <v>0.13247999674290811</v>
      </c>
    </row>
    <row r="15" spans="1:7" x14ac:dyDescent="0.2">
      <c r="A15">
        <f t="shared" si="4"/>
        <v>160</v>
      </c>
      <c r="B15" s="2">
        <f t="shared" si="1"/>
        <v>2</v>
      </c>
      <c r="C15" s="5">
        <f t="shared" si="6"/>
        <v>0.13247999674290811</v>
      </c>
    </row>
    <row r="16" spans="1:7" x14ac:dyDescent="0.2">
      <c r="A16">
        <f t="shared" si="4"/>
        <v>170</v>
      </c>
      <c r="B16" s="2">
        <f t="shared" si="1"/>
        <v>2.125</v>
      </c>
      <c r="C16" s="5">
        <f t="shared" si="6"/>
        <v>0.13247999674290811</v>
      </c>
    </row>
    <row r="17" spans="1:5" x14ac:dyDescent="0.2">
      <c r="A17">
        <f t="shared" si="4"/>
        <v>180</v>
      </c>
      <c r="B17" s="2">
        <f t="shared" si="1"/>
        <v>2.25</v>
      </c>
      <c r="C17" s="5">
        <f t="shared" si="6"/>
        <v>0.13247999674290811</v>
      </c>
    </row>
    <row r="18" spans="1:5" x14ac:dyDescent="0.2">
      <c r="A18">
        <f t="shared" si="4"/>
        <v>190</v>
      </c>
      <c r="B18" s="2">
        <f t="shared" si="1"/>
        <v>2.375</v>
      </c>
      <c r="C18" s="5">
        <f t="shared" si="6"/>
        <v>0.13247999674290811</v>
      </c>
    </row>
    <row r="20" spans="1:5" x14ac:dyDescent="0.2">
      <c r="E20" s="15"/>
    </row>
    <row r="23" spans="1:5" x14ac:dyDescent="0.2">
      <c r="C23" s="61">
        <f>ReLow</f>
        <v>0.5</v>
      </c>
      <c r="D23" s="61">
        <f>'Ball Trajectory'!CdL</f>
        <v>1.9451114042783459</v>
      </c>
      <c r="E23" s="61">
        <f>ClAmp</f>
        <v>0.22940955585162853</v>
      </c>
    </row>
    <row r="24" spans="1:5" x14ac:dyDescent="0.2">
      <c r="C24" s="61">
        <f>ReHigh</f>
        <v>1</v>
      </c>
      <c r="D24" s="61">
        <f>'Ball Trajectory'!CdH</f>
        <v>0.13247999674290811</v>
      </c>
      <c r="E24" s="6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abSelected="1" topLeftCell="A7" workbookViewId="0">
      <selection activeCell="R64" sqref="R64"/>
    </sheetView>
  </sheetViews>
  <sheetFormatPr defaultRowHeight="12.7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54</vt:i4>
      </vt:variant>
    </vt:vector>
  </HeadingPairs>
  <TitlesOfParts>
    <vt:vector size="58" baseType="lpstr">
      <vt:lpstr>Ball Trajectory</vt:lpstr>
      <vt:lpstr>3DTable</vt:lpstr>
      <vt:lpstr>Cd-Cl</vt:lpstr>
      <vt:lpstr>ReadMe</vt:lpstr>
      <vt:lpstr>'Ball Trajectory'!AA</vt:lpstr>
      <vt:lpstr>'Ball Trajectory'!beta</vt:lpstr>
      <vt:lpstr>'Ball Trajectory'!c0</vt:lpstr>
      <vt:lpstr>'Ball Trajectory'!cc</vt:lpstr>
      <vt:lpstr>'Ball Trajectory'!CdH</vt:lpstr>
      <vt:lpstr>'Ball Trajectory'!CdL</vt:lpstr>
      <vt:lpstr>'Ball Trajectory'!CdS</vt:lpstr>
      <vt:lpstr>'Ball Trajectory'!circ</vt:lpstr>
      <vt:lpstr>ClAmp</vt:lpstr>
      <vt:lpstr>'Ball Trajectory'!const</vt:lpstr>
      <vt:lpstr>'Ball Trajectory'!distance</vt:lpstr>
      <vt:lpstr>'Ball Trajectory'!dt</vt:lpstr>
      <vt:lpstr>'Ball Trajectory'!elev</vt:lpstr>
      <vt:lpstr>'Ball Trajectory'!elevft</vt:lpstr>
      <vt:lpstr>'Ball Trajectory'!flag</vt:lpstr>
      <vt:lpstr>'Ball Trajectory'!height</vt:lpstr>
      <vt:lpstr>'Ball Trajectory'!hwind</vt:lpstr>
      <vt:lpstr>'Ball Trajectory'!Magnus_option</vt:lpstr>
      <vt:lpstr>'Ball Trajectory'!mass</vt:lpstr>
      <vt:lpstr>'Ball Trajectory'!n</vt:lpstr>
      <vt:lpstr>'Ball Trajectory'!omega</vt:lpstr>
      <vt:lpstr>'Ball Trajectory'!phi</vt:lpstr>
      <vt:lpstr>'Ball Trajectory'!phiwind</vt:lpstr>
      <vt:lpstr>'Ball Trajectory'!pressure</vt:lpstr>
      <vt:lpstr>'Ball Trajectory'!Re_100</vt:lpstr>
      <vt:lpstr>ReHigh</vt:lpstr>
      <vt:lpstr>ReLow</vt:lpstr>
      <vt:lpstr>'Ball Trajectory'!RH</vt:lpstr>
      <vt:lpstr>'Ball Trajectory'!rho</vt:lpstr>
      <vt:lpstr>'Ball Trajectory'!rms</vt:lpstr>
      <vt:lpstr>'Ball Trajectory'!romega</vt:lpstr>
      <vt:lpstr>'Ball Trajectory'!scale</vt:lpstr>
      <vt:lpstr>'Ball Trajectory'!Shi</vt:lpstr>
      <vt:lpstr>'Ball Trajectory'!sign</vt:lpstr>
      <vt:lpstr>'Ball Trajectory'!spin0</vt:lpstr>
      <vt:lpstr>'Ball Trajectory'!SVP</vt:lpstr>
      <vt:lpstr>'Ball Trajectory'!temp</vt:lpstr>
      <vt:lpstr>'Ball Trajectory'!theta</vt:lpstr>
      <vt:lpstr>'Ball Trajectory'!TK</vt:lpstr>
      <vt:lpstr>'Ball Trajectory'!v0</vt:lpstr>
      <vt:lpstr>'Ball Trajectory'!v0x</vt:lpstr>
      <vt:lpstr>'Ball Trajectory'!v0y</vt:lpstr>
      <vt:lpstr>'Ball Trajectory'!v0z</vt:lpstr>
      <vt:lpstr>'Ball Trajectory'!vwind</vt:lpstr>
      <vt:lpstr>'Ball Trajectory'!vxw</vt:lpstr>
      <vt:lpstr>'Ball Trajectory'!vyw</vt:lpstr>
      <vt:lpstr>'Ball Trajectory'!wb</vt:lpstr>
      <vt:lpstr>'Ball Trajectory'!ws</vt:lpstr>
      <vt:lpstr>'Ball Trajectory'!wx</vt:lpstr>
      <vt:lpstr>'Ball Trajectory'!wy</vt:lpstr>
      <vt:lpstr>'Ball Trajectory'!wz</vt:lpstr>
      <vt:lpstr>'Ball Trajectory'!x0</vt:lpstr>
      <vt:lpstr>'Ball Trajectory'!y0</vt:lpstr>
      <vt:lpstr>'Ball Trajectory'!z0</vt:lpstr>
    </vt:vector>
  </TitlesOfParts>
  <Company>University of Illinois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M. Nathan</dc:creator>
  <cp:lastModifiedBy>Alan Nathan</cp:lastModifiedBy>
  <dcterms:created xsi:type="dcterms:W3CDTF">2007-08-20T21:09:07Z</dcterms:created>
  <dcterms:modified xsi:type="dcterms:W3CDTF">2025-02-15T16:35:17Z</dcterms:modified>
</cp:coreProperties>
</file>